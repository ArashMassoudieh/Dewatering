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s\Dewatering\"/>
    </mc:Choice>
  </mc:AlternateContent>
  <xr:revisionPtr revIDLastSave="0" documentId="13_ncr:1_{82F5A001-EA81-42AA-9AE1-B1331D01F22C}" xr6:coauthVersionLast="47" xr6:coauthVersionMax="47" xr10:uidLastSave="{00000000-0000-0000-0000-000000000000}"/>
  <bookViews>
    <workbookView xWindow="-120" yWindow="-120" windowWidth="29040" windowHeight="15720" firstSheet="4" activeTab="5" xr2:uid="{66828653-A2B8-4474-9FDA-0F5670D2FDE2}"/>
  </bookViews>
  <sheets>
    <sheet name="Instructions" sheetId="3" state="hidden" r:id="rId1"/>
    <sheet name="Timeline graph" sheetId="142" state="hidden" r:id="rId2"/>
    <sheet name="GTrend map" sheetId="144" state="hidden" r:id="rId3"/>
    <sheet name="Graph" sheetId="135" state="hidden" r:id="rId4"/>
    <sheet name="01_10_2025" sheetId="189" r:id="rId5"/>
    <sheet name="01_02_2025" sheetId="186" r:id="rId6"/>
    <sheet name="06_04_2024" sheetId="55" state="hidden" r:id="rId7"/>
    <sheet name="06_03_2024" sheetId="54" state="hidden" r:id="rId8"/>
    <sheet name="05_28_2024" sheetId="53" state="hidden" r:id="rId9"/>
    <sheet name="05_21_2024" sheetId="52" state="hidden" r:id="rId10"/>
  </sheets>
  <definedNames>
    <definedName name="_xleta.AVERAGE" hidden="1" xlm="1">#NAME?</definedName>
    <definedName name="_xlnm.Print_Area" localSheetId="5">'01_02_2025'!$U$5:$AL$93</definedName>
    <definedName name="_xlnm.Print_Area" localSheetId="4">'01_10_2025'!$U$5:$AL$93</definedName>
    <definedName name="_xlnm.Print_Area" localSheetId="9">'05_21_2024'!$U$5:$AK$61</definedName>
    <definedName name="_xlnm.Print_Area" localSheetId="8">'05_28_2024'!$U$5:$AL$61</definedName>
    <definedName name="_xlnm.Print_Area" localSheetId="7">'06_03_2024'!$U$5:$AL$61</definedName>
    <definedName name="_xlnm.Print_Area" localSheetId="6">'06_04_2024'!$U$5:$AL$61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1" i="189" l="1"/>
  <c r="K51" i="189" s="1"/>
  <c r="J51" i="189"/>
  <c r="N51" i="189"/>
  <c r="O51" i="189"/>
  <c r="I52" i="189"/>
  <c r="J52" i="189"/>
  <c r="K52" i="189"/>
  <c r="N52" i="189"/>
  <c r="O52" i="189"/>
  <c r="I53" i="189"/>
  <c r="J53" i="189"/>
  <c r="N53" i="189"/>
  <c r="O53" i="189"/>
  <c r="I54" i="189"/>
  <c r="J54" i="189"/>
  <c r="K54" i="189"/>
  <c r="N54" i="189"/>
  <c r="O54" i="189"/>
  <c r="I55" i="189"/>
  <c r="K55" i="189" s="1"/>
  <c r="J55" i="189"/>
  <c r="N55" i="189"/>
  <c r="O55" i="189"/>
  <c r="I56" i="189"/>
  <c r="J56" i="189"/>
  <c r="K56" i="189" s="1"/>
  <c r="N56" i="189"/>
  <c r="O56" i="189"/>
  <c r="I57" i="189"/>
  <c r="J57" i="189"/>
  <c r="K57" i="189"/>
  <c r="N57" i="189"/>
  <c r="O57" i="189"/>
  <c r="K53" i="189" l="1"/>
  <c r="AF101" i="189" l="1"/>
  <c r="AF100" i="189"/>
  <c r="AF99" i="189"/>
  <c r="AF98" i="189"/>
  <c r="AF97" i="189"/>
  <c r="H93" i="189"/>
  <c r="N92" i="189"/>
  <c r="M92" i="189"/>
  <c r="O92" i="189" s="1"/>
  <c r="I92" i="189"/>
  <c r="H92" i="189"/>
  <c r="J92" i="189" s="1"/>
  <c r="N91" i="189"/>
  <c r="M91" i="189"/>
  <c r="O91" i="189" s="1"/>
  <c r="I91" i="189"/>
  <c r="H91" i="189"/>
  <c r="J91" i="189" s="1"/>
  <c r="N90" i="189"/>
  <c r="M90" i="189"/>
  <c r="O90" i="189" s="1"/>
  <c r="I90" i="189"/>
  <c r="H90" i="189"/>
  <c r="J90" i="189" s="1"/>
  <c r="N89" i="189"/>
  <c r="M89" i="189"/>
  <c r="O89" i="189" s="1"/>
  <c r="I89" i="189"/>
  <c r="H89" i="189"/>
  <c r="J89" i="189" s="1"/>
  <c r="N88" i="189"/>
  <c r="M88" i="189"/>
  <c r="O88" i="189" s="1"/>
  <c r="I88" i="189"/>
  <c r="H88" i="189"/>
  <c r="J88" i="189" s="1"/>
  <c r="N87" i="189"/>
  <c r="M87" i="189"/>
  <c r="O87" i="189" s="1"/>
  <c r="I87" i="189"/>
  <c r="H87" i="189"/>
  <c r="J87" i="189" s="1"/>
  <c r="N86" i="189"/>
  <c r="M86" i="189"/>
  <c r="O86" i="189" s="1"/>
  <c r="I86" i="189"/>
  <c r="J86" i="189" s="1"/>
  <c r="H86" i="189"/>
  <c r="N85" i="189"/>
  <c r="M85" i="189"/>
  <c r="O85" i="189" s="1"/>
  <c r="I85" i="189"/>
  <c r="H85" i="189"/>
  <c r="O82" i="189"/>
  <c r="P82" i="189" s="1"/>
  <c r="N82" i="189"/>
  <c r="J82" i="189"/>
  <c r="I82" i="189"/>
  <c r="K82" i="189" s="1"/>
  <c r="N81" i="189"/>
  <c r="J81" i="189"/>
  <c r="I81" i="189"/>
  <c r="K81" i="189" s="1"/>
  <c r="O80" i="189"/>
  <c r="P80" i="189" s="1"/>
  <c r="N80" i="189"/>
  <c r="J80" i="189"/>
  <c r="I80" i="189"/>
  <c r="K80" i="189" s="1"/>
  <c r="O79" i="189"/>
  <c r="P79" i="189" s="1"/>
  <c r="N79" i="189"/>
  <c r="J79" i="189"/>
  <c r="I79" i="189"/>
  <c r="K79" i="189" s="1"/>
  <c r="O78" i="189"/>
  <c r="N78" i="189"/>
  <c r="P78" i="189" s="1"/>
  <c r="J78" i="189"/>
  <c r="I78" i="189"/>
  <c r="K78" i="189" s="1"/>
  <c r="O77" i="189"/>
  <c r="N77" i="189"/>
  <c r="P77" i="189" s="1"/>
  <c r="J77" i="189"/>
  <c r="I77" i="189"/>
  <c r="K77" i="189" s="1"/>
  <c r="O76" i="189"/>
  <c r="P76" i="189" s="1"/>
  <c r="N76" i="189"/>
  <c r="J76" i="189"/>
  <c r="I76" i="189"/>
  <c r="K76" i="189" s="1"/>
  <c r="N69" i="189"/>
  <c r="M69" i="189"/>
  <c r="O69" i="189" s="1"/>
  <c r="I69" i="189"/>
  <c r="H69" i="189"/>
  <c r="N68" i="189"/>
  <c r="M68" i="189"/>
  <c r="I68" i="189"/>
  <c r="H68" i="189"/>
  <c r="N67" i="189"/>
  <c r="M67" i="189"/>
  <c r="O67" i="189" s="1"/>
  <c r="I67" i="189"/>
  <c r="H67" i="189"/>
  <c r="J67" i="189" s="1"/>
  <c r="N66" i="189"/>
  <c r="M66" i="189"/>
  <c r="I66" i="189"/>
  <c r="H66" i="189"/>
  <c r="N65" i="189"/>
  <c r="M65" i="189"/>
  <c r="I65" i="189"/>
  <c r="H65" i="189"/>
  <c r="N64" i="189"/>
  <c r="M64" i="189"/>
  <c r="I64" i="189"/>
  <c r="H64" i="189"/>
  <c r="N63" i="189"/>
  <c r="M63" i="189"/>
  <c r="O63" i="189" s="1"/>
  <c r="I63" i="189"/>
  <c r="H63" i="189"/>
  <c r="N62" i="189"/>
  <c r="M62" i="189"/>
  <c r="O62" i="189" s="1"/>
  <c r="I62" i="189"/>
  <c r="H62" i="189"/>
  <c r="J62" i="189" s="1"/>
  <c r="D97" i="189" s="1"/>
  <c r="P57" i="189"/>
  <c r="P55" i="189"/>
  <c r="P54" i="189"/>
  <c r="P53" i="189"/>
  <c r="P52" i="189"/>
  <c r="P51" i="189"/>
  <c r="E97" i="189"/>
  <c r="C48" i="189"/>
  <c r="B48" i="189"/>
  <c r="C46" i="189"/>
  <c r="B46" i="189"/>
  <c r="C45" i="189"/>
  <c r="B101" i="189" s="1"/>
  <c r="B45" i="189"/>
  <c r="C101" i="189" s="1"/>
  <c r="C44" i="189"/>
  <c r="B100" i="189" s="1"/>
  <c r="F101" i="189" s="1"/>
  <c r="B44" i="189"/>
  <c r="C100" i="189" s="1"/>
  <c r="C43" i="189"/>
  <c r="B99" i="189" s="1"/>
  <c r="B43" i="189"/>
  <c r="C99" i="189" s="1"/>
  <c r="C42" i="189"/>
  <c r="B98" i="189" s="1"/>
  <c r="F99" i="189" s="1"/>
  <c r="B42" i="189"/>
  <c r="C98" i="189" s="1"/>
  <c r="C41" i="189"/>
  <c r="B97" i="189" s="1"/>
  <c r="B41" i="189"/>
  <c r="C97" i="189" s="1"/>
  <c r="P39" i="189"/>
  <c r="O39" i="189"/>
  <c r="H39" i="189"/>
  <c r="P38" i="189"/>
  <c r="O38" i="189"/>
  <c r="H38" i="189"/>
  <c r="P37" i="189"/>
  <c r="O37" i="189"/>
  <c r="H37" i="189"/>
  <c r="P36" i="189"/>
  <c r="O36" i="189"/>
  <c r="H36" i="189"/>
  <c r="P35" i="189"/>
  <c r="O35" i="189"/>
  <c r="H35" i="189"/>
  <c r="P34" i="189"/>
  <c r="O34" i="189"/>
  <c r="H34" i="189"/>
  <c r="P33" i="189"/>
  <c r="O33" i="189"/>
  <c r="H33" i="189"/>
  <c r="C33" i="189"/>
  <c r="B22" i="189"/>
  <c r="B24" i="189" s="1"/>
  <c r="D15" i="189"/>
  <c r="AS97" i="189" s="1"/>
  <c r="X13" i="189"/>
  <c r="D12" i="189"/>
  <c r="J11" i="189"/>
  <c r="AK22" i="189" s="1"/>
  <c r="I11" i="189"/>
  <c r="AJ22" i="189" s="1"/>
  <c r="H11" i="189"/>
  <c r="AI22" i="189" s="1"/>
  <c r="D11" i="189"/>
  <c r="D13" i="189" s="1"/>
  <c r="H10" i="189"/>
  <c r="AI21" i="189" s="1"/>
  <c r="D9" i="189"/>
  <c r="D10" i="189" s="1"/>
  <c r="G8" i="189"/>
  <c r="D8" i="189"/>
  <c r="J69" i="189" l="1"/>
  <c r="AV97" i="189" s="1"/>
  <c r="O66" i="189"/>
  <c r="O68" i="189"/>
  <c r="O65" i="189"/>
  <c r="J85" i="189"/>
  <c r="J64" i="189"/>
  <c r="D99" i="189" s="1"/>
  <c r="O64" i="189"/>
  <c r="J66" i="189"/>
  <c r="D101" i="189" s="1"/>
  <c r="AH97" i="189" s="1"/>
  <c r="AU97" i="189"/>
  <c r="H14" i="189" s="1"/>
  <c r="E100" i="189"/>
  <c r="E99" i="189"/>
  <c r="AP97" i="189" s="1"/>
  <c r="J14" i="189" s="1"/>
  <c r="J68" i="189"/>
  <c r="AT97" i="189" s="1"/>
  <c r="H13" i="189" s="1"/>
  <c r="J65" i="189"/>
  <c r="D100" i="189" s="1"/>
  <c r="J63" i="189"/>
  <c r="D98" i="189" s="1"/>
  <c r="R101" i="189"/>
  <c r="G100" i="189"/>
  <c r="F100" i="189"/>
  <c r="R100" i="189"/>
  <c r="S101" i="189" s="1"/>
  <c r="R99" i="189"/>
  <c r="S100" i="189" s="1"/>
  <c r="E98" i="189"/>
  <c r="E101" i="189"/>
  <c r="AI97" i="189" s="1"/>
  <c r="G101" i="189"/>
  <c r="I101" i="189" s="1"/>
  <c r="D14" i="189"/>
  <c r="H12" i="189"/>
  <c r="C34" i="189"/>
  <c r="I34" i="189" s="1"/>
  <c r="A98" i="189" s="1"/>
  <c r="E33" i="189"/>
  <c r="I33" i="189"/>
  <c r="A97" i="189" s="1"/>
  <c r="Q33" i="189"/>
  <c r="R33" i="189" s="1"/>
  <c r="R98" i="189"/>
  <c r="S99" i="189" s="1"/>
  <c r="U100" i="189" s="1"/>
  <c r="R97" i="189"/>
  <c r="F98" i="189"/>
  <c r="G99" i="189" s="1"/>
  <c r="F97" i="189"/>
  <c r="AC97" i="189"/>
  <c r="AO97" i="189"/>
  <c r="J13" i="189" s="1"/>
  <c r="I93" i="189"/>
  <c r="G98" i="186"/>
  <c r="G97" i="186"/>
  <c r="G99" i="186"/>
  <c r="G100" i="186"/>
  <c r="G101" i="186"/>
  <c r="F101" i="186"/>
  <c r="F98" i="186"/>
  <c r="F99" i="186"/>
  <c r="F100" i="186"/>
  <c r="E101" i="186"/>
  <c r="D101" i="186"/>
  <c r="C101" i="186"/>
  <c r="B101" i="186"/>
  <c r="AF101" i="186"/>
  <c r="AF100" i="186"/>
  <c r="AF99" i="186"/>
  <c r="AF98" i="186"/>
  <c r="AF97" i="186"/>
  <c r="B97" i="186"/>
  <c r="F97" i="186" s="1"/>
  <c r="H93" i="186"/>
  <c r="I93" i="186" s="1"/>
  <c r="N92" i="186"/>
  <c r="M92" i="186"/>
  <c r="O92" i="186" s="1"/>
  <c r="I92" i="186"/>
  <c r="H92" i="186"/>
  <c r="N91" i="186"/>
  <c r="M91" i="186"/>
  <c r="O91" i="186" s="1"/>
  <c r="I91" i="186"/>
  <c r="H91" i="186"/>
  <c r="J91" i="186" s="1"/>
  <c r="N90" i="186"/>
  <c r="M90" i="186"/>
  <c r="O90" i="186" s="1"/>
  <c r="I90" i="186"/>
  <c r="H90" i="186"/>
  <c r="N89" i="186"/>
  <c r="M89" i="186"/>
  <c r="O89" i="186" s="1"/>
  <c r="I89" i="186"/>
  <c r="H89" i="186"/>
  <c r="J89" i="186" s="1"/>
  <c r="N88" i="186"/>
  <c r="M88" i="186"/>
  <c r="O88" i="186" s="1"/>
  <c r="I88" i="186"/>
  <c r="H88" i="186"/>
  <c r="N87" i="186"/>
  <c r="M87" i="186"/>
  <c r="O87" i="186" s="1"/>
  <c r="I87" i="186"/>
  <c r="H87" i="186"/>
  <c r="J87" i="186" s="1"/>
  <c r="N86" i="186"/>
  <c r="M86" i="186"/>
  <c r="O86" i="186" s="1"/>
  <c r="I86" i="186"/>
  <c r="J86" i="186" s="1"/>
  <c r="H86" i="186"/>
  <c r="N85" i="186"/>
  <c r="M85" i="186"/>
  <c r="I85" i="186"/>
  <c r="H85" i="186"/>
  <c r="J85" i="186" s="1"/>
  <c r="P82" i="186"/>
  <c r="O82" i="186"/>
  <c r="N82" i="186"/>
  <c r="J82" i="186"/>
  <c r="K82" i="186" s="1"/>
  <c r="I82" i="186"/>
  <c r="N81" i="186"/>
  <c r="J81" i="186"/>
  <c r="I81" i="186"/>
  <c r="O80" i="186"/>
  <c r="P80" i="186" s="1"/>
  <c r="N80" i="186"/>
  <c r="J80" i="186"/>
  <c r="I80" i="186"/>
  <c r="K80" i="186" s="1"/>
  <c r="P79" i="186"/>
  <c r="O79" i="186"/>
  <c r="N79" i="186"/>
  <c r="J79" i="186"/>
  <c r="K79" i="186" s="1"/>
  <c r="I79" i="186"/>
  <c r="O78" i="186"/>
  <c r="N78" i="186"/>
  <c r="P78" i="186" s="1"/>
  <c r="J78" i="186"/>
  <c r="I78" i="186"/>
  <c r="K78" i="186" s="1"/>
  <c r="O77" i="186"/>
  <c r="N77" i="186"/>
  <c r="P77" i="186" s="1"/>
  <c r="J77" i="186"/>
  <c r="I77" i="186"/>
  <c r="O76" i="186"/>
  <c r="P76" i="186" s="1"/>
  <c r="N76" i="186"/>
  <c r="J76" i="186"/>
  <c r="I76" i="186"/>
  <c r="K76" i="186" s="1"/>
  <c r="N69" i="186"/>
  <c r="M69" i="186"/>
  <c r="O69" i="186" s="1"/>
  <c r="I69" i="186"/>
  <c r="H69" i="186"/>
  <c r="N68" i="186"/>
  <c r="M68" i="186"/>
  <c r="I68" i="186"/>
  <c r="H68" i="186"/>
  <c r="N67" i="186"/>
  <c r="M67" i="186"/>
  <c r="O67" i="186" s="1"/>
  <c r="I67" i="186"/>
  <c r="H67" i="186"/>
  <c r="N66" i="186"/>
  <c r="M66" i="186"/>
  <c r="O66" i="186" s="1"/>
  <c r="I66" i="186"/>
  <c r="H66" i="186"/>
  <c r="N65" i="186"/>
  <c r="M65" i="186"/>
  <c r="O65" i="186" s="1"/>
  <c r="I65" i="186"/>
  <c r="H65" i="186"/>
  <c r="N64" i="186"/>
  <c r="M64" i="186"/>
  <c r="I64" i="186"/>
  <c r="H64" i="186"/>
  <c r="J64" i="186" s="1"/>
  <c r="D99" i="186" s="1"/>
  <c r="N63" i="186"/>
  <c r="M63" i="186"/>
  <c r="I63" i="186"/>
  <c r="H63" i="186"/>
  <c r="N62" i="186"/>
  <c r="M62" i="186"/>
  <c r="I62" i="186"/>
  <c r="H62" i="186"/>
  <c r="O57" i="186"/>
  <c r="P57" i="186" s="1"/>
  <c r="N57" i="186"/>
  <c r="J57" i="186"/>
  <c r="I57" i="186"/>
  <c r="O56" i="186"/>
  <c r="N56" i="186"/>
  <c r="J56" i="186"/>
  <c r="I56" i="186"/>
  <c r="O55" i="186"/>
  <c r="P55" i="186" s="1"/>
  <c r="N55" i="186"/>
  <c r="J55" i="186"/>
  <c r="I55" i="186"/>
  <c r="O54" i="186"/>
  <c r="P54" i="186" s="1"/>
  <c r="N54" i="186"/>
  <c r="J54" i="186"/>
  <c r="I54" i="186"/>
  <c r="O53" i="186"/>
  <c r="N53" i="186"/>
  <c r="J53" i="186"/>
  <c r="I53" i="186"/>
  <c r="O52" i="186"/>
  <c r="N52" i="186"/>
  <c r="J52" i="186"/>
  <c r="I52" i="186"/>
  <c r="O51" i="186"/>
  <c r="P51" i="186" s="1"/>
  <c r="N51" i="186"/>
  <c r="J51" i="186"/>
  <c r="I51" i="186"/>
  <c r="C48" i="186"/>
  <c r="B48" i="186"/>
  <c r="C46" i="186"/>
  <c r="B46" i="186"/>
  <c r="C45" i="186"/>
  <c r="B45" i="186"/>
  <c r="C44" i="186"/>
  <c r="B100" i="186" s="1"/>
  <c r="B44" i="186"/>
  <c r="C100" i="186" s="1"/>
  <c r="R101" i="186" s="1"/>
  <c r="C43" i="186"/>
  <c r="B99" i="186" s="1"/>
  <c r="B43" i="186"/>
  <c r="C99" i="186" s="1"/>
  <c r="C42" i="186"/>
  <c r="B98" i="186" s="1"/>
  <c r="B42" i="186"/>
  <c r="C98" i="186" s="1"/>
  <c r="C41" i="186"/>
  <c r="B41" i="186"/>
  <c r="C97" i="186" s="1"/>
  <c r="P39" i="186"/>
  <c r="O39" i="186"/>
  <c r="H39" i="186"/>
  <c r="P38" i="186"/>
  <c r="O38" i="186"/>
  <c r="H38" i="186"/>
  <c r="P37" i="186"/>
  <c r="O37" i="186"/>
  <c r="H37" i="186"/>
  <c r="P36" i="186"/>
  <c r="O36" i="186"/>
  <c r="H36" i="186"/>
  <c r="P35" i="186"/>
  <c r="O35" i="186"/>
  <c r="H35" i="186"/>
  <c r="P34" i="186"/>
  <c r="O34" i="186"/>
  <c r="H34" i="186"/>
  <c r="I34" i="186" s="1"/>
  <c r="A98" i="186" s="1"/>
  <c r="P33" i="186"/>
  <c r="O33" i="186"/>
  <c r="H33" i="186"/>
  <c r="I33" i="186" s="1"/>
  <c r="A97" i="186" s="1"/>
  <c r="C33" i="186"/>
  <c r="C34" i="186" s="1"/>
  <c r="AJ22" i="186"/>
  <c r="B22" i="186"/>
  <c r="B24" i="186" s="1"/>
  <c r="D15" i="186"/>
  <c r="AS97" i="186" s="1"/>
  <c r="X13" i="186"/>
  <c r="H12" i="186"/>
  <c r="AI23" i="186" s="1"/>
  <c r="D12" i="186"/>
  <c r="J11" i="186"/>
  <c r="AK22" i="186" s="1"/>
  <c r="I11" i="186"/>
  <c r="H11" i="186"/>
  <c r="AI22" i="186" s="1"/>
  <c r="D11" i="186"/>
  <c r="D13" i="186" s="1"/>
  <c r="H10" i="186"/>
  <c r="AI21" i="186" s="1"/>
  <c r="D9" i="186"/>
  <c r="D10" i="186" s="1"/>
  <c r="D8" i="186" s="1"/>
  <c r="G8" i="186"/>
  <c r="AC100" i="189" l="1"/>
  <c r="AC99" i="189"/>
  <c r="Q34" i="189"/>
  <c r="R34" i="189" s="1"/>
  <c r="AI23" i="189"/>
  <c r="AI25" i="189"/>
  <c r="AI24" i="189"/>
  <c r="AK24" i="189"/>
  <c r="AA97" i="189"/>
  <c r="I14" i="189" s="1"/>
  <c r="AK25" i="189"/>
  <c r="Z97" i="189"/>
  <c r="I13" i="189" s="1"/>
  <c r="AC101" i="189"/>
  <c r="AC98" i="189"/>
  <c r="U101" i="189"/>
  <c r="I100" i="189"/>
  <c r="G98" i="189"/>
  <c r="I99" i="189" s="1"/>
  <c r="G97" i="189"/>
  <c r="S98" i="189"/>
  <c r="U99" i="189" s="1"/>
  <c r="S97" i="189"/>
  <c r="C35" i="189"/>
  <c r="E34" i="189"/>
  <c r="J90" i="186"/>
  <c r="J88" i="186"/>
  <c r="O85" i="186"/>
  <c r="O64" i="186"/>
  <c r="O63" i="186"/>
  <c r="O62" i="186"/>
  <c r="K56" i="186"/>
  <c r="P53" i="186"/>
  <c r="P52" i="186"/>
  <c r="K81" i="186"/>
  <c r="K55" i="186"/>
  <c r="AA97" i="186" s="1"/>
  <c r="I14" i="186" s="1"/>
  <c r="AJ25" i="186" s="1"/>
  <c r="K57" i="186"/>
  <c r="AU97" i="186" s="1"/>
  <c r="H14" i="186" s="1"/>
  <c r="AI25" i="186" s="1"/>
  <c r="J69" i="186"/>
  <c r="AV97" i="186" s="1"/>
  <c r="J65" i="186"/>
  <c r="D100" i="186" s="1"/>
  <c r="AC100" i="186" s="1"/>
  <c r="J63" i="186"/>
  <c r="D98" i="186" s="1"/>
  <c r="AC99" i="186" s="1"/>
  <c r="J62" i="186"/>
  <c r="D97" i="186" s="1"/>
  <c r="K77" i="186"/>
  <c r="K52" i="186"/>
  <c r="E98" i="186" s="1"/>
  <c r="J92" i="186"/>
  <c r="J68" i="186"/>
  <c r="AT97" i="186" s="1"/>
  <c r="H13" i="186" s="1"/>
  <c r="AI24" i="186" s="1"/>
  <c r="O68" i="186"/>
  <c r="J66" i="186"/>
  <c r="J67" i="186"/>
  <c r="K53" i="186"/>
  <c r="E99" i="186" s="1"/>
  <c r="AP97" i="186" s="1"/>
  <c r="J14" i="186" s="1"/>
  <c r="AK25" i="186" s="1"/>
  <c r="AI97" i="186"/>
  <c r="K51" i="186"/>
  <c r="E97" i="186" s="1"/>
  <c r="K54" i="186"/>
  <c r="E100" i="186" s="1"/>
  <c r="R98" i="186"/>
  <c r="Q33" i="186"/>
  <c r="R33" i="186" s="1"/>
  <c r="D14" i="186"/>
  <c r="R100" i="186"/>
  <c r="S101" i="186" s="1"/>
  <c r="AO97" i="186"/>
  <c r="J13" i="186" s="1"/>
  <c r="AK24" i="186" s="1"/>
  <c r="S99" i="186"/>
  <c r="E34" i="186"/>
  <c r="C35" i="186"/>
  <c r="I35" i="186" s="1"/>
  <c r="A99" i="186" s="1"/>
  <c r="AN97" i="186" s="1"/>
  <c r="J12" i="186" s="1"/>
  <c r="AK23" i="186" s="1"/>
  <c r="Q34" i="186"/>
  <c r="R34" i="186" s="1"/>
  <c r="R99" i="186"/>
  <c r="S100" i="186" s="1"/>
  <c r="R97" i="186"/>
  <c r="E33" i="186"/>
  <c r="AJ25" i="189" l="1"/>
  <c r="AJ24" i="189"/>
  <c r="C36" i="189"/>
  <c r="E35" i="189"/>
  <c r="I35" i="189"/>
  <c r="A99" i="189" s="1"/>
  <c r="AN97" i="189" s="1"/>
  <c r="J12" i="189" s="1"/>
  <c r="Q35" i="189"/>
  <c r="R35" i="189" s="1"/>
  <c r="U98" i="189"/>
  <c r="U97" i="189"/>
  <c r="I98" i="189"/>
  <c r="I97" i="189"/>
  <c r="AC98" i="186"/>
  <c r="AC101" i="186"/>
  <c r="AC97" i="186"/>
  <c r="AH97" i="186"/>
  <c r="Z97" i="186"/>
  <c r="I13" i="186" s="1"/>
  <c r="AJ24" i="186" s="1"/>
  <c r="U100" i="186"/>
  <c r="I99" i="186"/>
  <c r="U101" i="186"/>
  <c r="I100" i="186"/>
  <c r="S98" i="186"/>
  <c r="U99" i="186" s="1"/>
  <c r="S97" i="186"/>
  <c r="I101" i="186"/>
  <c r="I98" i="186"/>
  <c r="I97" i="186"/>
  <c r="E35" i="186"/>
  <c r="C36" i="186"/>
  <c r="Q35" i="186"/>
  <c r="R35" i="186" s="1"/>
  <c r="AF76" i="52"/>
  <c r="AD76" i="52"/>
  <c r="AC76" i="52"/>
  <c r="U76" i="52"/>
  <c r="S76" i="52"/>
  <c r="R76" i="52"/>
  <c r="I76" i="52"/>
  <c r="G76" i="52"/>
  <c r="F76" i="52"/>
  <c r="E76" i="52"/>
  <c r="D76" i="52"/>
  <c r="C76" i="52"/>
  <c r="B76" i="52"/>
  <c r="A76" i="52"/>
  <c r="AF75" i="52"/>
  <c r="AD75" i="52"/>
  <c r="AC75" i="52"/>
  <c r="U75" i="52"/>
  <c r="S75" i="52"/>
  <c r="R75" i="52"/>
  <c r="I75" i="52"/>
  <c r="G75" i="52"/>
  <c r="F75" i="52"/>
  <c r="E75" i="52"/>
  <c r="D75" i="52"/>
  <c r="C75" i="52"/>
  <c r="B75" i="52"/>
  <c r="A75" i="52"/>
  <c r="AF74" i="52"/>
  <c r="AD74" i="52"/>
  <c r="AC74" i="52"/>
  <c r="U74" i="52"/>
  <c r="S74" i="52"/>
  <c r="R74" i="52"/>
  <c r="I74" i="52"/>
  <c r="G74" i="52"/>
  <c r="F74" i="52"/>
  <c r="E74" i="52"/>
  <c r="D74" i="52"/>
  <c r="C74" i="52"/>
  <c r="B74" i="52"/>
  <c r="A74" i="52"/>
  <c r="AF73" i="52"/>
  <c r="AD73" i="52"/>
  <c r="AC73" i="52"/>
  <c r="U73" i="52"/>
  <c r="S73" i="52"/>
  <c r="R73" i="52"/>
  <c r="I73" i="52"/>
  <c r="G73" i="52"/>
  <c r="F73" i="52"/>
  <c r="E73" i="52"/>
  <c r="D73" i="52"/>
  <c r="C73" i="52"/>
  <c r="B73" i="52"/>
  <c r="A73" i="52"/>
  <c r="AF72" i="52"/>
  <c r="AD72" i="52"/>
  <c r="AC72" i="52"/>
  <c r="U72" i="52"/>
  <c r="S72" i="52"/>
  <c r="R72" i="52"/>
  <c r="I72" i="52"/>
  <c r="G72" i="52"/>
  <c r="F72" i="52"/>
  <c r="E72" i="52"/>
  <c r="D72" i="52"/>
  <c r="C72" i="52"/>
  <c r="B72" i="52"/>
  <c r="A72" i="52"/>
  <c r="AV71" i="52"/>
  <c r="AU71" i="52"/>
  <c r="AT71" i="52"/>
  <c r="AS71" i="52"/>
  <c r="AP71" i="52"/>
  <c r="AO71" i="52"/>
  <c r="AN71" i="52"/>
  <c r="AM71" i="52"/>
  <c r="AK71" i="52"/>
  <c r="AI71" i="52"/>
  <c r="AH71" i="52"/>
  <c r="AG71" i="52"/>
  <c r="AF71" i="52"/>
  <c r="AD71" i="52"/>
  <c r="AC71" i="52"/>
  <c r="AA71" i="52"/>
  <c r="Z71" i="52"/>
  <c r="Y71" i="52"/>
  <c r="X71" i="52"/>
  <c r="W71" i="52"/>
  <c r="V71" i="52"/>
  <c r="U71" i="52"/>
  <c r="S71" i="52"/>
  <c r="R71" i="52"/>
  <c r="O71" i="52"/>
  <c r="N71" i="52"/>
  <c r="M71" i="52"/>
  <c r="L71" i="52"/>
  <c r="K71" i="52"/>
  <c r="J71" i="52"/>
  <c r="I71" i="52"/>
  <c r="G71" i="52"/>
  <c r="F71" i="52"/>
  <c r="E71" i="52"/>
  <c r="D71" i="52"/>
  <c r="C71" i="52"/>
  <c r="B71" i="52"/>
  <c r="A71" i="52"/>
  <c r="O68" i="52"/>
  <c r="N68" i="52"/>
  <c r="M68" i="52"/>
  <c r="J68" i="52"/>
  <c r="I68" i="52"/>
  <c r="H68" i="52"/>
  <c r="O67" i="52"/>
  <c r="N67" i="52"/>
  <c r="M67" i="52"/>
  <c r="J67" i="52"/>
  <c r="I67" i="52"/>
  <c r="H67" i="52"/>
  <c r="O66" i="52"/>
  <c r="N66" i="52"/>
  <c r="M66" i="52"/>
  <c r="J66" i="52"/>
  <c r="I66" i="52"/>
  <c r="H66" i="52"/>
  <c r="O65" i="52"/>
  <c r="N65" i="52"/>
  <c r="M65" i="52"/>
  <c r="J65" i="52"/>
  <c r="I65" i="52"/>
  <c r="H65" i="52"/>
  <c r="O64" i="52"/>
  <c r="N64" i="52"/>
  <c r="M64" i="52"/>
  <c r="J64" i="52"/>
  <c r="I64" i="52"/>
  <c r="H64" i="52"/>
  <c r="O63" i="52"/>
  <c r="N63" i="52"/>
  <c r="M63" i="52"/>
  <c r="J63" i="52"/>
  <c r="I63" i="52"/>
  <c r="H63" i="52"/>
  <c r="O62" i="52"/>
  <c r="N62" i="52"/>
  <c r="M62" i="52"/>
  <c r="J62" i="52"/>
  <c r="I62" i="52"/>
  <c r="H62" i="52"/>
  <c r="O61" i="52"/>
  <c r="N61" i="52"/>
  <c r="M61" i="52"/>
  <c r="J61" i="52"/>
  <c r="I61" i="52"/>
  <c r="H61" i="52"/>
  <c r="Z60" i="52"/>
  <c r="Y60" i="52"/>
  <c r="X60" i="52"/>
  <c r="Z59" i="52"/>
  <c r="Y59" i="52"/>
  <c r="X59" i="52"/>
  <c r="Z58" i="52"/>
  <c r="Y58" i="52"/>
  <c r="X58" i="52"/>
  <c r="Z57" i="52"/>
  <c r="Y57" i="52"/>
  <c r="X57" i="52"/>
  <c r="X56" i="52"/>
  <c r="P56" i="52"/>
  <c r="O56" i="52"/>
  <c r="N56" i="52"/>
  <c r="K56" i="52"/>
  <c r="J56" i="52"/>
  <c r="I56" i="52"/>
  <c r="P55" i="52"/>
  <c r="O55" i="52"/>
  <c r="N55" i="52"/>
  <c r="K55" i="52"/>
  <c r="J55" i="52"/>
  <c r="I55" i="52"/>
  <c r="P54" i="52"/>
  <c r="O54" i="52"/>
  <c r="N54" i="52"/>
  <c r="K54" i="52"/>
  <c r="J54" i="52"/>
  <c r="I54" i="52"/>
  <c r="P53" i="52"/>
  <c r="O53" i="52"/>
  <c r="N53" i="52"/>
  <c r="K53" i="52"/>
  <c r="J53" i="52"/>
  <c r="I53" i="52"/>
  <c r="P52" i="52"/>
  <c r="O52" i="52"/>
  <c r="N52" i="52"/>
  <c r="K52" i="52"/>
  <c r="J52" i="52"/>
  <c r="I52" i="52"/>
  <c r="P51" i="52"/>
  <c r="O51" i="52"/>
  <c r="N51" i="52"/>
  <c r="K51" i="52"/>
  <c r="J51" i="52"/>
  <c r="I51" i="52"/>
  <c r="P50" i="52"/>
  <c r="O50" i="52"/>
  <c r="N50" i="52"/>
  <c r="K50" i="52"/>
  <c r="J50" i="52"/>
  <c r="I50" i="52"/>
  <c r="C46" i="52"/>
  <c r="B46" i="52"/>
  <c r="C45" i="52"/>
  <c r="B45" i="52"/>
  <c r="C44" i="52"/>
  <c r="B44" i="52"/>
  <c r="C43" i="52"/>
  <c r="B43" i="52"/>
  <c r="C42" i="52"/>
  <c r="B42" i="52"/>
  <c r="C41" i="52"/>
  <c r="B41" i="52"/>
  <c r="R38" i="52"/>
  <c r="Q38" i="52"/>
  <c r="P38" i="52"/>
  <c r="O38" i="52"/>
  <c r="I38" i="52"/>
  <c r="H38" i="52"/>
  <c r="E38" i="52"/>
  <c r="R37" i="52"/>
  <c r="Q37" i="52"/>
  <c r="P37" i="52"/>
  <c r="O37" i="52"/>
  <c r="I37" i="52"/>
  <c r="H37" i="52"/>
  <c r="E37" i="52"/>
  <c r="R36" i="52"/>
  <c r="Q36" i="52"/>
  <c r="P36" i="52"/>
  <c r="O36" i="52"/>
  <c r="I36" i="52"/>
  <c r="H36" i="52"/>
  <c r="E36" i="52"/>
  <c r="R35" i="52"/>
  <c r="Q35" i="52"/>
  <c r="P35" i="52"/>
  <c r="O35" i="52"/>
  <c r="I35" i="52"/>
  <c r="H35" i="52"/>
  <c r="E35" i="52"/>
  <c r="R34" i="52"/>
  <c r="Q34" i="52"/>
  <c r="P34" i="52"/>
  <c r="O34" i="52"/>
  <c r="I34" i="52"/>
  <c r="H34" i="52"/>
  <c r="E34" i="52"/>
  <c r="R33" i="52"/>
  <c r="Q33" i="52"/>
  <c r="P33" i="52"/>
  <c r="O33" i="52"/>
  <c r="I33" i="52"/>
  <c r="H33" i="52"/>
  <c r="E33" i="52"/>
  <c r="B24" i="52"/>
  <c r="B22" i="52"/>
  <c r="B19" i="52"/>
  <c r="D15" i="52"/>
  <c r="J14" i="52"/>
  <c r="I14" i="52"/>
  <c r="H14" i="52"/>
  <c r="D14" i="52"/>
  <c r="J13" i="52"/>
  <c r="I13" i="52"/>
  <c r="H13" i="52"/>
  <c r="D13" i="52"/>
  <c r="J12" i="52"/>
  <c r="I12" i="52"/>
  <c r="H12" i="52"/>
  <c r="D12" i="52"/>
  <c r="J11" i="52"/>
  <c r="I11" i="52"/>
  <c r="H11" i="52"/>
  <c r="D11" i="52"/>
  <c r="H10" i="52"/>
  <c r="D10" i="52"/>
  <c r="D9" i="52"/>
  <c r="D8" i="52"/>
  <c r="AG76" i="53"/>
  <c r="AE76" i="53"/>
  <c r="AD76" i="53"/>
  <c r="U76" i="53"/>
  <c r="S76" i="53"/>
  <c r="R76" i="53"/>
  <c r="I76" i="53"/>
  <c r="G76" i="53"/>
  <c r="F76" i="53"/>
  <c r="E76" i="53"/>
  <c r="D76" i="53"/>
  <c r="C76" i="53"/>
  <c r="B76" i="53"/>
  <c r="A76" i="53"/>
  <c r="AG75" i="53"/>
  <c r="AE75" i="53"/>
  <c r="AD75" i="53"/>
  <c r="U75" i="53"/>
  <c r="S75" i="53"/>
  <c r="R75" i="53"/>
  <c r="I75" i="53"/>
  <c r="G75" i="53"/>
  <c r="F75" i="53"/>
  <c r="E75" i="53"/>
  <c r="D75" i="53"/>
  <c r="C75" i="53"/>
  <c r="B75" i="53"/>
  <c r="A75" i="53"/>
  <c r="AG74" i="53"/>
  <c r="AE74" i="53"/>
  <c r="AD74" i="53"/>
  <c r="U74" i="53"/>
  <c r="S74" i="53"/>
  <c r="R74" i="53"/>
  <c r="I74" i="53"/>
  <c r="G74" i="53"/>
  <c r="F74" i="53"/>
  <c r="E74" i="53"/>
  <c r="D74" i="53"/>
  <c r="C74" i="53"/>
  <c r="B74" i="53"/>
  <c r="A74" i="53"/>
  <c r="AG73" i="53"/>
  <c r="AE73" i="53"/>
  <c r="AD73" i="53"/>
  <c r="U73" i="53"/>
  <c r="S73" i="53"/>
  <c r="R73" i="53"/>
  <c r="I73" i="53"/>
  <c r="G73" i="53"/>
  <c r="F73" i="53"/>
  <c r="E73" i="53"/>
  <c r="D73" i="53"/>
  <c r="C73" i="53"/>
  <c r="B73" i="53"/>
  <c r="A73" i="53"/>
  <c r="AG72" i="53"/>
  <c r="AE72" i="53"/>
  <c r="AD72" i="53"/>
  <c r="U72" i="53"/>
  <c r="S72" i="53"/>
  <c r="R72" i="53"/>
  <c r="I72" i="53"/>
  <c r="G72" i="53"/>
  <c r="F72" i="53"/>
  <c r="E72" i="53"/>
  <c r="D72" i="53"/>
  <c r="C72" i="53"/>
  <c r="B72" i="53"/>
  <c r="A72" i="53"/>
  <c r="AW71" i="53"/>
  <c r="AV71" i="53"/>
  <c r="AU71" i="53"/>
  <c r="AT71" i="53"/>
  <c r="AQ71" i="53"/>
  <c r="AP71" i="53"/>
  <c r="AO71" i="53"/>
  <c r="AN71" i="53"/>
  <c r="AL71" i="53"/>
  <c r="AJ71" i="53"/>
  <c r="AI71" i="53"/>
  <c r="AH71" i="53"/>
  <c r="AG71" i="53"/>
  <c r="AE71" i="53"/>
  <c r="AD71" i="53"/>
  <c r="AA71" i="53"/>
  <c r="Z71" i="53"/>
  <c r="Y71" i="53"/>
  <c r="X71" i="53"/>
  <c r="W71" i="53"/>
  <c r="V71" i="53"/>
  <c r="U71" i="53"/>
  <c r="S71" i="53"/>
  <c r="R71" i="53"/>
  <c r="O71" i="53"/>
  <c r="N71" i="53"/>
  <c r="M71" i="53"/>
  <c r="L71" i="53"/>
  <c r="K71" i="53"/>
  <c r="J71" i="53"/>
  <c r="I71" i="53"/>
  <c r="G71" i="53"/>
  <c r="F71" i="53"/>
  <c r="E71" i="53"/>
  <c r="D71" i="53"/>
  <c r="C71" i="53"/>
  <c r="B71" i="53"/>
  <c r="A71" i="53"/>
  <c r="O68" i="53"/>
  <c r="N68" i="53"/>
  <c r="M68" i="53"/>
  <c r="J68" i="53"/>
  <c r="I68" i="53"/>
  <c r="H68" i="53"/>
  <c r="O67" i="53"/>
  <c r="N67" i="53"/>
  <c r="M67" i="53"/>
  <c r="J67" i="53"/>
  <c r="I67" i="53"/>
  <c r="H67" i="53"/>
  <c r="O66" i="53"/>
  <c r="N66" i="53"/>
  <c r="M66" i="53"/>
  <c r="J66" i="53"/>
  <c r="I66" i="53"/>
  <c r="H66" i="53"/>
  <c r="O65" i="53"/>
  <c r="N65" i="53"/>
  <c r="M65" i="53"/>
  <c r="J65" i="53"/>
  <c r="I65" i="53"/>
  <c r="H65" i="53"/>
  <c r="O64" i="53"/>
  <c r="N64" i="53"/>
  <c r="M64" i="53"/>
  <c r="J64" i="53"/>
  <c r="I64" i="53"/>
  <c r="H64" i="53"/>
  <c r="O63" i="53"/>
  <c r="N63" i="53"/>
  <c r="M63" i="53"/>
  <c r="J63" i="53"/>
  <c r="I63" i="53"/>
  <c r="H63" i="53"/>
  <c r="O62" i="53"/>
  <c r="N62" i="53"/>
  <c r="M62" i="53"/>
  <c r="J62" i="53"/>
  <c r="I62" i="53"/>
  <c r="H62" i="53"/>
  <c r="O61" i="53"/>
  <c r="N61" i="53"/>
  <c r="M61" i="53"/>
  <c r="J61" i="53"/>
  <c r="I61" i="53"/>
  <c r="H61" i="53"/>
  <c r="Z60" i="53"/>
  <c r="Y60" i="53"/>
  <c r="X60" i="53"/>
  <c r="Z59" i="53"/>
  <c r="Y59" i="53"/>
  <c r="X59" i="53"/>
  <c r="Z58" i="53"/>
  <c r="Y58" i="53"/>
  <c r="X58" i="53"/>
  <c r="Z57" i="53"/>
  <c r="Y57" i="53"/>
  <c r="X57" i="53"/>
  <c r="X56" i="53"/>
  <c r="P56" i="53"/>
  <c r="O56" i="53"/>
  <c r="N56" i="53"/>
  <c r="K56" i="53"/>
  <c r="J56" i="53"/>
  <c r="I56" i="53"/>
  <c r="P55" i="53"/>
  <c r="O55" i="53"/>
  <c r="N55" i="53"/>
  <c r="K55" i="53"/>
  <c r="J55" i="53"/>
  <c r="I55" i="53"/>
  <c r="P54" i="53"/>
  <c r="O54" i="53"/>
  <c r="N54" i="53"/>
  <c r="K54" i="53"/>
  <c r="J54" i="53"/>
  <c r="I54" i="53"/>
  <c r="P53" i="53"/>
  <c r="O53" i="53"/>
  <c r="N53" i="53"/>
  <c r="K53" i="53"/>
  <c r="J53" i="53"/>
  <c r="I53" i="53"/>
  <c r="P52" i="53"/>
  <c r="O52" i="53"/>
  <c r="N52" i="53"/>
  <c r="K52" i="53"/>
  <c r="J52" i="53"/>
  <c r="I52" i="53"/>
  <c r="P51" i="53"/>
  <c r="O51" i="53"/>
  <c r="N51" i="53"/>
  <c r="K51" i="53"/>
  <c r="J51" i="53"/>
  <c r="I51" i="53"/>
  <c r="P50" i="53"/>
  <c r="O50" i="53"/>
  <c r="N50" i="53"/>
  <c r="K50" i="53"/>
  <c r="J50" i="53"/>
  <c r="I50" i="53"/>
  <c r="C46" i="53"/>
  <c r="B46" i="53"/>
  <c r="C45" i="53"/>
  <c r="B45" i="53"/>
  <c r="C44" i="53"/>
  <c r="B44" i="53"/>
  <c r="C43" i="53"/>
  <c r="B43" i="53"/>
  <c r="C42" i="53"/>
  <c r="B42" i="53"/>
  <c r="C41" i="53"/>
  <c r="B41" i="53"/>
  <c r="R38" i="53"/>
  <c r="Q38" i="53"/>
  <c r="P38" i="53"/>
  <c r="O38" i="53"/>
  <c r="I38" i="53"/>
  <c r="H38" i="53"/>
  <c r="E38" i="53"/>
  <c r="R37" i="53"/>
  <c r="Q37" i="53"/>
  <c r="P37" i="53"/>
  <c r="O37" i="53"/>
  <c r="I37" i="53"/>
  <c r="H37" i="53"/>
  <c r="E37" i="53"/>
  <c r="R36" i="53"/>
  <c r="Q36" i="53"/>
  <c r="P36" i="53"/>
  <c r="O36" i="53"/>
  <c r="I36" i="53"/>
  <c r="H36" i="53"/>
  <c r="E36" i="53"/>
  <c r="R35" i="53"/>
  <c r="Q35" i="53"/>
  <c r="P35" i="53"/>
  <c r="O35" i="53"/>
  <c r="I35" i="53"/>
  <c r="H35" i="53"/>
  <c r="E35" i="53"/>
  <c r="R34" i="53"/>
  <c r="Q34" i="53"/>
  <c r="P34" i="53"/>
  <c r="O34" i="53"/>
  <c r="M34" i="53"/>
  <c r="I34" i="53"/>
  <c r="H34" i="53"/>
  <c r="E34" i="53"/>
  <c r="R33" i="53"/>
  <c r="Q33" i="53"/>
  <c r="P33" i="53"/>
  <c r="O33" i="53"/>
  <c r="M33" i="53"/>
  <c r="I33" i="53"/>
  <c r="H33" i="53"/>
  <c r="E33" i="53"/>
  <c r="B24" i="53"/>
  <c r="B22" i="53"/>
  <c r="B19" i="53"/>
  <c r="D15" i="53"/>
  <c r="J14" i="53"/>
  <c r="I14" i="53"/>
  <c r="H14" i="53"/>
  <c r="D14" i="53"/>
  <c r="J13" i="53"/>
  <c r="I13" i="53"/>
  <c r="H13" i="53"/>
  <c r="D13" i="53"/>
  <c r="B13" i="53"/>
  <c r="J12" i="53"/>
  <c r="I12" i="53"/>
  <c r="H12" i="53"/>
  <c r="D12" i="53"/>
  <c r="J11" i="53"/>
  <c r="I11" i="53"/>
  <c r="H11" i="53"/>
  <c r="D11" i="53"/>
  <c r="H10" i="53"/>
  <c r="D10" i="53"/>
  <c r="D9" i="53"/>
  <c r="D8" i="53"/>
  <c r="AG75" i="54"/>
  <c r="AE75" i="54"/>
  <c r="AD75" i="54"/>
  <c r="U75" i="54"/>
  <c r="S75" i="54"/>
  <c r="R75" i="54"/>
  <c r="I75" i="54"/>
  <c r="G75" i="54"/>
  <c r="F75" i="54"/>
  <c r="E75" i="54"/>
  <c r="D75" i="54"/>
  <c r="C75" i="54"/>
  <c r="B75" i="54"/>
  <c r="A75" i="54"/>
  <c r="AG74" i="54"/>
  <c r="AE74" i="54"/>
  <c r="AD74" i="54"/>
  <c r="U74" i="54"/>
  <c r="S74" i="54"/>
  <c r="R74" i="54"/>
  <c r="I74" i="54"/>
  <c r="G74" i="54"/>
  <c r="F74" i="54"/>
  <c r="E74" i="54"/>
  <c r="D74" i="54"/>
  <c r="C74" i="54"/>
  <c r="B74" i="54"/>
  <c r="A74" i="54"/>
  <c r="AG73" i="54"/>
  <c r="AE73" i="54"/>
  <c r="AD73" i="54"/>
  <c r="U73" i="54"/>
  <c r="S73" i="54"/>
  <c r="R73" i="54"/>
  <c r="I73" i="54"/>
  <c r="G73" i="54"/>
  <c r="F73" i="54"/>
  <c r="E73" i="54"/>
  <c r="D73" i="54"/>
  <c r="C73" i="54"/>
  <c r="B73" i="54"/>
  <c r="A73" i="54"/>
  <c r="AG72" i="54"/>
  <c r="AE72" i="54"/>
  <c r="AD72" i="54"/>
  <c r="U72" i="54"/>
  <c r="S72" i="54"/>
  <c r="R72" i="54"/>
  <c r="I72" i="54"/>
  <c r="G72" i="54"/>
  <c r="F72" i="54"/>
  <c r="E72" i="54"/>
  <c r="D72" i="54"/>
  <c r="C72" i="54"/>
  <c r="B72" i="54"/>
  <c r="A72" i="54"/>
  <c r="AW71" i="54"/>
  <c r="AV71" i="54"/>
  <c r="AU71" i="54"/>
  <c r="AT71" i="54"/>
  <c r="AQ71" i="54"/>
  <c r="AP71" i="54"/>
  <c r="AO71" i="54"/>
  <c r="AN71" i="54"/>
  <c r="AL71" i="54"/>
  <c r="AJ71" i="54"/>
  <c r="AI71" i="54"/>
  <c r="AH71" i="54"/>
  <c r="AG71" i="54"/>
  <c r="AE71" i="54"/>
  <c r="AD71" i="54"/>
  <c r="AA71" i="54"/>
  <c r="Z71" i="54"/>
  <c r="Y71" i="54"/>
  <c r="X71" i="54"/>
  <c r="W71" i="54"/>
  <c r="V71" i="54"/>
  <c r="U71" i="54"/>
  <c r="S71" i="54"/>
  <c r="R71" i="54"/>
  <c r="O71" i="54"/>
  <c r="N71" i="54"/>
  <c r="M71" i="54"/>
  <c r="L71" i="54"/>
  <c r="K71" i="54"/>
  <c r="J71" i="54"/>
  <c r="I71" i="54"/>
  <c r="G71" i="54"/>
  <c r="F71" i="54"/>
  <c r="E71" i="54"/>
  <c r="D71" i="54"/>
  <c r="C71" i="54"/>
  <c r="B71" i="54"/>
  <c r="A71" i="54"/>
  <c r="O68" i="54"/>
  <c r="N68" i="54"/>
  <c r="M68" i="54"/>
  <c r="J68" i="54"/>
  <c r="I68" i="54"/>
  <c r="H68" i="54"/>
  <c r="O67" i="54"/>
  <c r="N67" i="54"/>
  <c r="M67" i="54"/>
  <c r="J67" i="54"/>
  <c r="I67" i="54"/>
  <c r="H67" i="54"/>
  <c r="O65" i="54"/>
  <c r="N65" i="54"/>
  <c r="M65" i="54"/>
  <c r="J65" i="54"/>
  <c r="I65" i="54"/>
  <c r="H65" i="54"/>
  <c r="O64" i="54"/>
  <c r="N64" i="54"/>
  <c r="M64" i="54"/>
  <c r="J64" i="54"/>
  <c r="I64" i="54"/>
  <c r="H64" i="54"/>
  <c r="O63" i="54"/>
  <c r="N63" i="54"/>
  <c r="M63" i="54"/>
  <c r="J63" i="54"/>
  <c r="I63" i="54"/>
  <c r="H63" i="54"/>
  <c r="O62" i="54"/>
  <c r="N62" i="54"/>
  <c r="M62" i="54"/>
  <c r="J62" i="54"/>
  <c r="I62" i="54"/>
  <c r="H62" i="54"/>
  <c r="O61" i="54"/>
  <c r="N61" i="54"/>
  <c r="M61" i="54"/>
  <c r="J61" i="54"/>
  <c r="I61" i="54"/>
  <c r="H61" i="54"/>
  <c r="Z60" i="54"/>
  <c r="Y60" i="54"/>
  <c r="X60" i="54"/>
  <c r="Z59" i="54"/>
  <c r="Y59" i="54"/>
  <c r="X59" i="54"/>
  <c r="Z58" i="54"/>
  <c r="Y58" i="54"/>
  <c r="X58" i="54"/>
  <c r="Z57" i="54"/>
  <c r="Y57" i="54"/>
  <c r="X57" i="54"/>
  <c r="X56" i="54"/>
  <c r="P56" i="54"/>
  <c r="O56" i="54"/>
  <c r="N56" i="54"/>
  <c r="K56" i="54"/>
  <c r="J56" i="54"/>
  <c r="I56" i="54"/>
  <c r="P54" i="54"/>
  <c r="O54" i="54"/>
  <c r="N54" i="54"/>
  <c r="K54" i="54"/>
  <c r="J54" i="54"/>
  <c r="I54" i="54"/>
  <c r="P53" i="54"/>
  <c r="O53" i="54"/>
  <c r="N53" i="54"/>
  <c r="K53" i="54"/>
  <c r="J53" i="54"/>
  <c r="I53" i="54"/>
  <c r="P52" i="54"/>
  <c r="O52" i="54"/>
  <c r="N52" i="54"/>
  <c r="K52" i="54"/>
  <c r="J52" i="54"/>
  <c r="I52" i="54"/>
  <c r="P51" i="54"/>
  <c r="O51" i="54"/>
  <c r="N51" i="54"/>
  <c r="K51" i="54"/>
  <c r="J51" i="54"/>
  <c r="I51" i="54"/>
  <c r="P50" i="54"/>
  <c r="O50" i="54"/>
  <c r="N50" i="54"/>
  <c r="K50" i="54"/>
  <c r="J50" i="54"/>
  <c r="I50" i="54"/>
  <c r="C45" i="54"/>
  <c r="B45" i="54"/>
  <c r="C44" i="54"/>
  <c r="B44" i="54"/>
  <c r="C43" i="54"/>
  <c r="B43" i="54"/>
  <c r="C42" i="54"/>
  <c r="B42" i="54"/>
  <c r="C41" i="54"/>
  <c r="B41" i="54"/>
  <c r="R38" i="54"/>
  <c r="Q38" i="54"/>
  <c r="P38" i="54"/>
  <c r="O38" i="54"/>
  <c r="I38" i="54"/>
  <c r="H38" i="54"/>
  <c r="E38" i="54"/>
  <c r="R37" i="54"/>
  <c r="Q37" i="54"/>
  <c r="P37" i="54"/>
  <c r="O37" i="54"/>
  <c r="I37" i="54"/>
  <c r="H37" i="54"/>
  <c r="E37" i="54"/>
  <c r="R36" i="54"/>
  <c r="Q36" i="54"/>
  <c r="P36" i="54"/>
  <c r="O36" i="54"/>
  <c r="I36" i="54"/>
  <c r="H36" i="54"/>
  <c r="E36" i="54"/>
  <c r="R35" i="54"/>
  <c r="Q35" i="54"/>
  <c r="P35" i="54"/>
  <c r="O35" i="54"/>
  <c r="I35" i="54"/>
  <c r="H35" i="54"/>
  <c r="E35" i="54"/>
  <c r="R34" i="54"/>
  <c r="Q34" i="54"/>
  <c r="P34" i="54"/>
  <c r="O34" i="54"/>
  <c r="I34" i="54"/>
  <c r="H34" i="54"/>
  <c r="E34" i="54"/>
  <c r="R33" i="54"/>
  <c r="Q33" i="54"/>
  <c r="P33" i="54"/>
  <c r="O33" i="54"/>
  <c r="I33" i="54"/>
  <c r="H33" i="54"/>
  <c r="E33" i="54"/>
  <c r="B24" i="54"/>
  <c r="B22" i="54"/>
  <c r="B19" i="54"/>
  <c r="D15" i="54"/>
  <c r="J14" i="54"/>
  <c r="I14" i="54"/>
  <c r="H14" i="54"/>
  <c r="D14" i="54"/>
  <c r="J13" i="54"/>
  <c r="I13" i="54"/>
  <c r="H13" i="54"/>
  <c r="D13" i="54"/>
  <c r="J12" i="54"/>
  <c r="I12" i="54"/>
  <c r="H12" i="54"/>
  <c r="D12" i="54"/>
  <c r="J11" i="54"/>
  <c r="I11" i="54"/>
  <c r="H11" i="54"/>
  <c r="D11" i="54"/>
  <c r="H10" i="54"/>
  <c r="D10" i="54"/>
  <c r="D9" i="54"/>
  <c r="D8" i="54"/>
  <c r="AG74" i="55"/>
  <c r="AE74" i="55"/>
  <c r="AD74" i="55"/>
  <c r="U74" i="55"/>
  <c r="S74" i="55"/>
  <c r="R74" i="55"/>
  <c r="I74" i="55"/>
  <c r="G74" i="55"/>
  <c r="F74" i="55"/>
  <c r="E74" i="55"/>
  <c r="D74" i="55"/>
  <c r="C74" i="55"/>
  <c r="B74" i="55"/>
  <c r="A74" i="55"/>
  <c r="AG73" i="55"/>
  <c r="AE73" i="55"/>
  <c r="AD73" i="55"/>
  <c r="U73" i="55"/>
  <c r="S73" i="55"/>
  <c r="R73" i="55"/>
  <c r="I73" i="55"/>
  <c r="G73" i="55"/>
  <c r="F73" i="55"/>
  <c r="E73" i="55"/>
  <c r="D73" i="55"/>
  <c r="C73" i="55"/>
  <c r="B73" i="55"/>
  <c r="A73" i="55"/>
  <c r="AG72" i="55"/>
  <c r="AE72" i="55"/>
  <c r="AD72" i="55"/>
  <c r="U72" i="55"/>
  <c r="S72" i="55"/>
  <c r="R72" i="55"/>
  <c r="I72" i="55"/>
  <c r="G72" i="55"/>
  <c r="F72" i="55"/>
  <c r="E72" i="55"/>
  <c r="D72" i="55"/>
  <c r="C72" i="55"/>
  <c r="B72" i="55"/>
  <c r="A72" i="55"/>
  <c r="AG71" i="55"/>
  <c r="AE71" i="55"/>
  <c r="AD71" i="55"/>
  <c r="U71" i="55"/>
  <c r="S71" i="55"/>
  <c r="R71" i="55"/>
  <c r="I71" i="55"/>
  <c r="G71" i="55"/>
  <c r="F71" i="55"/>
  <c r="E71" i="55"/>
  <c r="D71" i="55"/>
  <c r="C71" i="55"/>
  <c r="B71" i="55"/>
  <c r="A71" i="55"/>
  <c r="AW70" i="55"/>
  <c r="AV70" i="55"/>
  <c r="AU70" i="55"/>
  <c r="AT70" i="55"/>
  <c r="AQ70" i="55"/>
  <c r="AP70" i="55"/>
  <c r="AO70" i="55"/>
  <c r="AN70" i="55"/>
  <c r="AL70" i="55"/>
  <c r="AJ70" i="55"/>
  <c r="AI70" i="55"/>
  <c r="AH70" i="55"/>
  <c r="AG70" i="55"/>
  <c r="AE70" i="55"/>
  <c r="AD70" i="55"/>
  <c r="AA70" i="55"/>
  <c r="Z70" i="55"/>
  <c r="Y70" i="55"/>
  <c r="X70" i="55"/>
  <c r="W70" i="55"/>
  <c r="V70" i="55"/>
  <c r="U70" i="55"/>
  <c r="S70" i="55"/>
  <c r="R70" i="55"/>
  <c r="O70" i="55"/>
  <c r="N70" i="55"/>
  <c r="M70" i="55"/>
  <c r="L70" i="55"/>
  <c r="K70" i="55"/>
  <c r="J70" i="55"/>
  <c r="I70" i="55"/>
  <c r="G70" i="55"/>
  <c r="F70" i="55"/>
  <c r="E70" i="55"/>
  <c r="D70" i="55"/>
  <c r="C70" i="55"/>
  <c r="B70" i="55"/>
  <c r="A70" i="55"/>
  <c r="O67" i="55"/>
  <c r="N67" i="55"/>
  <c r="M67" i="55"/>
  <c r="J67" i="55"/>
  <c r="I67" i="55"/>
  <c r="H67" i="55"/>
  <c r="O66" i="55"/>
  <c r="N66" i="55"/>
  <c r="M66" i="55"/>
  <c r="J66" i="55"/>
  <c r="I66" i="55"/>
  <c r="H66" i="55"/>
  <c r="O65" i="55"/>
  <c r="N65" i="55"/>
  <c r="M65" i="55"/>
  <c r="J65" i="55"/>
  <c r="I65" i="55"/>
  <c r="H65" i="55"/>
  <c r="O64" i="55"/>
  <c r="N64" i="55"/>
  <c r="M64" i="55"/>
  <c r="J64" i="55"/>
  <c r="I64" i="55"/>
  <c r="H64" i="55"/>
  <c r="O63" i="55"/>
  <c r="N63" i="55"/>
  <c r="M63" i="55"/>
  <c r="J63" i="55"/>
  <c r="I63" i="55"/>
  <c r="H63" i="55"/>
  <c r="O62" i="55"/>
  <c r="N62" i="55"/>
  <c r="M62" i="55"/>
  <c r="J62" i="55"/>
  <c r="I62" i="55"/>
  <c r="H62" i="55"/>
  <c r="O61" i="55"/>
  <c r="N61" i="55"/>
  <c r="M61" i="55"/>
  <c r="J61" i="55"/>
  <c r="I61" i="55"/>
  <c r="H61" i="55"/>
  <c r="Z60" i="55"/>
  <c r="Y60" i="55"/>
  <c r="X60" i="55"/>
  <c r="Z59" i="55"/>
  <c r="Y59" i="55"/>
  <c r="X59" i="55"/>
  <c r="Z58" i="55"/>
  <c r="Y58" i="55"/>
  <c r="X58" i="55"/>
  <c r="Z57" i="55"/>
  <c r="Y57" i="55"/>
  <c r="X57" i="55"/>
  <c r="X56" i="55"/>
  <c r="P56" i="55"/>
  <c r="O56" i="55"/>
  <c r="N56" i="55"/>
  <c r="K56" i="55"/>
  <c r="J56" i="55"/>
  <c r="I56" i="55"/>
  <c r="P54" i="55"/>
  <c r="O54" i="55"/>
  <c r="N54" i="55"/>
  <c r="K54" i="55"/>
  <c r="J54" i="55"/>
  <c r="I54" i="55"/>
  <c r="P53" i="55"/>
  <c r="O53" i="55"/>
  <c r="N53" i="55"/>
  <c r="K53" i="55"/>
  <c r="J53" i="55"/>
  <c r="I53" i="55"/>
  <c r="P52" i="55"/>
  <c r="O52" i="55"/>
  <c r="N52" i="55"/>
  <c r="K52" i="55"/>
  <c r="J52" i="55"/>
  <c r="I52" i="55"/>
  <c r="P51" i="55"/>
  <c r="O51" i="55"/>
  <c r="N51" i="55"/>
  <c r="K51" i="55"/>
  <c r="J51" i="55"/>
  <c r="I51" i="55"/>
  <c r="P50" i="55"/>
  <c r="O50" i="55"/>
  <c r="N50" i="55"/>
  <c r="K50" i="55"/>
  <c r="J50" i="55"/>
  <c r="I50" i="55"/>
  <c r="C45" i="55"/>
  <c r="B45" i="55"/>
  <c r="C44" i="55"/>
  <c r="B44" i="55"/>
  <c r="C43" i="55"/>
  <c r="B43" i="55"/>
  <c r="C42" i="55"/>
  <c r="B42" i="55"/>
  <c r="C41" i="55"/>
  <c r="B41" i="55"/>
  <c r="R38" i="55"/>
  <c r="Q38" i="55"/>
  <c r="P38" i="55"/>
  <c r="O38" i="55"/>
  <c r="I38" i="55"/>
  <c r="H38" i="55"/>
  <c r="E38" i="55"/>
  <c r="R37" i="55"/>
  <c r="Q37" i="55"/>
  <c r="P37" i="55"/>
  <c r="O37" i="55"/>
  <c r="I37" i="55"/>
  <c r="H37" i="55"/>
  <c r="E37" i="55"/>
  <c r="R36" i="55"/>
  <c r="Q36" i="55"/>
  <c r="P36" i="55"/>
  <c r="O36" i="55"/>
  <c r="I36" i="55"/>
  <c r="H36" i="55"/>
  <c r="E36" i="55"/>
  <c r="R35" i="55"/>
  <c r="Q35" i="55"/>
  <c r="P35" i="55"/>
  <c r="O35" i="55"/>
  <c r="I35" i="55"/>
  <c r="H35" i="55"/>
  <c r="E35" i="55"/>
  <c r="R34" i="55"/>
  <c r="Q34" i="55"/>
  <c r="P34" i="55"/>
  <c r="O34" i="55"/>
  <c r="I34" i="55"/>
  <c r="H34" i="55"/>
  <c r="E34" i="55"/>
  <c r="R33" i="55"/>
  <c r="Q33" i="55"/>
  <c r="P33" i="55"/>
  <c r="O33" i="55"/>
  <c r="I33" i="55"/>
  <c r="H33" i="55"/>
  <c r="E33" i="55"/>
  <c r="B24" i="55"/>
  <c r="B22" i="55"/>
  <c r="B19" i="55"/>
  <c r="D15" i="55"/>
  <c r="J14" i="55"/>
  <c r="I14" i="55"/>
  <c r="H14" i="55"/>
  <c r="D14" i="55"/>
  <c r="J13" i="55"/>
  <c r="I13" i="55"/>
  <c r="H13" i="55"/>
  <c r="D13" i="55"/>
  <c r="J12" i="55"/>
  <c r="I12" i="55"/>
  <c r="H12" i="55"/>
  <c r="D12" i="55"/>
  <c r="J11" i="55"/>
  <c r="I11" i="55"/>
  <c r="H11" i="55"/>
  <c r="D11" i="55"/>
  <c r="H10" i="55"/>
  <c r="D10" i="55"/>
  <c r="D9" i="55"/>
  <c r="D8" i="55"/>
  <c r="AK23" i="189" l="1"/>
  <c r="L97" i="189"/>
  <c r="O97" i="189" s="1"/>
  <c r="K97" i="189"/>
  <c r="N97" i="189" s="1"/>
  <c r="J97" i="189"/>
  <c r="M97" i="189" s="1"/>
  <c r="X97" i="189"/>
  <c r="W97" i="189"/>
  <c r="C37" i="189"/>
  <c r="E36" i="189"/>
  <c r="I36" i="189"/>
  <c r="A100" i="189" s="1"/>
  <c r="Q36" i="189"/>
  <c r="R36" i="189" s="1"/>
  <c r="C37" i="186"/>
  <c r="E36" i="186"/>
  <c r="I36" i="186"/>
  <c r="A100" i="186" s="1"/>
  <c r="Q36" i="186"/>
  <c r="R36" i="186" s="1"/>
  <c r="L97" i="186"/>
  <c r="O97" i="186" s="1"/>
  <c r="K97" i="186"/>
  <c r="N97" i="186" s="1"/>
  <c r="J97" i="186"/>
  <c r="M97" i="186" s="1"/>
  <c r="U98" i="186"/>
  <c r="U97" i="186"/>
  <c r="Y97" i="189" l="1"/>
  <c r="I12" i="189" s="1"/>
  <c r="V97" i="189"/>
  <c r="C38" i="189"/>
  <c r="E37" i="189"/>
  <c r="I37" i="189"/>
  <c r="A101" i="189" s="1"/>
  <c r="AG97" i="189" s="1"/>
  <c r="AK97" i="189" s="1"/>
  <c r="AM97" i="189" s="1"/>
  <c r="Q37" i="189"/>
  <c r="R37" i="189" s="1"/>
  <c r="X97" i="186"/>
  <c r="W97" i="186"/>
  <c r="E37" i="186"/>
  <c r="C38" i="186"/>
  <c r="Q37" i="186"/>
  <c r="R37" i="186" s="1"/>
  <c r="I37" i="186"/>
  <c r="A101" i="186" s="1"/>
  <c r="AJ23" i="189" l="1"/>
  <c r="C39" i="189"/>
  <c r="E38" i="189"/>
  <c r="I38" i="189"/>
  <c r="Q38" i="189"/>
  <c r="R38" i="189" s="1"/>
  <c r="Y97" i="186"/>
  <c r="I12" i="186" s="1"/>
  <c r="AJ23" i="186" s="1"/>
  <c r="AG97" i="186"/>
  <c r="AK97" i="186" s="1"/>
  <c r="AM97" i="186" s="1"/>
  <c r="E38" i="186"/>
  <c r="C39" i="186"/>
  <c r="Q38" i="186"/>
  <c r="R38" i="186" s="1"/>
  <c r="I38" i="186"/>
  <c r="V97" i="186"/>
  <c r="E39" i="189" l="1"/>
  <c r="I39" i="189"/>
  <c r="Q39" i="189"/>
  <c r="R39" i="189" s="1"/>
  <c r="E39" i="186"/>
  <c r="Q39" i="186"/>
  <c r="R39" i="186" s="1"/>
  <c r="I39" i="186"/>
  <c r="K982" i="142"/>
  <c r="G973" i="142"/>
  <c r="J222" i="142"/>
  <c r="E891" i="142"/>
  <c r="I840" i="142"/>
  <c r="J1044" i="142"/>
  <c r="L956" i="142"/>
  <c r="C768" i="142"/>
  <c r="M819" i="142"/>
  <c r="M1022" i="142"/>
  <c r="J772" i="142"/>
  <c r="D814" i="142"/>
  <c r="C977" i="142"/>
  <c r="D1047" i="142"/>
  <c r="M177" i="142"/>
  <c r="L861" i="142"/>
  <c r="D1132" i="142"/>
  <c r="C1032" i="142"/>
  <c r="F551" i="142"/>
  <c r="J839" i="142"/>
  <c r="I893" i="142"/>
  <c r="K1136" i="142"/>
  <c r="L964" i="142"/>
  <c r="K637" i="142"/>
  <c r="L918" i="142"/>
  <c r="L419" i="142"/>
  <c r="G847" i="142"/>
  <c r="I1027" i="142"/>
  <c r="F1009" i="142"/>
  <c r="H803" i="142"/>
  <c r="I917" i="142"/>
  <c r="G838" i="142"/>
  <c r="C1050" i="142"/>
  <c r="F879" i="142"/>
  <c r="G738" i="142"/>
  <c r="M825" i="142"/>
  <c r="E591" i="142"/>
  <c r="G889" i="142"/>
  <c r="M771" i="142"/>
  <c r="C841" i="142"/>
  <c r="D1003" i="142"/>
  <c r="G171" i="142"/>
  <c r="G1028" i="142"/>
  <c r="H1090" i="142"/>
  <c r="L669" i="142"/>
  <c r="K352" i="142"/>
  <c r="C834" i="142"/>
  <c r="F845" i="142"/>
  <c r="F508" i="142"/>
  <c r="H965" i="142"/>
  <c r="H1113" i="142"/>
  <c r="J180" i="142"/>
  <c r="F905" i="142"/>
  <c r="K543" i="142"/>
  <c r="E897" i="142"/>
  <c r="E1074" i="142"/>
  <c r="D218" i="142"/>
  <c r="H957" i="142"/>
  <c r="E825" i="142"/>
  <c r="E1108" i="142"/>
  <c r="F1143" i="142"/>
  <c r="D917" i="142"/>
  <c r="J732" i="142"/>
  <c r="I286" i="142"/>
  <c r="D766" i="142"/>
  <c r="G932" i="142"/>
  <c r="M340" i="142"/>
  <c r="I500" i="142"/>
  <c r="D71" i="142"/>
  <c r="E1067" i="142"/>
  <c r="I1104" i="142"/>
  <c r="E567" i="142"/>
  <c r="C1138" i="142"/>
  <c r="D920" i="142"/>
  <c r="J993" i="142"/>
  <c r="I895" i="142"/>
  <c r="F787" i="142"/>
  <c r="D811" i="142"/>
  <c r="J235" i="142"/>
  <c r="G940" i="142"/>
  <c r="I1124" i="142"/>
  <c r="E902" i="142"/>
  <c r="J119" i="142"/>
  <c r="E797" i="142"/>
  <c r="F1155" i="142"/>
  <c r="J537" i="142"/>
  <c r="D1021" i="142"/>
  <c r="M946" i="142"/>
  <c r="D398" i="142"/>
  <c r="C80" i="142"/>
  <c r="F104" i="142"/>
  <c r="G437" i="142"/>
  <c r="I769" i="142"/>
  <c r="I1004" i="142"/>
  <c r="K940" i="142"/>
  <c r="F517" i="142"/>
  <c r="J139" i="142"/>
  <c r="H603" i="142"/>
  <c r="J612" i="142"/>
  <c r="M856" i="142"/>
  <c r="G672" i="142"/>
  <c r="C1136" i="142"/>
  <c r="C575" i="142"/>
  <c r="G1123" i="142"/>
  <c r="D732" i="142"/>
  <c r="C1140" i="142"/>
  <c r="J967" i="142"/>
  <c r="E958" i="142"/>
  <c r="H1028" i="142"/>
  <c r="F34" i="142"/>
  <c r="E742" i="142"/>
  <c r="I1073" i="142"/>
  <c r="K448" i="142"/>
  <c r="C856" i="142"/>
  <c r="K955" i="142"/>
  <c r="E795" i="142"/>
  <c r="I626" i="142"/>
  <c r="H837" i="142"/>
  <c r="E1128" i="142"/>
  <c r="C934" i="142"/>
  <c r="D954" i="142"/>
  <c r="I1079" i="142"/>
  <c r="I773" i="142"/>
  <c r="H255" i="142"/>
  <c r="D195" i="142"/>
  <c r="C848" i="142"/>
  <c r="D589" i="142"/>
  <c r="D961" i="142"/>
  <c r="C864" i="142"/>
  <c r="D1098" i="142"/>
  <c r="H1032" i="142"/>
  <c r="C885" i="142"/>
  <c r="D1136" i="142"/>
  <c r="L1089" i="142"/>
  <c r="G1046" i="142"/>
  <c r="D934" i="142"/>
  <c r="C701" i="142"/>
  <c r="D1130" i="142"/>
  <c r="M1071" i="142"/>
  <c r="D1111" i="142"/>
  <c r="K1117" i="142"/>
  <c r="F266" i="142"/>
  <c r="K769" i="142"/>
  <c r="M943" i="142"/>
  <c r="F833" i="142"/>
  <c r="E971" i="142"/>
  <c r="D831" i="142"/>
  <c r="L705" i="142"/>
  <c r="E950" i="142"/>
  <c r="L281" i="142"/>
  <c r="D681" i="142"/>
  <c r="E969" i="142"/>
  <c r="G323" i="142"/>
  <c r="M940" i="142"/>
  <c r="M1027" i="142"/>
  <c r="E1065" i="142"/>
  <c r="G781" i="142"/>
  <c r="D958" i="142"/>
  <c r="D1112" i="142"/>
  <c r="H1073" i="142"/>
  <c r="I992" i="142"/>
  <c r="D774" i="142"/>
  <c r="L657" i="142"/>
  <c r="D587" i="142"/>
  <c r="M731" i="142"/>
  <c r="K1020" i="142"/>
  <c r="E1026" i="142"/>
  <c r="K1076" i="142"/>
  <c r="K686" i="142"/>
  <c r="F1081" i="142"/>
  <c r="K368" i="142"/>
  <c r="D1071" i="142"/>
  <c r="E1164" i="142"/>
  <c r="E922" i="142"/>
  <c r="G747" i="142"/>
  <c r="K944" i="142"/>
  <c r="K1004" i="142"/>
  <c r="M107" i="142"/>
  <c r="M976" i="142"/>
  <c r="H1119" i="142"/>
  <c r="J326" i="142"/>
  <c r="E1123" i="142"/>
  <c r="F852" i="142"/>
  <c r="F731" i="142"/>
  <c r="G360" i="142"/>
  <c r="M971" i="142"/>
  <c r="G1100" i="142"/>
  <c r="D577" i="142"/>
  <c r="L967" i="142"/>
  <c r="D882" i="142"/>
  <c r="D859" i="142"/>
  <c r="E1160" i="142"/>
  <c r="C1165" i="142"/>
  <c r="F678" i="142"/>
  <c r="M1072" i="142"/>
  <c r="G480" i="142"/>
  <c r="H842" i="142"/>
  <c r="I1163" i="142"/>
  <c r="F1119" i="142"/>
  <c r="M802" i="142"/>
  <c r="D788" i="142"/>
  <c r="I838" i="142"/>
  <c r="E798" i="142"/>
  <c r="D991" i="142"/>
  <c r="M579" i="142"/>
  <c r="F950" i="142"/>
  <c r="D878" i="142"/>
  <c r="E880" i="142"/>
  <c r="D710" i="142"/>
  <c r="K553" i="142"/>
  <c r="G1043" i="142"/>
  <c r="G761" i="142"/>
  <c r="I1036" i="142"/>
  <c r="L1086" i="142"/>
  <c r="E913" i="142"/>
  <c r="C1115" i="142"/>
  <c r="M603" i="142"/>
  <c r="E1038" i="142"/>
  <c r="C208" i="142"/>
  <c r="G892" i="142"/>
  <c r="J680" i="142"/>
  <c r="E916" i="142"/>
  <c r="M1096" i="142"/>
  <c r="H997" i="142"/>
  <c r="D643" i="142"/>
  <c r="H127" i="142"/>
  <c r="G1093" i="142"/>
  <c r="L1159" i="142"/>
  <c r="G438" i="142"/>
  <c r="H937" i="142"/>
  <c r="I1139" i="142"/>
  <c r="K1006" i="142"/>
  <c r="G927" i="142"/>
  <c r="D162" i="142"/>
  <c r="L815" i="142"/>
  <c r="G993" i="142"/>
  <c r="M1013" i="142"/>
  <c r="F805" i="142"/>
  <c r="I529" i="142"/>
  <c r="G556" i="142"/>
  <c r="C606" i="142"/>
  <c r="D652" i="142"/>
  <c r="I1069" i="142"/>
  <c r="J1050" i="142"/>
  <c r="F1140" i="142"/>
  <c r="J887" i="142"/>
  <c r="C343" i="142"/>
  <c r="H897" i="142"/>
  <c r="G1045" i="142"/>
  <c r="C551" i="142"/>
  <c r="K1108" i="142"/>
  <c r="H843" i="142"/>
  <c r="M968" i="142"/>
  <c r="M1093" i="142"/>
  <c r="J1009" i="142"/>
  <c r="H1140" i="142"/>
  <c r="F1077" i="142"/>
  <c r="E762" i="142"/>
  <c r="C723" i="142"/>
  <c r="L1030" i="142"/>
  <c r="H1067" i="142"/>
  <c r="F382" i="142"/>
  <c r="I761" i="142"/>
  <c r="D591" i="142"/>
  <c r="G862" i="142"/>
  <c r="C1114" i="142"/>
  <c r="G977" i="142"/>
  <c r="D953" i="142"/>
  <c r="I1161" i="142"/>
  <c r="L1126" i="142"/>
  <c r="J1020" i="142"/>
  <c r="I844" i="142"/>
  <c r="G946" i="142"/>
  <c r="L486" i="142"/>
  <c r="K705" i="142"/>
  <c r="K319" i="142"/>
  <c r="E827" i="142"/>
  <c r="H779" i="142"/>
  <c r="H1159" i="142"/>
  <c r="H564" i="142"/>
  <c r="K1160" i="142"/>
  <c r="E461" i="142"/>
  <c r="G289" i="142"/>
  <c r="M934" i="142"/>
  <c r="K1057" i="142"/>
  <c r="F1122" i="142"/>
  <c r="C175" i="142"/>
  <c r="K1029" i="142"/>
  <c r="M756" i="142"/>
  <c r="M1113" i="142"/>
  <c r="H868" i="142"/>
  <c r="H1130" i="142"/>
  <c r="D677" i="142"/>
  <c r="F74" i="142"/>
  <c r="J860" i="142"/>
  <c r="J884" i="142"/>
  <c r="I1159" i="142"/>
  <c r="M1052" i="142"/>
  <c r="M690" i="142"/>
  <c r="K674" i="142"/>
  <c r="L954" i="142"/>
  <c r="H1050" i="142"/>
  <c r="D1025" i="142"/>
  <c r="E1107" i="142"/>
  <c r="I1148" i="142"/>
  <c r="J526" i="142"/>
  <c r="J737" i="142"/>
  <c r="J966" i="142"/>
  <c r="F654" i="142"/>
  <c r="J1089" i="142"/>
  <c r="L784" i="142"/>
  <c r="K1074" i="142"/>
  <c r="C670" i="142"/>
  <c r="J1069" i="142"/>
  <c r="K837" i="142"/>
  <c r="I880" i="142"/>
  <c r="L743" i="142"/>
  <c r="H991" i="142"/>
  <c r="M794" i="142"/>
  <c r="F995" i="142"/>
  <c r="I1050" i="142"/>
  <c r="J706" i="142"/>
  <c r="L703" i="142"/>
  <c r="M941" i="142"/>
  <c r="D950" i="142"/>
  <c r="C1067" i="142"/>
  <c r="M1111" i="142"/>
  <c r="J668" i="142"/>
  <c r="L850" i="142"/>
  <c r="M699" i="142"/>
  <c r="G904" i="142"/>
  <c r="F897" i="142"/>
  <c r="I798" i="142"/>
  <c r="K1009" i="142"/>
  <c r="D1012" i="142"/>
  <c r="I1078" i="142"/>
  <c r="M162" i="142"/>
  <c r="E923" i="142"/>
  <c r="L1006" i="142"/>
  <c r="G884" i="142"/>
  <c r="J1114" i="142"/>
  <c r="G614" i="142"/>
  <c r="E109" i="142"/>
  <c r="L915" i="142"/>
  <c r="F669" i="142"/>
  <c r="E949" i="142"/>
  <c r="L353" i="142"/>
  <c r="J132" i="142"/>
  <c r="K999" i="142"/>
  <c r="C681" i="142"/>
  <c r="G74" i="142"/>
  <c r="C1024" i="142"/>
  <c r="J1156" i="142"/>
  <c r="K455" i="142"/>
  <c r="K1024" i="142"/>
  <c r="K766" i="142"/>
  <c r="K1035" i="142"/>
  <c r="C775" i="142"/>
  <c r="I775" i="142"/>
  <c r="D669" i="142"/>
  <c r="M1068" i="142"/>
  <c r="E539" i="142"/>
  <c r="M124" i="142"/>
  <c r="M1081" i="142"/>
  <c r="C278" i="142"/>
  <c r="L894" i="142"/>
  <c r="M1062" i="142"/>
  <c r="M890" i="142"/>
  <c r="M1158" i="142"/>
  <c r="M853" i="142"/>
  <c r="G931" i="142"/>
  <c r="G588" i="142"/>
  <c r="K874" i="142"/>
  <c r="J1040" i="142"/>
  <c r="K80" i="142"/>
  <c r="E42" i="142"/>
  <c r="E996" i="142"/>
  <c r="C1072" i="142"/>
  <c r="K948" i="142"/>
  <c r="C967" i="142"/>
  <c r="C1096" i="142"/>
  <c r="G850" i="142"/>
  <c r="M877" i="142"/>
  <c r="G741" i="142"/>
  <c r="M978" i="142"/>
  <c r="D699" i="142"/>
  <c r="H540" i="142"/>
  <c r="I751" i="142"/>
  <c r="L808" i="142"/>
  <c r="H217" i="142"/>
  <c r="L877" i="142"/>
  <c r="H704" i="142"/>
  <c r="L994" i="142"/>
  <c r="G1002" i="142"/>
  <c r="G790" i="142"/>
  <c r="C1127" i="142"/>
  <c r="J991" i="142"/>
  <c r="K1156" i="142"/>
  <c r="E1105" i="142"/>
  <c r="H1154" i="142"/>
  <c r="H967" i="142"/>
  <c r="L1097" i="142"/>
  <c r="J1119" i="142"/>
  <c r="K246" i="142"/>
  <c r="F821" i="142"/>
  <c r="G962" i="142"/>
  <c r="H1129" i="142"/>
  <c r="D981" i="142"/>
  <c r="G956" i="142"/>
  <c r="D1129" i="142"/>
  <c r="J744" i="142"/>
  <c r="C581" i="142"/>
  <c r="M1010" i="142"/>
  <c r="J1086" i="142"/>
  <c r="F811" i="142"/>
  <c r="H1151" i="142"/>
  <c r="L782" i="142"/>
  <c r="K956" i="142"/>
  <c r="M1092" i="142"/>
  <c r="G1004" i="142"/>
  <c r="I323" i="142"/>
  <c r="E972" i="142"/>
  <c r="F1162" i="142"/>
  <c r="G865" i="142"/>
  <c r="H756" i="142"/>
  <c r="F216" i="142"/>
  <c r="M1061" i="142"/>
  <c r="D691" i="142"/>
  <c r="L768" i="142"/>
  <c r="K966" i="142"/>
  <c r="G565" i="142"/>
  <c r="F24" i="142"/>
  <c r="G1161" i="142"/>
  <c r="E723" i="142"/>
  <c r="J769" i="142"/>
  <c r="D949" i="142"/>
  <c r="I885" i="142"/>
  <c r="M398" i="142"/>
  <c r="L1018" i="142"/>
  <c r="I1112" i="142"/>
  <c r="J840" i="142"/>
  <c r="C745" i="142"/>
  <c r="F1149" i="142"/>
  <c r="C565" i="142"/>
  <c r="F243" i="142"/>
  <c r="L472" i="142"/>
  <c r="M787" i="142"/>
  <c r="G1090" i="142"/>
  <c r="F1086" i="142"/>
  <c r="C812" i="142"/>
  <c r="M979" i="142"/>
  <c r="F300" i="142"/>
  <c r="K470" i="142"/>
  <c r="I1145" i="142"/>
  <c r="K817" i="142"/>
  <c r="D944" i="142"/>
  <c r="D1064" i="142"/>
  <c r="L770" i="142"/>
  <c r="K360" i="142"/>
  <c r="I974" i="142"/>
  <c r="D1007" i="142"/>
  <c r="D727" i="142"/>
  <c r="E1018" i="142"/>
  <c r="J1008" i="142"/>
  <c r="G1013" i="142"/>
  <c r="E599" i="142"/>
  <c r="K207" i="142"/>
  <c r="K708" i="142"/>
  <c r="F1148" i="142"/>
  <c r="E218" i="142"/>
  <c r="M648" i="142"/>
  <c r="L811" i="142"/>
  <c r="E1050" i="142"/>
  <c r="D705" i="142"/>
  <c r="I699" i="142"/>
  <c r="F1064" i="142"/>
  <c r="F225" i="142"/>
  <c r="F751" i="142"/>
  <c r="G952" i="142"/>
  <c r="K1099" i="142"/>
  <c r="M666" i="142"/>
  <c r="L1123" i="142"/>
  <c r="D1009" i="142"/>
  <c r="D806" i="142"/>
  <c r="K832" i="142"/>
  <c r="G1151" i="142"/>
  <c r="I1013" i="142"/>
  <c r="F868" i="142"/>
  <c r="F1062" i="142"/>
  <c r="C1109" i="142"/>
  <c r="K613" i="142"/>
  <c r="E903" i="142"/>
  <c r="K1039" i="142"/>
  <c r="J630" i="142"/>
  <c r="J894" i="142"/>
  <c r="D1076" i="142"/>
  <c r="F946" i="142"/>
  <c r="E70" i="142"/>
  <c r="F437" i="142"/>
  <c r="H581" i="142"/>
  <c r="D938" i="142"/>
  <c r="J846" i="142"/>
  <c r="H956" i="142"/>
  <c r="D468" i="142"/>
  <c r="K1091" i="142"/>
  <c r="F838" i="142"/>
  <c r="G1108" i="142"/>
  <c r="F873" i="142"/>
  <c r="K961" i="142"/>
  <c r="M1128" i="142"/>
  <c r="C483" i="142"/>
  <c r="I850" i="142"/>
  <c r="F854" i="142"/>
  <c r="I1121" i="142"/>
  <c r="D993" i="142"/>
  <c r="G288" i="142"/>
  <c r="G816" i="142"/>
  <c r="H954" i="142"/>
  <c r="I973" i="142"/>
  <c r="I1048" i="142"/>
  <c r="J826" i="142"/>
  <c r="K818" i="142"/>
  <c r="G435" i="142"/>
  <c r="L987" i="142"/>
  <c r="F1105" i="142"/>
  <c r="C801" i="142"/>
  <c r="K678" i="142"/>
  <c r="J1073" i="142"/>
  <c r="H793" i="142"/>
  <c r="I831" i="142"/>
  <c r="I760" i="142"/>
  <c r="K633" i="142"/>
  <c r="L1098" i="142"/>
  <c r="H1069" i="142"/>
  <c r="C1119" i="142"/>
  <c r="I619" i="142"/>
  <c r="H661" i="142"/>
  <c r="J26" i="142"/>
  <c r="F992" i="142"/>
  <c r="M751" i="142"/>
  <c r="H1061" i="142"/>
  <c r="G1164" i="142"/>
  <c r="C721" i="142"/>
  <c r="L1034" i="142"/>
  <c r="L499" i="142"/>
  <c r="H915" i="142"/>
  <c r="G988" i="142"/>
  <c r="G923" i="142"/>
  <c r="L966" i="142"/>
  <c r="D357" i="142"/>
  <c r="J1085" i="142"/>
  <c r="G1126" i="142"/>
  <c r="H1010" i="142"/>
  <c r="J1098" i="142"/>
  <c r="M1083" i="142"/>
  <c r="J888" i="142"/>
  <c r="G466" i="142"/>
  <c r="J202" i="142"/>
  <c r="L913" i="142"/>
  <c r="F591" i="142"/>
  <c r="E810" i="142"/>
  <c r="C1106" i="142"/>
  <c r="K617" i="142"/>
  <c r="E1166" i="142"/>
  <c r="M992" i="142"/>
  <c r="E73" i="142"/>
  <c r="K770" i="142"/>
  <c r="H890" i="142"/>
  <c r="J364" i="142"/>
  <c r="I794" i="142"/>
  <c r="H951" i="142"/>
  <c r="G744" i="142"/>
  <c r="E844" i="142"/>
  <c r="J1102" i="142"/>
  <c r="D1067" i="142"/>
  <c r="G1014" i="142"/>
  <c r="J1031" i="142"/>
  <c r="E99" i="142"/>
  <c r="E1072" i="142"/>
  <c r="J563" i="142"/>
  <c r="D1052" i="142"/>
  <c r="D674" i="142"/>
  <c r="J625" i="142"/>
  <c r="J1138" i="142"/>
  <c r="F687" i="142"/>
  <c r="M56" i="142"/>
  <c r="I990" i="142"/>
  <c r="J851" i="142"/>
  <c r="I220" i="142"/>
  <c r="G753" i="142"/>
  <c r="C258" i="142"/>
  <c r="K1041" i="142"/>
  <c r="F784" i="142"/>
  <c r="D851" i="142"/>
  <c r="K863" i="142"/>
  <c r="I446" i="142"/>
  <c r="D1158" i="142"/>
  <c r="G907" i="142"/>
  <c r="C699" i="142"/>
  <c r="K1046" i="142"/>
  <c r="F1059" i="142"/>
  <c r="F738" i="142"/>
  <c r="L1047" i="142"/>
  <c r="F849" i="142"/>
  <c r="H737" i="142"/>
  <c r="D996" i="142"/>
  <c r="F1154" i="142"/>
  <c r="D905" i="142"/>
  <c r="C828" i="142"/>
  <c r="C956" i="142"/>
  <c r="M907" i="142"/>
  <c r="H152" i="142"/>
  <c r="J327" i="142"/>
  <c r="F1066" i="142"/>
  <c r="K692" i="142"/>
  <c r="G722" i="142"/>
  <c r="G396" i="142"/>
  <c r="F337" i="142"/>
  <c r="C917" i="142"/>
  <c r="L975" i="142"/>
  <c r="J678" i="142"/>
  <c r="C867" i="142"/>
  <c r="G813" i="142"/>
  <c r="G839" i="142"/>
  <c r="H857" i="142"/>
  <c r="E850" i="142"/>
  <c r="L881" i="142"/>
  <c r="F558" i="142"/>
  <c r="H1092" i="142"/>
  <c r="C620" i="142"/>
  <c r="F780" i="142"/>
  <c r="D288" i="142"/>
  <c r="I1051" i="142"/>
  <c r="H1062" i="142"/>
  <c r="C735" i="142"/>
  <c r="L716" i="142"/>
  <c r="L694" i="142"/>
  <c r="C1139" i="142"/>
  <c r="D946" i="142"/>
  <c r="J752" i="142"/>
  <c r="K1153" i="142"/>
  <c r="E1077" i="142"/>
  <c r="J447" i="142"/>
  <c r="H826" i="142"/>
  <c r="I1105" i="142"/>
  <c r="L612" i="142"/>
  <c r="C1010" i="142"/>
  <c r="H1150" i="142"/>
  <c r="M831" i="142"/>
  <c r="M1146" i="142"/>
  <c r="I903" i="142"/>
  <c r="G843" i="142"/>
  <c r="G990" i="142"/>
  <c r="H853" i="142"/>
  <c r="M374" i="142"/>
  <c r="I1158" i="142"/>
  <c r="D524" i="142"/>
  <c r="L778" i="142"/>
  <c r="E1136" i="142"/>
  <c r="K1012" i="142"/>
  <c r="I931" i="142"/>
  <c r="F757" i="142"/>
  <c r="H484" i="142"/>
  <c r="E774" i="142"/>
  <c r="L833" i="142"/>
  <c r="E847" i="142"/>
  <c r="D847" i="142"/>
  <c r="G972" i="142"/>
  <c r="J1067" i="142"/>
  <c r="L407" i="142"/>
  <c r="K895" i="142"/>
  <c r="D976" i="142"/>
  <c r="D342" i="142"/>
  <c r="L919" i="142"/>
  <c r="J775" i="142"/>
  <c r="D895" i="142"/>
  <c r="J1002" i="142"/>
  <c r="K1097" i="142"/>
  <c r="H209" i="142"/>
  <c r="J68" i="142"/>
  <c r="G1133" i="142"/>
  <c r="F1076" i="142"/>
  <c r="J397" i="142"/>
  <c r="K107" i="142"/>
  <c r="H1005" i="142"/>
  <c r="M763" i="142"/>
  <c r="E359" i="142"/>
  <c r="C117" i="142"/>
  <c r="J569" i="142"/>
  <c r="J1023" i="142"/>
  <c r="F327" i="142"/>
  <c r="L1045" i="142"/>
  <c r="E696" i="142"/>
  <c r="I995" i="142"/>
  <c r="E904" i="142"/>
  <c r="H654" i="142"/>
  <c r="E974" i="142"/>
  <c r="M870" i="142"/>
  <c r="M812" i="142"/>
  <c r="E939" i="142"/>
  <c r="M994" i="142"/>
  <c r="D743" i="142"/>
  <c r="E486" i="142"/>
  <c r="K1103" i="142"/>
  <c r="E163" i="142"/>
  <c r="G864" i="142"/>
  <c r="L444" i="142"/>
  <c r="I1088" i="142"/>
  <c r="K1093" i="142"/>
  <c r="F934" i="142"/>
  <c r="C748" i="142"/>
  <c r="H1034" i="142"/>
  <c r="F789" i="142"/>
  <c r="G665" i="142"/>
  <c r="H717" i="142"/>
  <c r="C858" i="142"/>
  <c r="I727" i="142"/>
  <c r="E649" i="142"/>
  <c r="K172" i="142"/>
  <c r="D867" i="142"/>
  <c r="M448" i="142"/>
  <c r="L973" i="142"/>
  <c r="I692" i="142"/>
  <c r="I584" i="142"/>
  <c r="E221" i="142"/>
  <c r="K16" i="142"/>
  <c r="G1113" i="142"/>
  <c r="H820" i="142"/>
  <c r="F665" i="142"/>
  <c r="E1034" i="142"/>
  <c r="L1146" i="142"/>
  <c r="M811" i="142"/>
  <c r="G975" i="142"/>
  <c r="H1106" i="142"/>
  <c r="H975" i="142"/>
  <c r="L738" i="142"/>
  <c r="F917" i="142"/>
  <c r="E529" i="142"/>
  <c r="D112" i="142"/>
  <c r="H1064" i="142"/>
  <c r="D370" i="142"/>
  <c r="C1102" i="142"/>
  <c r="L476" i="142"/>
  <c r="F369" i="142"/>
  <c r="M128" i="142"/>
  <c r="D862" i="142"/>
  <c r="M1060" i="142"/>
  <c r="F915" i="142"/>
  <c r="C791" i="142"/>
  <c r="H851" i="142"/>
  <c r="K996" i="142"/>
  <c r="K1159" i="142"/>
  <c r="K1139" i="142"/>
  <c r="J859" i="142"/>
  <c r="I1083" i="142"/>
  <c r="I987" i="142"/>
  <c r="F452" i="142"/>
  <c r="D1028" i="142"/>
  <c r="H1153" i="142"/>
  <c r="I329" i="142"/>
  <c r="F883" i="142"/>
  <c r="C982" i="142"/>
  <c r="H852" i="142"/>
  <c r="I789" i="142"/>
  <c r="C679" i="142"/>
  <c r="G1042" i="142"/>
  <c r="J992" i="142"/>
  <c r="F816" i="142"/>
  <c r="K954" i="142"/>
  <c r="F951" i="142"/>
  <c r="E1011" i="142"/>
  <c r="F668" i="142"/>
  <c r="C780" i="142"/>
  <c r="C390" i="142"/>
  <c r="F1072" i="142"/>
  <c r="M1026" i="142"/>
  <c r="G920" i="142"/>
  <c r="D893" i="142"/>
  <c r="I386" i="142"/>
  <c r="I1086" i="142"/>
  <c r="E1081" i="142"/>
  <c r="L857" i="142"/>
  <c r="E1068" i="142"/>
  <c r="J45" i="142"/>
  <c r="J702" i="142"/>
  <c r="G854" i="142"/>
  <c r="J1104" i="142"/>
  <c r="I628" i="142"/>
  <c r="D948" i="142"/>
  <c r="H986" i="142"/>
  <c r="K926" i="142"/>
  <c r="D1107" i="142"/>
  <c r="C1074" i="142"/>
  <c r="G488" i="142"/>
  <c r="J719" i="142"/>
  <c r="M903" i="142"/>
  <c r="F948" i="142"/>
  <c r="G951" i="142"/>
  <c r="E777" i="142"/>
  <c r="M948" i="142"/>
  <c r="E97" i="142"/>
  <c r="L875" i="142"/>
  <c r="M955" i="142"/>
  <c r="D621" i="142"/>
  <c r="M881" i="142"/>
  <c r="K1031" i="142"/>
  <c r="L890" i="142"/>
  <c r="G600" i="142"/>
  <c r="I807" i="142"/>
  <c r="D834" i="142"/>
  <c r="C854" i="142"/>
  <c r="M1140" i="142"/>
  <c r="L33" i="142"/>
  <c r="I1054" i="142"/>
  <c r="M1137" i="142"/>
  <c r="M534" i="142"/>
  <c r="H1076" i="142"/>
  <c r="C600" i="142"/>
  <c r="J867" i="142"/>
  <c r="L436" i="142"/>
  <c r="I1134" i="142"/>
  <c r="G802" i="142"/>
  <c r="M608" i="142"/>
  <c r="G1142" i="142"/>
  <c r="E908" i="142"/>
  <c r="G225" i="142"/>
  <c r="J174" i="142"/>
  <c r="F604" i="142"/>
  <c r="D1141" i="142"/>
  <c r="E776" i="142"/>
  <c r="L1008" i="142"/>
  <c r="F886" i="142"/>
  <c r="I556" i="142"/>
  <c r="I1022" i="142"/>
  <c r="C1075" i="142"/>
  <c r="G1015" i="142"/>
  <c r="F1054" i="142"/>
  <c r="M1064" i="142"/>
  <c r="I1023" i="142"/>
  <c r="E498" i="142"/>
  <c r="C803" i="142"/>
  <c r="K126" i="142"/>
  <c r="L938" i="142"/>
  <c r="J899" i="142"/>
  <c r="J278" i="142"/>
  <c r="M827" i="142"/>
  <c r="F985" i="142"/>
  <c r="G901" i="142"/>
  <c r="C602" i="142"/>
  <c r="M477" i="142"/>
  <c r="C68" i="142"/>
  <c r="M503" i="142"/>
  <c r="H380" i="142"/>
  <c r="H404" i="142"/>
  <c r="K802" i="142"/>
  <c r="F147" i="142"/>
  <c r="E999" i="142"/>
  <c r="G84" i="142"/>
  <c r="G928" i="142"/>
  <c r="H246" i="142"/>
  <c r="C204" i="142"/>
  <c r="M770" i="142"/>
  <c r="C926" i="142"/>
  <c r="G1073" i="142"/>
  <c r="K729" i="142"/>
  <c r="H941" i="142"/>
  <c r="K180" i="142"/>
  <c r="E831" i="142"/>
  <c r="M997" i="142"/>
  <c r="K276" i="142"/>
  <c r="E915" i="142"/>
  <c r="C555" i="142"/>
  <c r="F1096" i="142"/>
  <c r="H823" i="142"/>
  <c r="M1130" i="142"/>
  <c r="I820" i="142"/>
  <c r="J205" i="142"/>
  <c r="F1023" i="142"/>
  <c r="M436" i="142"/>
  <c r="D912" i="142"/>
  <c r="J853" i="142"/>
  <c r="M754" i="142"/>
  <c r="H945" i="142"/>
  <c r="K1110" i="142"/>
  <c r="K130" i="142"/>
  <c r="G823" i="142"/>
  <c r="G1148" i="142"/>
  <c r="J1083" i="142"/>
  <c r="F1024" i="142"/>
  <c r="K1161" i="142"/>
  <c r="C846" i="142"/>
  <c r="H912" i="142"/>
  <c r="D943" i="142"/>
  <c r="J1087" i="142"/>
  <c r="C1159" i="142"/>
  <c r="M1166" i="142"/>
  <c r="J1065" i="142"/>
  <c r="L969" i="142"/>
  <c r="D742" i="142"/>
  <c r="M549" i="142"/>
  <c r="E1008" i="142"/>
  <c r="K843" i="142"/>
  <c r="H1001" i="142"/>
  <c r="K1011" i="142"/>
  <c r="K1025" i="142"/>
  <c r="M709" i="142"/>
  <c r="L1021" i="142"/>
  <c r="L588" i="142"/>
  <c r="J604" i="142"/>
  <c r="J1060" i="142"/>
  <c r="C879" i="142"/>
  <c r="M693" i="142"/>
  <c r="F1078" i="142"/>
  <c r="M450" i="142"/>
  <c r="C802" i="142"/>
  <c r="G1052" i="142"/>
  <c r="L1148" i="142"/>
  <c r="M799" i="142"/>
  <c r="I1058" i="142"/>
  <c r="F983" i="142"/>
  <c r="C1055" i="142"/>
  <c r="I781" i="142"/>
  <c r="C1111" i="142"/>
  <c r="F998" i="142"/>
  <c r="M673" i="142"/>
  <c r="J1033" i="142"/>
  <c r="K1167" i="142"/>
  <c r="G1140" i="142"/>
  <c r="I177" i="142"/>
  <c r="M1142" i="142"/>
  <c r="C1008" i="142"/>
  <c r="K339" i="142"/>
  <c r="J69" i="142"/>
  <c r="I868" i="142"/>
  <c r="H460" i="142"/>
  <c r="D323" i="142"/>
  <c r="F987" i="142"/>
  <c r="G819" i="142"/>
  <c r="I993" i="142"/>
  <c r="L1167" i="142"/>
  <c r="H567" i="142"/>
  <c r="H748" i="142"/>
  <c r="G1120" i="142"/>
  <c r="I1165" i="142"/>
  <c r="D1095" i="142"/>
  <c r="L1024" i="142"/>
  <c r="H1065" i="142"/>
  <c r="C528" i="142"/>
  <c r="G265" i="142"/>
  <c r="L1100" i="142"/>
  <c r="F1055" i="142"/>
  <c r="G811" i="142"/>
  <c r="E914" i="142"/>
  <c r="H7" i="142"/>
  <c r="E202" i="142"/>
  <c r="K441" i="142"/>
  <c r="I776" i="142"/>
  <c r="I912" i="142"/>
  <c r="D959" i="142"/>
  <c r="J1110" i="142"/>
  <c r="I1156" i="142"/>
  <c r="F1147" i="142"/>
  <c r="H969" i="142"/>
  <c r="E896" i="142"/>
  <c r="K914" i="142"/>
  <c r="I559" i="142"/>
  <c r="H876" i="142"/>
  <c r="H1156" i="142"/>
  <c r="C796" i="142"/>
  <c r="E811" i="142"/>
  <c r="J32" i="142"/>
  <c r="D830" i="142"/>
  <c r="M233" i="142"/>
  <c r="J930" i="142"/>
  <c r="I489" i="142"/>
  <c r="J1057" i="142"/>
  <c r="G1048" i="142"/>
  <c r="C772" i="142"/>
  <c r="K324" i="142"/>
  <c r="I977" i="142"/>
  <c r="H1108" i="142"/>
  <c r="J811" i="142"/>
  <c r="M954" i="142"/>
  <c r="G798" i="142"/>
  <c r="I468" i="142"/>
  <c r="J558" i="142"/>
  <c r="G1122" i="142"/>
  <c r="K611" i="142"/>
  <c r="F701" i="142"/>
  <c r="D200" i="142"/>
  <c r="G772" i="142"/>
  <c r="I572" i="142"/>
  <c r="M944" i="142"/>
  <c r="D253" i="142"/>
  <c r="G1080" i="142"/>
  <c r="M866" i="142"/>
  <c r="J481" i="142"/>
  <c r="I209" i="142"/>
  <c r="D767" i="142"/>
  <c r="E1060" i="142"/>
  <c r="C958" i="142"/>
  <c r="F1047" i="142"/>
  <c r="J1157" i="142"/>
  <c r="F1111" i="142"/>
  <c r="G944" i="142"/>
  <c r="H1100" i="142"/>
  <c r="M846" i="142"/>
  <c r="H1070" i="142"/>
  <c r="E1154" i="142"/>
  <c r="M967" i="142"/>
  <c r="L646" i="142"/>
  <c r="G1021" i="142"/>
  <c r="D1051" i="142"/>
  <c r="H1118" i="142"/>
  <c r="K572" i="142"/>
  <c r="H1110" i="142"/>
  <c r="F800" i="142"/>
  <c r="H675" i="142"/>
  <c r="J984" i="142"/>
  <c r="D983" i="142"/>
  <c r="F622" i="142"/>
  <c r="E911" i="142"/>
  <c r="I681" i="142"/>
  <c r="F585" i="142"/>
  <c r="J892" i="142"/>
  <c r="D1079" i="142"/>
  <c r="E81" i="142"/>
  <c r="M1150" i="142"/>
  <c r="G868" i="142"/>
  <c r="H1066" i="142"/>
  <c r="M783" i="142"/>
  <c r="L851" i="142"/>
  <c r="M851" i="142"/>
  <c r="J740" i="142"/>
  <c r="K873" i="142"/>
  <c r="I809" i="142"/>
  <c r="I509" i="142"/>
  <c r="F869" i="142"/>
  <c r="J1120" i="142"/>
  <c r="J102" i="142"/>
  <c r="I1082" i="142"/>
  <c r="M1076" i="142"/>
  <c r="H765" i="142"/>
  <c r="M987" i="142"/>
  <c r="J616" i="142"/>
  <c r="J1117" i="142"/>
  <c r="M563" i="142"/>
  <c r="C853" i="142"/>
  <c r="E981" i="142"/>
  <c r="I1034" i="142"/>
  <c r="E919" i="142"/>
  <c r="D779" i="142"/>
  <c r="E1145" i="142"/>
  <c r="E606" i="142"/>
  <c r="G883" i="142"/>
  <c r="I905" i="142"/>
  <c r="L1028" i="142"/>
  <c r="F303" i="142"/>
  <c r="F829" i="142"/>
  <c r="J677" i="142"/>
  <c r="F1089" i="142"/>
  <c r="F871" i="142"/>
  <c r="G1061" i="142"/>
  <c r="K685" i="142"/>
  <c r="F200" i="142"/>
  <c r="G1132" i="142"/>
  <c r="D573" i="142"/>
  <c r="L1025" i="142"/>
  <c r="M647" i="142"/>
  <c r="I1038" i="142"/>
  <c r="E953" i="142"/>
  <c r="G869" i="142"/>
  <c r="H713" i="142"/>
  <c r="I543" i="142"/>
  <c r="K1016" i="142"/>
  <c r="D871" i="142"/>
  <c r="C1044" i="142"/>
  <c r="G269" i="142"/>
  <c r="H767" i="142"/>
  <c r="K842" i="142"/>
  <c r="G1035" i="142"/>
  <c r="G1051" i="142"/>
  <c r="L259" i="142"/>
  <c r="H859" i="142"/>
  <c r="C594" i="142"/>
  <c r="H758" i="142"/>
  <c r="J922" i="142"/>
  <c r="D904" i="142"/>
  <c r="L936" i="142"/>
  <c r="J60" i="142"/>
  <c r="G189" i="142"/>
  <c r="M803" i="142"/>
  <c r="M236" i="142"/>
  <c r="M525" i="142"/>
  <c r="I989" i="142"/>
  <c r="K200" i="142"/>
  <c r="F824" i="142"/>
  <c r="J1149" i="142"/>
  <c r="F277" i="142"/>
  <c r="G1095" i="142"/>
  <c r="K987" i="142"/>
  <c r="L788" i="142"/>
  <c r="M864" i="142"/>
  <c r="I1020" i="142"/>
  <c r="H331" i="142"/>
  <c r="D188" i="142"/>
  <c r="F477" i="142"/>
  <c r="G836" i="142"/>
  <c r="L1003" i="142"/>
  <c r="F978" i="142"/>
  <c r="E1053" i="142"/>
  <c r="M1152" i="142"/>
  <c r="L412" i="142"/>
  <c r="I629" i="142"/>
  <c r="F312" i="142"/>
  <c r="K904" i="142"/>
  <c r="K332" i="142"/>
  <c r="C556" i="142"/>
  <c r="D1102" i="142"/>
  <c r="G1001" i="142"/>
  <c r="E872" i="142"/>
  <c r="J956" i="142"/>
  <c r="M1057" i="142"/>
  <c r="C408" i="142"/>
  <c r="J1135" i="142"/>
  <c r="I954" i="142"/>
  <c r="H802" i="142"/>
  <c r="J1028" i="142"/>
  <c r="E828" i="142"/>
  <c r="L1014" i="142"/>
  <c r="M1087" i="142"/>
  <c r="M995" i="142"/>
  <c r="H1166" i="142"/>
  <c r="M1091" i="142"/>
  <c r="L785" i="142"/>
  <c r="H98" i="142"/>
  <c r="J1106" i="142"/>
  <c r="D973" i="142"/>
  <c r="L522" i="142"/>
  <c r="C1006" i="142"/>
  <c r="M1144" i="142"/>
  <c r="L1155" i="142"/>
  <c r="C855" i="142"/>
  <c r="C1073" i="142"/>
  <c r="L1143" i="142"/>
  <c r="H1082" i="142"/>
  <c r="F1020" i="142"/>
  <c r="G115" i="142"/>
  <c r="H667" i="142"/>
  <c r="L1049" i="142"/>
  <c r="C375" i="142"/>
  <c r="I836" i="142"/>
  <c r="M951" i="142"/>
  <c r="G1018" i="142"/>
  <c r="E695" i="142"/>
  <c r="J1015" i="142"/>
  <c r="L22" i="142"/>
  <c r="L963" i="142"/>
  <c r="L995" i="142"/>
  <c r="C1020" i="142"/>
  <c r="K1132" i="142"/>
  <c r="D1144" i="142"/>
  <c r="H901" i="142"/>
  <c r="C940" i="142"/>
  <c r="M915" i="142"/>
  <c r="K1070" i="142"/>
  <c r="G732" i="142"/>
  <c r="C446" i="142"/>
  <c r="G795" i="142"/>
  <c r="C901" i="142"/>
  <c r="G1086" i="142"/>
  <c r="E917" i="142"/>
  <c r="D869" i="142"/>
  <c r="G1162" i="142"/>
  <c r="M1139" i="142"/>
  <c r="H623" i="142"/>
  <c r="G983" i="142"/>
  <c r="K834" i="142"/>
  <c r="J1058" i="142"/>
  <c r="H513" i="142"/>
  <c r="C933" i="142"/>
  <c r="H962" i="142"/>
  <c r="F736" i="142"/>
  <c r="D418" i="142"/>
  <c r="C1152" i="142"/>
  <c r="E745" i="142"/>
  <c r="D989" i="142"/>
  <c r="I1017" i="142"/>
  <c r="I978" i="142"/>
  <c r="M806" i="142"/>
  <c r="M984" i="142"/>
  <c r="F691" i="142"/>
  <c r="I662" i="142"/>
  <c r="D518" i="142"/>
  <c r="H244" i="142"/>
  <c r="I1032" i="142"/>
  <c r="M1008" i="142"/>
  <c r="C309" i="142"/>
  <c r="M969" i="142"/>
  <c r="C902" i="142"/>
  <c r="C1064" i="142"/>
  <c r="J939" i="142"/>
  <c r="J1124" i="142"/>
  <c r="K862" i="142"/>
  <c r="F650" i="142"/>
  <c r="C1129" i="142"/>
  <c r="M873" i="142"/>
  <c r="J1061" i="142"/>
  <c r="K1163" i="142"/>
  <c r="D731" i="142"/>
  <c r="L723" i="142"/>
  <c r="E956" i="142"/>
  <c r="E1000" i="142"/>
  <c r="K671" i="142"/>
  <c r="C862" i="142"/>
  <c r="J797" i="142"/>
  <c r="C506" i="142"/>
  <c r="L1147" i="142"/>
  <c r="E1007" i="142"/>
  <c r="F737" i="142"/>
  <c r="D1046" i="142"/>
  <c r="E1156" i="142"/>
  <c r="J1107" i="142"/>
  <c r="H878" i="142"/>
  <c r="D931" i="142"/>
  <c r="K871" i="142"/>
  <c r="M1132" i="142"/>
  <c r="C431" i="142"/>
  <c r="H800" i="142"/>
  <c r="H947" i="142"/>
  <c r="K942" i="142"/>
  <c r="I345" i="142"/>
  <c r="K223" i="142"/>
  <c r="C202" i="142"/>
  <c r="E527" i="142"/>
  <c r="L1110" i="142"/>
  <c r="M332" i="142"/>
  <c r="H911" i="142"/>
  <c r="M139" i="142"/>
  <c r="J1019" i="142"/>
  <c r="F1159" i="142"/>
  <c r="F388" i="142"/>
  <c r="L998" i="142"/>
  <c r="F770" i="142"/>
  <c r="D1126" i="142"/>
  <c r="K569" i="142"/>
  <c r="E1133" i="142"/>
  <c r="H1117" i="142"/>
  <c r="E952" i="142"/>
  <c r="K406" i="142"/>
  <c r="I1153" i="142"/>
  <c r="I1152" i="142"/>
  <c r="H751" i="142"/>
  <c r="G848" i="142"/>
  <c r="F1039" i="142"/>
  <c r="G982" i="142"/>
  <c r="E1001" i="142"/>
  <c r="L1067" i="142"/>
  <c r="L1138" i="142"/>
  <c r="J1016" i="142"/>
  <c r="I1097" i="142"/>
  <c r="M630" i="142"/>
  <c r="E672" i="142"/>
  <c r="K669" i="142"/>
  <c r="F1031" i="142"/>
  <c r="D1090" i="142"/>
  <c r="H1049" i="142"/>
  <c r="L827" i="142"/>
  <c r="F935" i="142"/>
  <c r="D986" i="142"/>
  <c r="L1127" i="142"/>
  <c r="C720" i="142"/>
  <c r="K1050" i="142"/>
  <c r="H955" i="142"/>
  <c r="D138" i="142"/>
  <c r="H982" i="142"/>
  <c r="L1057" i="142"/>
  <c r="I1108" i="142"/>
  <c r="D452" i="142"/>
  <c r="K928" i="142"/>
  <c r="I106" i="142"/>
  <c r="K1054" i="142"/>
  <c r="I1062" i="142"/>
  <c r="H825" i="142"/>
  <c r="K32" i="142"/>
  <c r="C687" i="142"/>
  <c r="I475" i="142"/>
  <c r="J902" i="142"/>
  <c r="K900" i="142"/>
  <c r="C1116" i="142"/>
  <c r="L949" i="142"/>
  <c r="L1026" i="142"/>
  <c r="L1069" i="142"/>
  <c r="M1136" i="142"/>
  <c r="I922" i="142"/>
  <c r="F251" i="142"/>
  <c r="F122" i="142"/>
  <c r="H1022" i="142"/>
  <c r="E566" i="142"/>
  <c r="J903" i="142"/>
  <c r="K962" i="142"/>
  <c r="M408" i="142"/>
  <c r="H1044" i="142"/>
  <c r="C605" i="142"/>
  <c r="D18" i="142"/>
  <c r="H594" i="142"/>
  <c r="D564" i="142"/>
  <c r="K189" i="142"/>
  <c r="E946" i="142"/>
  <c r="H1143" i="142"/>
  <c r="G1134" i="142"/>
  <c r="I573" i="142"/>
  <c r="I796" i="142"/>
  <c r="K750" i="142"/>
  <c r="L1079" i="142"/>
  <c r="H412" i="142"/>
  <c r="E493" i="142"/>
  <c r="D1036" i="142"/>
  <c r="L406" i="142"/>
  <c r="M839" i="142"/>
  <c r="D1145" i="142"/>
  <c r="E945" i="142"/>
  <c r="E655" i="142"/>
  <c r="G589" i="142"/>
  <c r="C206" i="142"/>
  <c r="D1157" i="142"/>
  <c r="K1040" i="142"/>
  <c r="C1141" i="142"/>
  <c r="D285" i="142"/>
  <c r="J412" i="142"/>
  <c r="L834" i="142"/>
  <c r="K582" i="142"/>
  <c r="J261" i="142"/>
  <c r="L1125" i="142"/>
  <c r="J969" i="142"/>
  <c r="I857" i="142"/>
  <c r="C725" i="142"/>
  <c r="I788" i="142"/>
  <c r="J725" i="142"/>
  <c r="J208" i="142"/>
  <c r="K939" i="142"/>
  <c r="E927" i="142"/>
  <c r="E998" i="142"/>
  <c r="D957" i="142"/>
  <c r="J1158" i="142"/>
  <c r="J861" i="142"/>
  <c r="G934" i="142"/>
  <c r="H696" i="142"/>
  <c r="L102" i="142"/>
  <c r="D928" i="142"/>
  <c r="C664" i="142"/>
  <c r="M1090" i="142"/>
  <c r="F796" i="142"/>
  <c r="J548" i="142"/>
  <c r="E1043" i="142"/>
  <c r="F1106" i="142"/>
  <c r="H839" i="142"/>
  <c r="I1015" i="142"/>
  <c r="H953" i="142"/>
  <c r="G518" i="142"/>
  <c r="E791" i="142"/>
  <c r="D575" i="142"/>
  <c r="F196" i="142"/>
  <c r="M704" i="142"/>
  <c r="G882" i="142"/>
  <c r="F772" i="142"/>
  <c r="D135" i="142"/>
  <c r="K870" i="142"/>
  <c r="C1048" i="142"/>
  <c r="F1058" i="142"/>
  <c r="H1013" i="142"/>
  <c r="M1149" i="142"/>
  <c r="D968" i="142"/>
  <c r="J200" i="142"/>
  <c r="D1088" i="142"/>
  <c r="F866" i="142"/>
  <c r="J682" i="142"/>
  <c r="K728" i="142"/>
  <c r="L916" i="142"/>
  <c r="E1106" i="142"/>
  <c r="K1028" i="142"/>
  <c r="J1032" i="142"/>
  <c r="E287" i="142"/>
  <c r="H1057" i="142"/>
  <c r="H462" i="142"/>
  <c r="K622" i="142"/>
  <c r="M722" i="142"/>
  <c r="E982" i="142"/>
  <c r="F933" i="142"/>
  <c r="I967" i="142"/>
  <c r="F945" i="142"/>
  <c r="J345" i="142"/>
  <c r="M1123" i="142"/>
  <c r="G9" i="142"/>
  <c r="J1035" i="142"/>
  <c r="G996" i="142"/>
  <c r="H840" i="142"/>
  <c r="L674" i="142"/>
  <c r="M939" i="142"/>
  <c r="G948" i="142"/>
  <c r="F1057" i="142"/>
  <c r="D1027" i="142"/>
  <c r="G627" i="142"/>
  <c r="M719" i="142"/>
  <c r="C945" i="142"/>
  <c r="M1000" i="142"/>
  <c r="J950" i="142"/>
  <c r="J1118" i="142"/>
  <c r="K868" i="142"/>
  <c r="G1084" i="142"/>
  <c r="J209" i="142"/>
  <c r="H917" i="142"/>
  <c r="E749" i="142"/>
  <c r="K1126" i="142"/>
  <c r="H961" i="142"/>
  <c r="F1010" i="142"/>
  <c r="M1103" i="142"/>
  <c r="E986" i="142"/>
  <c r="L821" i="142"/>
  <c r="J838" i="142"/>
  <c r="G724" i="142"/>
  <c r="E894" i="142"/>
  <c r="D803" i="142"/>
  <c r="C1058" i="142"/>
  <c r="G870" i="142"/>
  <c r="E1029" i="142"/>
  <c r="H299" i="142"/>
  <c r="K923" i="142"/>
  <c r="L663" i="142"/>
  <c r="F947" i="142"/>
  <c r="F1085" i="142"/>
  <c r="I726" i="142"/>
  <c r="C253" i="142"/>
  <c r="K1150" i="142"/>
  <c r="C589" i="142"/>
  <c r="F974" i="142"/>
  <c r="L19" i="142"/>
  <c r="F700" i="142"/>
  <c r="K258" i="142"/>
  <c r="E722" i="142"/>
  <c r="L997" i="142"/>
  <c r="I1081" i="142"/>
  <c r="E920" i="142"/>
  <c r="K841" i="142"/>
  <c r="J1024" i="142"/>
  <c r="E552" i="142"/>
  <c r="F904" i="142"/>
  <c r="D574" i="142"/>
  <c r="G636" i="142"/>
  <c r="D1087" i="142"/>
  <c r="F1052" i="142"/>
  <c r="H447" i="142"/>
  <c r="K586" i="142"/>
  <c r="C1043" i="142"/>
  <c r="E78" i="142"/>
  <c r="K839" i="142"/>
  <c r="E842" i="142"/>
  <c r="H1098" i="142"/>
  <c r="K1019" i="142"/>
  <c r="G1005" i="142"/>
  <c r="F835" i="142"/>
  <c r="K1134" i="142"/>
  <c r="F1041" i="142"/>
  <c r="G1020" i="142"/>
  <c r="F856" i="142"/>
  <c r="F354" i="142"/>
  <c r="D781" i="142"/>
  <c r="E812" i="142"/>
  <c r="I1046" i="142"/>
  <c r="L1145" i="142"/>
  <c r="C315" i="142"/>
  <c r="L909" i="142"/>
  <c r="D639" i="142"/>
  <c r="K123" i="142"/>
  <c r="M791" i="142"/>
  <c r="F867" i="142"/>
  <c r="H910" i="142"/>
  <c r="C894" i="142"/>
  <c r="H154" i="142"/>
  <c r="K7" i="142"/>
  <c r="L467" i="142"/>
  <c r="L369" i="142"/>
  <c r="L1062" i="142"/>
  <c r="L769" i="142"/>
  <c r="C842" i="142"/>
  <c r="M68" i="142"/>
  <c r="M1110" i="142"/>
  <c r="C487" i="142"/>
  <c r="I934" i="142"/>
  <c r="E215" i="142"/>
  <c r="K1069" i="142"/>
  <c r="F1083" i="142"/>
  <c r="F1115" i="142"/>
  <c r="I158" i="142"/>
  <c r="D1092" i="142"/>
  <c r="K1044" i="142"/>
  <c r="J850" i="142"/>
  <c r="K753" i="142"/>
  <c r="J852" i="142"/>
  <c r="F1022" i="142"/>
  <c r="G596" i="142"/>
  <c r="M798" i="142"/>
  <c r="J1099" i="142"/>
  <c r="K992" i="142"/>
  <c r="F975" i="142"/>
  <c r="D1161" i="142"/>
  <c r="I540" i="142"/>
  <c r="L944" i="142"/>
  <c r="E976" i="142"/>
  <c r="M1124" i="142"/>
  <c r="K1014" i="142"/>
  <c r="D1000" i="142"/>
  <c r="E907" i="142"/>
  <c r="E1035" i="142"/>
  <c r="G1075" i="142"/>
  <c r="L843" i="142"/>
  <c r="L1153" i="142"/>
  <c r="G1163" i="142"/>
  <c r="M947" i="142"/>
  <c r="L1099" i="142"/>
  <c r="E744" i="142"/>
  <c r="I946" i="142"/>
  <c r="I1141" i="142"/>
  <c r="L1063" i="142"/>
  <c r="G1038" i="142"/>
  <c r="M1165" i="142"/>
  <c r="J792" i="142"/>
  <c r="F1132" i="142"/>
  <c r="K913" i="142"/>
  <c r="D888" i="142"/>
  <c r="D988" i="142"/>
  <c r="K1100" i="142"/>
  <c r="J1159" i="142"/>
  <c r="C736" i="142"/>
  <c r="D824" i="142"/>
  <c r="H1036" i="142"/>
  <c r="C919" i="142"/>
  <c r="L346" i="142"/>
  <c r="E1152" i="142"/>
  <c r="K1022" i="142"/>
  <c r="M640" i="142"/>
  <c r="F339" i="142"/>
  <c r="M993" i="142"/>
  <c r="F1136" i="142"/>
  <c r="C983" i="142"/>
  <c r="H808" i="142"/>
  <c r="L623" i="142"/>
  <c r="F1100" i="142"/>
  <c r="I972" i="142"/>
  <c r="M1040" i="142"/>
  <c r="C1107" i="142"/>
  <c r="D759" i="142"/>
  <c r="D1149" i="142"/>
  <c r="I631" i="142"/>
  <c r="K481" i="142"/>
  <c r="K903" i="142"/>
  <c r="C757" i="142"/>
  <c r="C1158" i="142"/>
  <c r="D966" i="142"/>
  <c r="H836" i="142"/>
  <c r="I716" i="142"/>
  <c r="G543" i="142"/>
  <c r="I1053" i="142"/>
  <c r="C1153" i="142"/>
  <c r="I653" i="142"/>
  <c r="E369" i="142"/>
  <c r="H220" i="142"/>
  <c r="D916" i="142"/>
  <c r="F1157" i="142"/>
  <c r="I451" i="142"/>
  <c r="K867" i="142"/>
  <c r="C311" i="142"/>
  <c r="H1089" i="142"/>
  <c r="D703" i="142"/>
  <c r="E301" i="142"/>
  <c r="G1160" i="142"/>
  <c r="I264" i="142"/>
  <c r="L676" i="142"/>
  <c r="C183" i="142"/>
  <c r="D1113" i="142"/>
  <c r="F912" i="142"/>
  <c r="C1155" i="142"/>
  <c r="G1044" i="142"/>
  <c r="J449" i="142"/>
  <c r="J1042" i="142"/>
  <c r="D758" i="142"/>
  <c r="M895" i="142"/>
  <c r="L1002" i="142"/>
  <c r="D922" i="142"/>
  <c r="C827" i="142"/>
  <c r="J1003" i="142"/>
  <c r="J724" i="142"/>
  <c r="J1043" i="142"/>
  <c r="C994" i="142"/>
  <c r="L740" i="142"/>
  <c r="G183" i="142"/>
  <c r="J536" i="142"/>
  <c r="M1086" i="142"/>
  <c r="I944" i="142"/>
  <c r="H960" i="142"/>
  <c r="E832" i="142"/>
  <c r="D443" i="142"/>
  <c r="G1099" i="142"/>
  <c r="L604" i="142"/>
  <c r="E753" i="142"/>
  <c r="E989" i="142"/>
  <c r="M1115" i="142"/>
  <c r="C331" i="142"/>
  <c r="F1028" i="142"/>
  <c r="L446" i="142"/>
  <c r="K647" i="142"/>
  <c r="L957" i="142"/>
  <c r="D1133" i="142"/>
  <c r="K667" i="142"/>
  <c r="F803" i="142"/>
  <c r="C876" i="142"/>
  <c r="F988" i="142"/>
  <c r="I685" i="142"/>
  <c r="L900" i="142"/>
  <c r="D880" i="142"/>
  <c r="L848" i="142"/>
  <c r="J1056" i="142"/>
  <c r="M965" i="142"/>
  <c r="D1049" i="142"/>
  <c r="C1012" i="142"/>
  <c r="J986" i="142"/>
  <c r="D932" i="142"/>
  <c r="K891" i="142"/>
  <c r="H931" i="142"/>
  <c r="K884" i="142"/>
  <c r="F957" i="142"/>
  <c r="J908" i="142"/>
  <c r="F989" i="142"/>
  <c r="K937" i="142"/>
  <c r="K1072" i="142"/>
  <c r="K1155" i="142"/>
  <c r="H725" i="142"/>
  <c r="F710" i="142"/>
  <c r="F1142" i="142"/>
  <c r="D739" i="142"/>
  <c r="I669" i="142"/>
  <c r="J1001" i="142"/>
  <c r="I817" i="142"/>
  <c r="F804" i="142"/>
  <c r="L477" i="142"/>
  <c r="I1155" i="142"/>
  <c r="I643" i="142"/>
  <c r="K1125" i="142"/>
  <c r="H688" i="142"/>
  <c r="E610" i="142"/>
  <c r="C860" i="142"/>
  <c r="E713" i="142"/>
  <c r="H1051" i="142"/>
  <c r="K757" i="142"/>
  <c r="C965" i="142"/>
  <c r="E1056" i="142"/>
  <c r="D550" i="142"/>
  <c r="G210" i="142"/>
  <c r="G1072" i="142"/>
  <c r="C952" i="142"/>
  <c r="D808" i="142"/>
  <c r="I633" i="142"/>
  <c r="F952" i="142"/>
  <c r="E242" i="142"/>
  <c r="C948" i="142"/>
  <c r="L828" i="142"/>
  <c r="M1100" i="142"/>
  <c r="K931" i="142"/>
  <c r="D1118" i="142"/>
  <c r="I829" i="142"/>
  <c r="L836" i="142"/>
  <c r="L1059" i="142"/>
  <c r="E716" i="142"/>
  <c r="L831" i="142"/>
  <c r="M1084" i="142"/>
  <c r="I754" i="142"/>
  <c r="I1075" i="142"/>
  <c r="F881" i="142"/>
  <c r="H1167" i="142"/>
  <c r="H1139" i="142"/>
  <c r="H695" i="142"/>
  <c r="K567" i="142"/>
  <c r="F721" i="142"/>
  <c r="K1096" i="142"/>
  <c r="E814" i="142"/>
  <c r="L297" i="142"/>
  <c r="D675" i="142"/>
  <c r="C239" i="142"/>
  <c r="H993" i="142"/>
  <c r="C1062" i="142"/>
  <c r="I704" i="142"/>
  <c r="C1146" i="142"/>
  <c r="J1064" i="142"/>
  <c r="L981" i="142"/>
  <c r="C1088" i="142"/>
  <c r="C1060" i="142"/>
  <c r="L886" i="142"/>
  <c r="H137" i="142"/>
  <c r="I959" i="142"/>
  <c r="C1124" i="142"/>
  <c r="J1045" i="142"/>
  <c r="D1097" i="142"/>
  <c r="E1165" i="142"/>
  <c r="D889" i="142"/>
  <c r="C213" i="142"/>
  <c r="H346" i="142"/>
  <c r="D921" i="142"/>
  <c r="H1027" i="142"/>
  <c r="G736" i="142"/>
  <c r="L858" i="142"/>
  <c r="I1151" i="142"/>
  <c r="L552" i="142"/>
  <c r="E813" i="142"/>
  <c r="D612" i="142"/>
  <c r="F10" i="142"/>
  <c r="F1110" i="142"/>
  <c r="H899" i="142"/>
  <c r="H579" i="142"/>
  <c r="G553" i="142"/>
  <c r="G979" i="142"/>
  <c r="H26" i="142"/>
  <c r="E781" i="142"/>
  <c r="E925" i="142"/>
  <c r="D146" i="142"/>
  <c r="M1009" i="142"/>
  <c r="C981" i="142"/>
  <c r="L579" i="142"/>
  <c r="M758" i="142"/>
  <c r="M500" i="142"/>
  <c r="I541" i="142"/>
  <c r="K945" i="142"/>
  <c r="J817" i="142"/>
  <c r="G1039" i="142"/>
  <c r="D1008" i="142"/>
  <c r="L885" i="142"/>
  <c r="F494" i="142"/>
  <c r="M1163" i="142"/>
  <c r="H1063" i="142"/>
  <c r="H832" i="142"/>
  <c r="K893" i="142"/>
  <c r="M1043" i="142"/>
  <c r="L921" i="142"/>
  <c r="G695" i="142"/>
  <c r="F1151" i="142"/>
  <c r="H1021" i="142"/>
  <c r="G891" i="142"/>
  <c r="K706" i="142"/>
  <c r="F921" i="142"/>
  <c r="F1000" i="142"/>
  <c r="K899" i="142"/>
  <c r="K883" i="142"/>
  <c r="I1014" i="142"/>
  <c r="K950" i="142"/>
  <c r="C747" i="142"/>
  <c r="E575" i="142"/>
  <c r="G938" i="142"/>
  <c r="K951" i="142"/>
  <c r="G776" i="142"/>
  <c r="L914" i="142"/>
  <c r="K857" i="142"/>
  <c r="E926" i="142"/>
  <c r="L1129" i="142"/>
  <c r="H919" i="142"/>
  <c r="C892" i="142"/>
  <c r="G66" i="142"/>
  <c r="L1102" i="142"/>
  <c r="K975" i="142"/>
  <c r="C1131" i="142"/>
  <c r="D1142" i="142"/>
  <c r="L1101" i="142"/>
  <c r="J699" i="142"/>
  <c r="C844" i="142"/>
  <c r="K970" i="142"/>
  <c r="K806" i="142"/>
  <c r="F812" i="142"/>
  <c r="C387" i="142"/>
  <c r="F984" i="142"/>
  <c r="D955" i="142"/>
  <c r="C888" i="142"/>
  <c r="L1081" i="142"/>
  <c r="D1166" i="142"/>
  <c r="M655" i="142"/>
  <c r="H944" i="142"/>
  <c r="G829" i="142"/>
  <c r="C489" i="142"/>
  <c r="L640" i="142"/>
  <c r="K936" i="142"/>
  <c r="K1082" i="142"/>
  <c r="H1164" i="142"/>
  <c r="H218" i="142"/>
  <c r="L940" i="142"/>
  <c r="L905" i="142"/>
  <c r="D655" i="142"/>
  <c r="J1011" i="142"/>
  <c r="G281" i="142"/>
  <c r="G1067" i="142"/>
  <c r="M211" i="142"/>
  <c r="K979" i="142"/>
  <c r="H1114" i="142"/>
  <c r="I1149" i="142"/>
  <c r="F1116" i="142"/>
  <c r="F872" i="142"/>
  <c r="E1146" i="142"/>
  <c r="L570" i="142"/>
  <c r="G554" i="142"/>
  <c r="J1164" i="142"/>
  <c r="G1009" i="142"/>
  <c r="D197" i="142"/>
  <c r="I707" i="142"/>
  <c r="M1159" i="142"/>
  <c r="J705" i="142"/>
  <c r="K171" i="142"/>
  <c r="I1109" i="142"/>
  <c r="E1102" i="142"/>
  <c r="D371" i="142"/>
  <c r="J1122" i="142"/>
  <c r="E247" i="142"/>
  <c r="I1140" i="142"/>
  <c r="I1091" i="142"/>
  <c r="C1166" i="142"/>
  <c r="C1007" i="142"/>
  <c r="G1070" i="142"/>
  <c r="E870" i="142"/>
  <c r="G584" i="142"/>
  <c r="I703" i="142"/>
  <c r="J1132" i="142"/>
  <c r="I804" i="142"/>
  <c r="H1048" i="142"/>
  <c r="F593" i="142"/>
  <c r="H894" i="142"/>
  <c r="H950" i="142"/>
  <c r="F566" i="142"/>
  <c r="F462" i="142"/>
  <c r="I803" i="142"/>
  <c r="M596" i="142"/>
  <c r="H674" i="142"/>
  <c r="G1166" i="142"/>
  <c r="H1012" i="142"/>
  <c r="I424" i="142"/>
  <c r="I1031" i="142"/>
  <c r="I793" i="142"/>
  <c r="D780" i="142"/>
  <c r="M920" i="142"/>
  <c r="I927" i="142"/>
  <c r="F276" i="142"/>
  <c r="E500" i="142"/>
  <c r="E1158" i="142"/>
  <c r="J761" i="142"/>
  <c r="L114" i="142"/>
  <c r="F825" i="142"/>
  <c r="C820" i="142"/>
  <c r="M844" i="142"/>
  <c r="L855" i="142"/>
  <c r="L991" i="142"/>
  <c r="H618" i="142"/>
  <c r="E183" i="142"/>
  <c r="D760" i="142"/>
  <c r="J1039" i="142"/>
  <c r="M855" i="142"/>
  <c r="D885" i="142"/>
  <c r="K1165" i="142"/>
  <c r="G841" i="142"/>
  <c r="E628" i="142"/>
  <c r="I1113" i="142"/>
  <c r="F390" i="142"/>
  <c r="J756" i="142"/>
  <c r="I56" i="142"/>
  <c r="E1143" i="142"/>
  <c r="J42" i="142"/>
  <c r="K656" i="142"/>
  <c r="C905" i="142"/>
  <c r="M966" i="142"/>
  <c r="L1012" i="142"/>
  <c r="I849" i="142"/>
  <c r="G873" i="142"/>
  <c r="K864" i="142"/>
  <c r="J879" i="142"/>
  <c r="H805" i="142"/>
  <c r="I853" i="142"/>
  <c r="C297" i="142"/>
  <c r="D1165" i="142"/>
  <c r="J876" i="142"/>
  <c r="L1164" i="142"/>
  <c r="D884" i="142"/>
  <c r="M1167" i="142"/>
  <c r="F1107" i="142"/>
  <c r="J1155" i="142"/>
  <c r="M1105" i="142"/>
  <c r="I936" i="142"/>
  <c r="C1097" i="142"/>
  <c r="M1162" i="142"/>
  <c r="C538" i="142"/>
  <c r="K984" i="142"/>
  <c r="L927" i="142"/>
  <c r="J722" i="142"/>
  <c r="C969" i="142"/>
  <c r="G232" i="142"/>
  <c r="G1012" i="142"/>
  <c r="L157" i="142"/>
  <c r="L1128" i="142"/>
  <c r="I970" i="142"/>
  <c r="F958" i="142"/>
  <c r="L1029" i="142"/>
  <c r="G991" i="142"/>
  <c r="H867" i="142"/>
  <c r="M1028" i="142"/>
  <c r="H1134" i="142"/>
  <c r="D672" i="142"/>
  <c r="G866" i="142"/>
  <c r="J1071" i="142"/>
  <c r="L1005" i="142"/>
  <c r="C180" i="142"/>
  <c r="K1145" i="142"/>
  <c r="L928" i="142"/>
  <c r="C461" i="142"/>
  <c r="K1078" i="142"/>
  <c r="C688" i="142"/>
  <c r="L838" i="142"/>
  <c r="C400" i="142"/>
  <c r="K504" i="142"/>
  <c r="L1077" i="142"/>
  <c r="L95" i="142"/>
  <c r="L962" i="142"/>
  <c r="K1106" i="142"/>
  <c r="M906" i="142"/>
  <c r="K1045" i="142"/>
  <c r="M743" i="142"/>
  <c r="H676" i="142"/>
  <c r="J1084" i="142"/>
  <c r="C962" i="142"/>
  <c r="K146" i="142"/>
  <c r="H1037" i="142"/>
  <c r="J686" i="142"/>
  <c r="I1026" i="142"/>
  <c r="M912" i="142"/>
  <c r="D1010" i="142"/>
  <c r="I63" i="142"/>
  <c r="D768" i="142"/>
  <c r="L679" i="142"/>
  <c r="L820" i="142"/>
  <c r="J1153" i="142"/>
  <c r="C1003" i="142"/>
  <c r="D1152" i="142"/>
  <c r="I650" i="142"/>
  <c r="L1135" i="142"/>
  <c r="K1043" i="142"/>
  <c r="J877" i="142"/>
  <c r="J240" i="142"/>
  <c r="J1139" i="142"/>
  <c r="F1128" i="142"/>
  <c r="L608" i="142"/>
  <c r="I566" i="142"/>
  <c r="M1121" i="142"/>
  <c r="D305" i="142"/>
  <c r="J837" i="142"/>
  <c r="J1014" i="142"/>
  <c r="H575" i="142"/>
  <c r="D1041" i="142"/>
  <c r="D144" i="142"/>
  <c r="K1109" i="142"/>
  <c r="J602" i="142"/>
  <c r="E804" i="142"/>
  <c r="E1059" i="142"/>
  <c r="J924" i="142"/>
  <c r="G725" i="142"/>
  <c r="K754" i="142"/>
  <c r="H761" i="142"/>
  <c r="E133" i="142"/>
  <c r="E700" i="142"/>
  <c r="H1074" i="142"/>
  <c r="M975" i="142"/>
  <c r="E957" i="142"/>
  <c r="K699" i="142"/>
  <c r="G645" i="142"/>
  <c r="D1058" i="142"/>
  <c r="K135" i="142"/>
  <c r="J1162" i="142"/>
  <c r="M430" i="142"/>
  <c r="D1030" i="142"/>
  <c r="M360" i="142"/>
  <c r="C959" i="142"/>
  <c r="E702" i="142"/>
  <c r="C137" i="142"/>
  <c r="H591" i="142"/>
  <c r="M217" i="142"/>
  <c r="J741" i="142"/>
  <c r="I591" i="142"/>
  <c r="E155" i="142"/>
  <c r="D1078" i="142"/>
  <c r="I658" i="142"/>
  <c r="I1055" i="142"/>
  <c r="H1059" i="142"/>
  <c r="F1012" i="142"/>
  <c r="C942" i="142"/>
  <c r="G527" i="142"/>
  <c r="G548" i="142"/>
  <c r="J901" i="142"/>
  <c r="K762" i="142"/>
  <c r="J896" i="142"/>
  <c r="C1083" i="142"/>
  <c r="K1065" i="142"/>
  <c r="K690" i="142"/>
  <c r="M1016" i="142"/>
  <c r="M872" i="142"/>
  <c r="M746" i="142"/>
  <c r="C861" i="142"/>
  <c r="M1154" i="142"/>
  <c r="D818" i="142"/>
  <c r="G1071" i="142"/>
  <c r="J1078" i="142"/>
  <c r="J1026" i="142"/>
  <c r="I985" i="142"/>
  <c r="M823" i="142"/>
  <c r="M292" i="142"/>
  <c r="G1079" i="142"/>
  <c r="D913" i="142"/>
  <c r="D1070" i="142"/>
  <c r="C172" i="142"/>
  <c r="F1124" i="142"/>
  <c r="H870" i="142"/>
  <c r="H928" i="142"/>
  <c r="L1048" i="142"/>
  <c r="I966" i="142"/>
  <c r="M495" i="142"/>
  <c r="C941" i="142"/>
  <c r="C1101" i="142"/>
  <c r="E1079" i="142"/>
  <c r="L548" i="142"/>
  <c r="F848" i="142"/>
  <c r="L1116" i="142"/>
  <c r="G937" i="142"/>
  <c r="C640" i="142"/>
  <c r="D463" i="142"/>
  <c r="G981" i="142"/>
  <c r="E1151" i="142"/>
  <c r="H1136" i="142"/>
  <c r="D765" i="142"/>
  <c r="C1065" i="142"/>
  <c r="M407" i="142"/>
  <c r="I1070" i="142"/>
  <c r="F814" i="142"/>
  <c r="K602" i="142"/>
  <c r="C592" i="142"/>
  <c r="F1035" i="142"/>
  <c r="F600" i="142"/>
  <c r="D687" i="142"/>
  <c r="F673" i="142"/>
  <c r="M1039" i="142"/>
  <c r="J944" i="142"/>
  <c r="G1054" i="142"/>
  <c r="F810" i="142"/>
  <c r="E1073" i="142"/>
  <c r="G989" i="142"/>
  <c r="L971" i="142"/>
  <c r="C466" i="142"/>
  <c r="G872" i="142"/>
  <c r="E678" i="142"/>
  <c r="F696" i="142"/>
  <c r="H824" i="142"/>
  <c r="C1122" i="142"/>
  <c r="L1060" i="142"/>
  <c r="D13" i="142"/>
  <c r="H909" i="142"/>
  <c r="I233" i="142"/>
  <c r="C895" i="142"/>
  <c r="G1112" i="142"/>
  <c r="F568" i="142"/>
  <c r="G729" i="142"/>
  <c r="E792" i="142"/>
  <c r="C923" i="142"/>
  <c r="L366" i="142"/>
  <c r="G804" i="142"/>
  <c r="J1049" i="142"/>
  <c r="E961" i="142"/>
  <c r="G966" i="142"/>
  <c r="K878" i="142"/>
  <c r="L854" i="142"/>
  <c r="M614" i="142"/>
  <c r="I953" i="142"/>
  <c r="E1084" i="142"/>
  <c r="H929" i="142"/>
  <c r="K483" i="142"/>
  <c r="F971" i="142"/>
  <c r="K1094" i="142"/>
  <c r="G1032" i="142"/>
  <c r="C798" i="142"/>
  <c r="E1071" i="142"/>
  <c r="D855" i="142"/>
  <c r="D1072" i="142"/>
  <c r="J798" i="142"/>
  <c r="D941" i="142"/>
  <c r="G861" i="142"/>
  <c r="D977" i="142"/>
  <c r="J1080" i="142"/>
  <c r="K985" i="142"/>
  <c r="I1101" i="142"/>
  <c r="L871" i="142"/>
  <c r="J1037" i="142"/>
  <c r="D839" i="142"/>
  <c r="D117" i="142"/>
  <c r="F699" i="142"/>
  <c r="K786" i="142"/>
  <c r="H284" i="142"/>
  <c r="F1123" i="142"/>
  <c r="F815" i="142"/>
  <c r="G268" i="142"/>
  <c r="H682" i="142"/>
  <c r="D1100" i="142"/>
  <c r="I1131" i="142"/>
  <c r="H1162" i="142"/>
  <c r="C887" i="142"/>
  <c r="D861" i="142"/>
  <c r="G571" i="142"/>
  <c r="I866" i="142"/>
  <c r="M1044" i="142"/>
  <c r="K1152" i="142"/>
  <c r="L953" i="142"/>
  <c r="F960" i="142"/>
  <c r="C786" i="142"/>
  <c r="L872" i="142"/>
  <c r="L920" i="142"/>
  <c r="J694" i="142"/>
  <c r="I1049" i="142"/>
  <c r="F1109" i="142"/>
  <c r="G933" i="142"/>
  <c r="K991" i="142"/>
  <c r="J1068" i="142"/>
  <c r="C975" i="142"/>
  <c r="F740" i="142"/>
  <c r="F786" i="142"/>
  <c r="L868" i="142"/>
  <c r="D881" i="142"/>
  <c r="G994" i="142"/>
  <c r="J496" i="142"/>
  <c r="C1030" i="142"/>
  <c r="E432" i="142"/>
  <c r="M1151" i="142"/>
  <c r="C1077" i="142"/>
  <c r="D980" i="142"/>
  <c r="J1092" i="142"/>
  <c r="G939" i="142"/>
  <c r="L1136" i="142"/>
  <c r="E882" i="142"/>
  <c r="F899" i="142"/>
  <c r="C696" i="142"/>
  <c r="J1146" i="142"/>
  <c r="H1157" i="142"/>
  <c r="L256" i="142"/>
  <c r="H32" i="142"/>
  <c r="I767" i="142"/>
  <c r="L1050" i="142"/>
  <c r="F830" i="142"/>
  <c r="J595" i="142"/>
  <c r="K901" i="142"/>
  <c r="E874" i="142"/>
  <c r="I937" i="142"/>
  <c r="L943" i="142"/>
  <c r="D1045" i="142"/>
  <c r="L697" i="142"/>
  <c r="K795" i="142"/>
  <c r="L856" i="142"/>
  <c r="E380" i="142"/>
  <c r="J961" i="142"/>
  <c r="H895" i="142"/>
  <c r="E549" i="142"/>
  <c r="J754" i="142"/>
  <c r="I1087" i="142"/>
  <c r="F715" i="142"/>
  <c r="D1031" i="142"/>
  <c r="M735" i="142"/>
  <c r="D673" i="142"/>
  <c r="I226" i="142"/>
  <c r="E1031" i="142"/>
  <c r="I143" i="142"/>
  <c r="I1000" i="142"/>
  <c r="E973" i="142"/>
  <c r="E757" i="142"/>
  <c r="M1118" i="142"/>
  <c r="G827" i="142"/>
  <c r="H453" i="142"/>
  <c r="E759" i="142"/>
  <c r="M1024" i="142"/>
  <c r="J632" i="142"/>
  <c r="M869" i="142"/>
  <c r="E283" i="142"/>
  <c r="G69" i="142"/>
  <c r="I1041" i="142"/>
  <c r="E756" i="142"/>
  <c r="E845" i="142"/>
  <c r="F1117" i="142"/>
  <c r="I1123" i="142"/>
  <c r="D1019" i="142"/>
  <c r="J620" i="142"/>
  <c r="F798" i="142"/>
  <c r="I1021" i="142"/>
  <c r="K378" i="142"/>
  <c r="E1064" i="142"/>
  <c r="C989" i="142"/>
  <c r="I846" i="142"/>
  <c r="C1033" i="142"/>
  <c r="M1141" i="142"/>
  <c r="K460" i="142"/>
  <c r="H497" i="142"/>
  <c r="L1156" i="142"/>
  <c r="D970" i="142"/>
  <c r="I112" i="142"/>
  <c r="C749" i="142"/>
  <c r="L1061" i="142"/>
  <c r="M402" i="142"/>
  <c r="C577" i="142"/>
  <c r="I651" i="142"/>
  <c r="L989" i="142"/>
  <c r="J891" i="142"/>
  <c r="M824" i="142"/>
  <c r="F249" i="142"/>
  <c r="H875" i="142"/>
  <c r="J863" i="142"/>
  <c r="D908" i="142"/>
  <c r="F288" i="142"/>
  <c r="F818" i="142"/>
  <c r="G1068" i="142"/>
  <c r="H1104" i="142"/>
  <c r="C1028" i="142"/>
  <c r="H1126" i="142"/>
  <c r="K556" i="142"/>
  <c r="E817" i="142"/>
  <c r="I980" i="142"/>
  <c r="K881" i="142"/>
  <c r="J178" i="142"/>
  <c r="H602" i="142"/>
  <c r="M913" i="142"/>
  <c r="K952" i="142"/>
  <c r="M533" i="142"/>
  <c r="H973" i="142"/>
  <c r="I712" i="142"/>
  <c r="L880" i="142"/>
  <c r="I940" i="142"/>
  <c r="E1162" i="142"/>
  <c r="H948" i="142"/>
  <c r="H920" i="142"/>
  <c r="E987" i="142"/>
  <c r="G881" i="142"/>
  <c r="F999" i="142"/>
  <c r="G228" i="142"/>
  <c r="C811" i="142"/>
  <c r="F730" i="142"/>
  <c r="L1009" i="142"/>
  <c r="H1142" i="142"/>
  <c r="I1008" i="142"/>
  <c r="I675" i="142"/>
  <c r="H1087" i="142"/>
  <c r="E871" i="142"/>
  <c r="D1143" i="142"/>
  <c r="K804" i="142"/>
  <c r="M457" i="142"/>
  <c r="G986" i="142"/>
  <c r="M1104" i="142"/>
  <c r="L873" i="142"/>
  <c r="F1163" i="142"/>
  <c r="L655" i="142"/>
  <c r="K964" i="142"/>
  <c r="D1023" i="142"/>
  <c r="I799" i="142"/>
  <c r="D1094" i="142"/>
  <c r="L865" i="142"/>
  <c r="J59" i="142"/>
  <c r="L1039" i="142"/>
  <c r="D504" i="142"/>
  <c r="I547" i="142"/>
  <c r="I1094" i="142"/>
  <c r="F1139" i="142"/>
  <c r="D1147" i="142"/>
  <c r="J1072" i="142"/>
  <c r="M691" i="142"/>
  <c r="K680" i="142"/>
  <c r="J1091" i="142"/>
  <c r="K1017" i="142"/>
  <c r="C767" i="142"/>
  <c r="J953" i="142"/>
  <c r="J975" i="142"/>
  <c r="L671" i="142"/>
  <c r="K628" i="142"/>
  <c r="H1124" i="142"/>
  <c r="L800" i="142"/>
  <c r="L462" i="142"/>
  <c r="L845" i="142"/>
  <c r="L925" i="142"/>
  <c r="L261" i="142"/>
  <c r="D1115" i="142"/>
  <c r="L794" i="142"/>
  <c r="L892" i="142"/>
  <c r="E1016" i="142"/>
  <c r="L910" i="142"/>
  <c r="F1080" i="142"/>
  <c r="J1036" i="142"/>
  <c r="E467" i="142"/>
  <c r="K511" i="142"/>
  <c r="M1107" i="142"/>
  <c r="L955" i="142"/>
  <c r="M1134" i="142"/>
  <c r="K676" i="142"/>
  <c r="G1121" i="142"/>
  <c r="I1042" i="142"/>
  <c r="K1119" i="142"/>
  <c r="D1160" i="142"/>
  <c r="M800" i="142"/>
  <c r="G1107" i="142"/>
  <c r="D1083" i="142"/>
  <c r="I748" i="142"/>
  <c r="G94" i="142"/>
  <c r="H1008" i="142"/>
  <c r="E960" i="142"/>
  <c r="D707" i="142"/>
  <c r="L1131" i="142"/>
  <c r="E1100" i="142"/>
  <c r="H733" i="142"/>
  <c r="D127" i="142"/>
  <c r="E318" i="142"/>
  <c r="C761" i="142"/>
  <c r="K321" i="142"/>
  <c r="J1150" i="142"/>
  <c r="C1154" i="142"/>
  <c r="M834" i="142"/>
  <c r="G104" i="142"/>
  <c r="K1034" i="142"/>
  <c r="I612" i="142"/>
  <c r="H1079" i="142"/>
  <c r="C354" i="142"/>
  <c r="F961" i="142"/>
  <c r="J75" i="142"/>
  <c r="C1112" i="142"/>
  <c r="J597" i="142"/>
  <c r="K1127" i="142"/>
  <c r="I997" i="142"/>
  <c r="I1047" i="142"/>
  <c r="C70" i="142"/>
  <c r="H742" i="142"/>
  <c r="H998" i="142"/>
  <c r="F592" i="142"/>
  <c r="I696" i="142"/>
  <c r="K1058" i="142"/>
  <c r="H1132" i="142"/>
  <c r="F996" i="142"/>
  <c r="I301" i="142"/>
  <c r="M922" i="142"/>
  <c r="J665" i="142"/>
  <c r="K977" i="142"/>
  <c r="E924" i="142"/>
  <c r="I1057" i="142"/>
  <c r="J882" i="142"/>
  <c r="M896" i="142"/>
  <c r="C970" i="142"/>
  <c r="C450" i="142"/>
  <c r="I728" i="142"/>
  <c r="I819" i="142"/>
  <c r="J521" i="142"/>
  <c r="G700" i="142"/>
  <c r="I968" i="142"/>
  <c r="G1019" i="142"/>
  <c r="F903" i="142"/>
  <c r="I855" i="142"/>
  <c r="F840" i="142"/>
  <c r="E245" i="142"/>
  <c r="F1061" i="142"/>
  <c r="F1008" i="142"/>
  <c r="C1099" i="142"/>
  <c r="I367" i="142"/>
  <c r="K1140" i="142"/>
  <c r="M297" i="142"/>
  <c r="M638" i="142"/>
  <c r="D588" i="142"/>
  <c r="L898" i="142"/>
  <c r="G949" i="142"/>
  <c r="M1155" i="142"/>
  <c r="M270" i="142"/>
  <c r="M406" i="142"/>
  <c r="L1056" i="142"/>
  <c r="G954" i="142"/>
  <c r="F847" i="142"/>
  <c r="J486" i="142"/>
  <c r="J1012" i="142"/>
  <c r="J907" i="142"/>
  <c r="L976" i="142"/>
  <c r="K782" i="142"/>
  <c r="H908" i="142"/>
  <c r="L1139" i="142"/>
  <c r="J1100" i="142"/>
  <c r="K853" i="142"/>
  <c r="G464" i="142"/>
  <c r="C1128" i="142"/>
  <c r="D700" i="142"/>
  <c r="H543" i="142"/>
  <c r="K1083" i="142"/>
  <c r="G1063" i="142"/>
  <c r="C911" i="142"/>
  <c r="G487" i="142"/>
  <c r="F1079" i="142"/>
  <c r="C1054" i="142"/>
  <c r="E801" i="142"/>
  <c r="C1163" i="142"/>
  <c r="C1108" i="142"/>
  <c r="K821" i="142"/>
  <c r="D1015" i="142"/>
  <c r="F491" i="142"/>
  <c r="C1041" i="142"/>
  <c r="G974" i="142"/>
  <c r="L1120" i="142"/>
  <c r="M1075" i="142"/>
  <c r="E1132" i="142"/>
  <c r="J785" i="142"/>
  <c r="I1164" i="142"/>
  <c r="K986" i="142"/>
  <c r="K442" i="142"/>
  <c r="L1106" i="142"/>
  <c r="M8" i="142"/>
  <c r="L959" i="142"/>
  <c r="G748" i="142"/>
  <c r="G905" i="142"/>
  <c r="C904" i="142"/>
  <c r="H1144" i="142"/>
  <c r="I1001" i="142"/>
  <c r="G607" i="142"/>
  <c r="H922" i="142"/>
  <c r="H304" i="142"/>
  <c r="E683" i="142"/>
  <c r="E995" i="142"/>
  <c r="E1033" i="142"/>
  <c r="I582" i="142"/>
  <c r="M1067" i="142"/>
  <c r="K989" i="142"/>
  <c r="D1018" i="142"/>
  <c r="C924" i="142"/>
  <c r="I705" i="142"/>
  <c r="D1122" i="142"/>
  <c r="C985" i="142"/>
  <c r="K112" i="142"/>
  <c r="E1047" i="142"/>
  <c r="C662" i="142"/>
  <c r="H693" i="142"/>
  <c r="K1090" i="142"/>
  <c r="C910" i="142"/>
  <c r="L1111" i="142"/>
  <c r="I1146" i="142"/>
  <c r="M1099" i="142"/>
  <c r="K776" i="142"/>
  <c r="F1146" i="142"/>
  <c r="D785" i="142"/>
  <c r="G799" i="142"/>
  <c r="I910" i="142"/>
  <c r="C1049" i="142"/>
  <c r="C667" i="142"/>
  <c r="G828" i="142"/>
  <c r="H705" i="142"/>
  <c r="E975" i="142"/>
  <c r="H690" i="142"/>
  <c r="E653" i="142"/>
  <c r="F982" i="142"/>
  <c r="H801" i="142"/>
  <c r="C1121" i="142"/>
  <c r="G929" i="142"/>
  <c r="C960" i="142"/>
  <c r="G333" i="142"/>
  <c r="J624" i="142"/>
  <c r="C818" i="142"/>
  <c r="D865" i="142"/>
  <c r="H775" i="142"/>
  <c r="J753" i="142"/>
  <c r="I586" i="142"/>
  <c r="F442" i="142"/>
  <c r="K544" i="142"/>
  <c r="H755" i="142"/>
  <c r="H1043" i="142"/>
  <c r="E1109" i="142"/>
  <c r="M924" i="142"/>
  <c r="E965" i="142"/>
  <c r="L1162" i="142"/>
  <c r="G1158" i="142"/>
  <c r="M902" i="142"/>
  <c r="H1115" i="142"/>
  <c r="J834" i="142"/>
  <c r="F1088" i="142"/>
  <c r="D1138" i="142"/>
  <c r="C129" i="142"/>
  <c r="F767" i="142"/>
  <c r="I447" i="142"/>
  <c r="C686" i="142"/>
  <c r="K856" i="142"/>
  <c r="I691" i="142"/>
  <c r="M1148" i="142"/>
  <c r="D545" i="142"/>
  <c r="G1034" i="142"/>
  <c r="E587" i="142"/>
  <c r="L1163" i="142"/>
  <c r="I813" i="142"/>
  <c r="I1167" i="142"/>
  <c r="D1055" i="142"/>
  <c r="E988" i="142"/>
  <c r="I627" i="142"/>
  <c r="J1130" i="142"/>
  <c r="C1076" i="142"/>
  <c r="M1138" i="142"/>
  <c r="I1040" i="142"/>
  <c r="I1127" i="142"/>
  <c r="J845" i="142"/>
  <c r="D819" i="142"/>
  <c r="K803" i="142"/>
  <c r="E741" i="142"/>
  <c r="H708" i="142"/>
  <c r="E299" i="142"/>
  <c r="E1161" i="142"/>
  <c r="H1103" i="142"/>
  <c r="C1086" i="142"/>
  <c r="H873" i="142"/>
  <c r="I1016" i="142"/>
  <c r="G679" i="142"/>
  <c r="C1018" i="142"/>
  <c r="D1040" i="142"/>
  <c r="E55" i="142"/>
  <c r="E800" i="142"/>
  <c r="G654" i="142"/>
  <c r="E1088" i="142"/>
  <c r="C682" i="142"/>
  <c r="G978" i="142"/>
  <c r="J394" i="142"/>
  <c r="F576" i="142"/>
  <c r="H979" i="142"/>
  <c r="G521" i="142"/>
  <c r="F135" i="142"/>
  <c r="J480" i="142"/>
  <c r="J546" i="142"/>
  <c r="L1090" i="142"/>
  <c r="C823" i="142"/>
  <c r="D1002" i="142"/>
  <c r="D786" i="142"/>
  <c r="D1119" i="142"/>
  <c r="J351" i="142"/>
  <c r="I1096" i="142"/>
  <c r="J712" i="142"/>
  <c r="H1038" i="142"/>
  <c r="C871" i="142"/>
  <c r="F900" i="142"/>
  <c r="J104" i="142"/>
  <c r="G1129" i="142"/>
  <c r="C980" i="142"/>
  <c r="H1047" i="142"/>
  <c r="C675" i="142"/>
  <c r="E746" i="142"/>
  <c r="C984" i="142"/>
  <c r="L924" i="142"/>
  <c r="E636" i="142"/>
  <c r="H828" i="142"/>
  <c r="F675" i="142"/>
  <c r="I641" i="142"/>
  <c r="F589" i="142"/>
  <c r="H1052" i="142"/>
  <c r="I1043" i="142"/>
  <c r="L1112" i="142"/>
  <c r="C423" i="142"/>
  <c r="L982" i="142"/>
  <c r="E670" i="142"/>
  <c r="G885" i="142"/>
  <c r="I879" i="142"/>
  <c r="J1112" i="142"/>
  <c r="D725" i="142"/>
  <c r="E1099" i="142"/>
  <c r="H1102" i="142"/>
  <c r="I1125" i="142"/>
  <c r="C1164" i="142"/>
  <c r="I1111" i="142"/>
  <c r="K947" i="142"/>
  <c r="D360" i="142"/>
  <c r="E123" i="142"/>
  <c r="K1166" i="142"/>
  <c r="J934" i="142"/>
  <c r="D492" i="142"/>
  <c r="J1161" i="142"/>
  <c r="J611" i="142"/>
  <c r="J965" i="142"/>
  <c r="M813" i="142"/>
  <c r="C50" i="142"/>
  <c r="C542" i="142"/>
  <c r="L979" i="142"/>
  <c r="D551" i="142"/>
  <c r="E1078" i="142"/>
  <c r="M590" i="142"/>
  <c r="G1049" i="142"/>
  <c r="E1046" i="142"/>
  <c r="M991" i="142"/>
  <c r="H259" i="142"/>
  <c r="M1020" i="142"/>
  <c r="I1150" i="142"/>
  <c r="J849" i="142"/>
  <c r="I762" i="142"/>
  <c r="G469" i="142"/>
  <c r="C703" i="142"/>
  <c r="E103" i="142"/>
  <c r="C316" i="142"/>
  <c r="G1053" i="142"/>
  <c r="G1110" i="142"/>
  <c r="C622" i="142"/>
  <c r="M883" i="142"/>
  <c r="G1092" i="142"/>
  <c r="F688" i="142"/>
  <c r="J886" i="142"/>
  <c r="L685" i="142"/>
  <c r="F662" i="142"/>
  <c r="D632" i="142"/>
  <c r="K163" i="142"/>
  <c r="I121" i="142"/>
  <c r="C993" i="142"/>
  <c r="C1123" i="142"/>
  <c r="F121" i="142"/>
  <c r="H84" i="142"/>
  <c r="H698" i="142"/>
  <c r="E1041" i="142"/>
  <c r="J667" i="142"/>
  <c r="E1076" i="142"/>
  <c r="E1141" i="142"/>
  <c r="M849" i="142"/>
  <c r="F370" i="142"/>
  <c r="M744" i="142"/>
  <c r="G3" i="142"/>
  <c r="L741" i="142"/>
  <c r="D1104" i="142"/>
  <c r="K1063" i="142"/>
  <c r="G898" i="142"/>
  <c r="K413" i="142"/>
  <c r="L996" i="142"/>
  <c r="G1130" i="142"/>
  <c r="C1045" i="142"/>
  <c r="M1018" i="142"/>
  <c r="E1155" i="142"/>
  <c r="M1089" i="142"/>
  <c r="H1024" i="142"/>
  <c r="D1074" i="142"/>
  <c r="F1034" i="142"/>
  <c r="I949" i="142"/>
  <c r="C1046" i="142"/>
  <c r="H1105" i="142"/>
  <c r="K1089" i="142"/>
  <c r="M692" i="142"/>
  <c r="J807" i="142"/>
  <c r="F1033" i="142"/>
  <c r="J628" i="142"/>
  <c r="E835" i="142"/>
  <c r="M926" i="142"/>
  <c r="I1142" i="142"/>
  <c r="E445" i="142"/>
  <c r="J1165" i="142"/>
  <c r="L1160" i="142"/>
  <c r="M1094" i="142"/>
  <c r="J808" i="142"/>
  <c r="E1004" i="142"/>
  <c r="G714" i="142"/>
  <c r="E875" i="142"/>
  <c r="J1022" i="142"/>
  <c r="D838" i="142"/>
  <c r="L1041" i="142"/>
  <c r="G773" i="142"/>
  <c r="E378" i="142"/>
  <c r="J1109" i="142"/>
  <c r="K644" i="142"/>
  <c r="J976" i="142"/>
  <c r="J1052" i="142"/>
  <c r="I824" i="142"/>
  <c r="M1109" i="142"/>
  <c r="G413" i="142"/>
  <c r="I976" i="142"/>
  <c r="H570" i="142"/>
  <c r="F801" i="142"/>
  <c r="L837" i="142"/>
  <c r="I999" i="142"/>
  <c r="F795" i="142"/>
  <c r="H363" i="142"/>
  <c r="F980" i="142"/>
  <c r="K909" i="142"/>
  <c r="M909" i="142"/>
  <c r="H159" i="142"/>
  <c r="I1072" i="142"/>
  <c r="J1010" i="142"/>
  <c r="J981" i="142"/>
  <c r="F911" i="142"/>
  <c r="J165" i="142"/>
  <c r="K1048" i="142"/>
  <c r="M730" i="142"/>
  <c r="H898" i="142"/>
  <c r="E1096" i="142"/>
  <c r="H1041" i="142"/>
  <c r="L958" i="142"/>
  <c r="D1014" i="142"/>
  <c r="D318" i="142"/>
  <c r="E737" i="142"/>
  <c r="K739" i="142"/>
  <c r="M871" i="142"/>
  <c r="L585" i="142"/>
  <c r="F501" i="142"/>
  <c r="G1159" i="142"/>
  <c r="G536" i="142"/>
  <c r="G575" i="142"/>
  <c r="E565" i="142"/>
  <c r="C795" i="142"/>
  <c r="H718" i="142"/>
  <c r="J708" i="142"/>
  <c r="J910" i="142"/>
  <c r="D843" i="142"/>
  <c r="G878" i="142"/>
  <c r="J662" i="142"/>
  <c r="G1033" i="142"/>
  <c r="E185" i="142"/>
  <c r="E883" i="142"/>
  <c r="G134" i="142"/>
  <c r="C995" i="142"/>
  <c r="D987" i="142"/>
  <c r="C698" i="142"/>
  <c r="H71" i="142"/>
  <c r="M246" i="142"/>
  <c r="D356" i="142"/>
  <c r="L1119" i="142"/>
  <c r="H1083" i="142"/>
  <c r="J1075" i="142"/>
  <c r="C918" i="142"/>
  <c r="D552" i="142"/>
  <c r="C417" i="142"/>
  <c r="F646" i="142"/>
  <c r="K933" i="142"/>
  <c r="C825" i="142"/>
  <c r="E623" i="142"/>
  <c r="J985" i="142"/>
  <c r="G1146" i="142"/>
  <c r="F1049" i="142"/>
  <c r="K969" i="142"/>
  <c r="L1142" i="142"/>
  <c r="L891" i="142"/>
  <c r="L700" i="142"/>
  <c r="J196" i="142"/>
  <c r="C475" i="142"/>
  <c r="J594" i="142"/>
  <c r="M836" i="142"/>
  <c r="M945" i="142"/>
  <c r="D798" i="142"/>
  <c r="F828" i="142"/>
  <c r="F1007" i="142"/>
  <c r="L763" i="142"/>
  <c r="K820" i="142"/>
  <c r="H1071" i="142"/>
  <c r="L453" i="142"/>
  <c r="E1094" i="142"/>
  <c r="E1159" i="142"/>
  <c r="L238" i="142"/>
  <c r="K840" i="142"/>
  <c r="M1080" i="142"/>
  <c r="J1140" i="142"/>
  <c r="G1118" i="142"/>
  <c r="J574" i="142"/>
  <c r="G1036" i="142"/>
  <c r="D1073" i="142"/>
  <c r="J1005" i="142"/>
  <c r="C949" i="142"/>
  <c r="I1107" i="142"/>
  <c r="H1033" i="142"/>
  <c r="F820" i="142"/>
  <c r="M801" i="142"/>
  <c r="J1077" i="142"/>
  <c r="C1031" i="142"/>
  <c r="F939" i="142"/>
  <c r="L783" i="142"/>
  <c r="I823" i="142"/>
  <c r="G1154" i="142"/>
  <c r="L1082" i="142"/>
  <c r="C859" i="142"/>
  <c r="G1131" i="142"/>
  <c r="E992" i="142"/>
  <c r="H858" i="142"/>
  <c r="F1030" i="142"/>
  <c r="H1011" i="142"/>
  <c r="D974" i="142"/>
  <c r="H819" i="142"/>
  <c r="E203" i="142"/>
  <c r="F1042" i="142"/>
  <c r="D667" i="142"/>
  <c r="M23" i="142"/>
  <c r="J1076" i="142"/>
  <c r="C833" i="142"/>
  <c r="C1038" i="142"/>
  <c r="M1051" i="142"/>
  <c r="L1065" i="142"/>
  <c r="C1125" i="142"/>
  <c r="M1085" i="142"/>
  <c r="K1131" i="142"/>
  <c r="E1129" i="142"/>
  <c r="E1127" i="142"/>
  <c r="H740" i="142"/>
  <c r="L475" i="142"/>
  <c r="E964" i="142"/>
  <c r="E853" i="142"/>
  <c r="J945" i="142"/>
  <c r="K430" i="142"/>
  <c r="F1135" i="142"/>
  <c r="G165" i="142"/>
  <c r="K1133" i="142"/>
  <c r="E963" i="142"/>
  <c r="I1126" i="142"/>
  <c r="E1075" i="142"/>
  <c r="H1122" i="142"/>
  <c r="I907" i="142"/>
  <c r="C24" i="142"/>
  <c r="E1144" i="142"/>
  <c r="G778" i="142"/>
  <c r="L869" i="142"/>
  <c r="G148" i="142"/>
  <c r="I848" i="142"/>
  <c r="E881" i="142"/>
  <c r="E269" i="142"/>
  <c r="D1086" i="142"/>
  <c r="I508" i="142"/>
  <c r="H1014" i="142"/>
  <c r="C485" i="142"/>
  <c r="H812" i="142"/>
  <c r="M312" i="142"/>
  <c r="I1012" i="142"/>
  <c r="D1093" i="142"/>
  <c r="L929" i="142"/>
  <c r="C897" i="142"/>
  <c r="I1098" i="142"/>
  <c r="H1161" i="142"/>
  <c r="J28" i="142"/>
  <c r="I1133" i="142"/>
  <c r="L1091" i="142"/>
  <c r="L1075" i="142"/>
  <c r="L817" i="142"/>
  <c r="E784" i="142"/>
  <c r="C1082" i="142"/>
  <c r="J1160" i="142"/>
  <c r="L1044" i="142"/>
  <c r="C632" i="142"/>
  <c r="E477" i="142"/>
  <c r="M601" i="142"/>
  <c r="J1066" i="142"/>
  <c r="J1025" i="142"/>
  <c r="E933" i="142"/>
  <c r="K1154" i="142"/>
  <c r="M234" i="142"/>
  <c r="D719" i="142"/>
  <c r="E651" i="142"/>
  <c r="E1019" i="142"/>
  <c r="H1091" i="142"/>
  <c r="M1001" i="142"/>
  <c r="E376" i="142"/>
  <c r="D557" i="142"/>
  <c r="C1135" i="142"/>
  <c r="L533" i="142"/>
  <c r="L751" i="142"/>
  <c r="G801" i="142"/>
  <c r="I786" i="142"/>
  <c r="K521" i="142"/>
  <c r="J890" i="142"/>
  <c r="L1093" i="142"/>
  <c r="M952" i="142"/>
  <c r="F153" i="142"/>
  <c r="C899" i="142"/>
  <c r="G670" i="142"/>
  <c r="G570" i="142"/>
  <c r="E21" i="142"/>
  <c r="L992" i="142"/>
  <c r="E1045" i="142"/>
  <c r="K1143" i="142"/>
  <c r="M1098" i="142"/>
  <c r="F1090" i="142"/>
  <c r="C510" i="142"/>
  <c r="K74" i="142"/>
  <c r="C484" i="142"/>
  <c r="K876" i="142"/>
  <c r="I913" i="142"/>
  <c r="F936" i="142"/>
  <c r="J417" i="142"/>
  <c r="J921" i="142"/>
  <c r="D1109" i="142"/>
  <c r="G953" i="142"/>
  <c r="M778" i="142"/>
  <c r="C1040" i="142"/>
  <c r="C810" i="142"/>
  <c r="E1163" i="142"/>
  <c r="I739" i="142"/>
  <c r="F930" i="142"/>
  <c r="E1049" i="142"/>
  <c r="F1120" i="142"/>
  <c r="G945" i="142"/>
  <c r="M1145" i="142"/>
  <c r="C920" i="142"/>
  <c r="G855" i="142"/>
  <c r="K621" i="142"/>
  <c r="J328" i="142"/>
  <c r="I965" i="142"/>
  <c r="K918" i="142"/>
  <c r="C1143" i="142"/>
  <c r="L847" i="142"/>
  <c r="C912" i="142"/>
  <c r="E910" i="142"/>
  <c r="C1148" i="142"/>
  <c r="E635" i="142"/>
  <c r="I1006" i="142"/>
  <c r="J768" i="142"/>
  <c r="J936" i="142"/>
  <c r="C1070" i="142"/>
  <c r="K897" i="142"/>
  <c r="G1124" i="142"/>
  <c r="H741" i="142"/>
  <c r="G1165" i="142"/>
  <c r="D696" i="142"/>
  <c r="D1164" i="142"/>
  <c r="E1111" i="142"/>
  <c r="K409" i="142"/>
  <c r="C805" i="142"/>
  <c r="H1072" i="142"/>
  <c r="M1035" i="142"/>
  <c r="I191" i="142"/>
  <c r="I346" i="142"/>
  <c r="G797" i="142"/>
  <c r="J988" i="142"/>
  <c r="G999" i="142"/>
  <c r="K372" i="142"/>
  <c r="D1056" i="142"/>
  <c r="F1060" i="142"/>
  <c r="M721" i="142"/>
  <c r="M1153" i="142"/>
  <c r="L719" i="142"/>
  <c r="F1127" i="142"/>
  <c r="I1128" i="142"/>
  <c r="M796" i="142"/>
  <c r="H1146" i="142"/>
  <c r="E1009" i="142"/>
  <c r="M1156" i="142"/>
  <c r="E579" i="142"/>
  <c r="K1130" i="142"/>
  <c r="K1037" i="142"/>
  <c r="E1120" i="142"/>
  <c r="F35" i="142"/>
  <c r="C814" i="142"/>
  <c r="C243" i="142"/>
  <c r="D685" i="142"/>
  <c r="G603" i="142"/>
  <c r="H702" i="142"/>
  <c r="M989" i="142"/>
  <c r="J605" i="142"/>
  <c r="I876" i="142"/>
  <c r="I597" i="142"/>
  <c r="G800" i="142"/>
  <c r="E1012" i="142"/>
  <c r="L88" i="142"/>
  <c r="E736" i="142"/>
  <c r="F949" i="142"/>
  <c r="M875" i="142"/>
  <c r="L1165" i="142"/>
  <c r="J866" i="142"/>
  <c r="G460" i="142"/>
  <c r="H849" i="142"/>
  <c r="J900" i="142"/>
  <c r="K981" i="142"/>
  <c r="D827" i="142"/>
  <c r="F656" i="142"/>
  <c r="F1087" i="142"/>
  <c r="E347" i="142"/>
  <c r="D1005" i="142"/>
  <c r="F384" i="142"/>
  <c r="F926" i="142"/>
  <c r="D567" i="142"/>
  <c r="I1132" i="142"/>
  <c r="D399" i="142"/>
  <c r="H123" i="142"/>
  <c r="C1085" i="142"/>
  <c r="C1081" i="142"/>
  <c r="H264" i="142"/>
  <c r="L568" i="142"/>
  <c r="C559" i="142"/>
  <c r="F1145" i="142"/>
  <c r="L1073" i="142"/>
  <c r="M1037" i="142"/>
  <c r="D792" i="142"/>
  <c r="I1056" i="142"/>
  <c r="G749" i="142"/>
  <c r="I981" i="142"/>
  <c r="L948" i="142"/>
  <c r="I811" i="142"/>
  <c r="C794" i="142"/>
  <c r="I920" i="142"/>
  <c r="F356" i="142"/>
  <c r="E895" i="142"/>
  <c r="J213" i="142"/>
  <c r="H419" i="142"/>
  <c r="F898" i="142"/>
  <c r="L92" i="142"/>
  <c r="J1126" i="142"/>
  <c r="G538" i="142"/>
  <c r="G401" i="142"/>
  <c r="D432" i="142"/>
  <c r="J864" i="142"/>
  <c r="J747" i="142"/>
  <c r="E901" i="142"/>
  <c r="G1081" i="142"/>
  <c r="D1128" i="142"/>
  <c r="L1076" i="142"/>
  <c r="M714" i="142"/>
  <c r="H1081" i="142"/>
  <c r="J952" i="142"/>
  <c r="M644" i="142"/>
  <c r="J1094" i="142"/>
  <c r="G900" i="142"/>
  <c r="L1055" i="142"/>
  <c r="C89" i="142"/>
  <c r="C142" i="142"/>
  <c r="I805" i="142"/>
  <c r="J98" i="142"/>
  <c r="D1043" i="142"/>
  <c r="F910" i="142"/>
  <c r="M980" i="142"/>
  <c r="F502" i="142"/>
  <c r="G1136" i="142"/>
  <c r="I469" i="142"/>
  <c r="F229" i="142"/>
  <c r="C447" i="142"/>
  <c r="E938" i="142"/>
  <c r="M362" i="142"/>
  <c r="L806" i="142"/>
  <c r="G786" i="142"/>
  <c r="C714" i="142"/>
  <c r="E528" i="142"/>
  <c r="H938" i="142"/>
  <c r="D734" i="142"/>
  <c r="J1133" i="142"/>
  <c r="M757" i="142"/>
  <c r="K809" i="142"/>
  <c r="C635" i="142"/>
  <c r="M904" i="142"/>
  <c r="H834" i="142"/>
  <c r="E1115" i="142"/>
  <c r="L930" i="142"/>
  <c r="K910" i="142"/>
  <c r="L569" i="142"/>
  <c r="G33" i="142"/>
  <c r="L224" i="142"/>
  <c r="C248" i="142"/>
  <c r="E934" i="142"/>
  <c r="M797" i="142"/>
  <c r="I714" i="142"/>
  <c r="K1118" i="142"/>
  <c r="E779" i="142"/>
  <c r="M1023" i="142"/>
  <c r="C298" i="142"/>
  <c r="J972" i="142"/>
  <c r="H764" i="142"/>
  <c r="L984" i="142"/>
  <c r="J124" i="142"/>
  <c r="C898" i="142"/>
  <c r="L74" i="142"/>
  <c r="K920" i="142"/>
  <c r="E1122" i="142"/>
  <c r="C1149" i="142"/>
  <c r="J1059" i="142"/>
  <c r="I361" i="142"/>
  <c r="F1141" i="142"/>
  <c r="E1119" i="142"/>
  <c r="L977" i="142"/>
  <c r="M882" i="142"/>
  <c r="I1077" i="142"/>
  <c r="H394" i="142"/>
  <c r="L852" i="142"/>
  <c r="M1066" i="142"/>
  <c r="K847" i="142"/>
  <c r="C377" i="142"/>
  <c r="C1161" i="142"/>
  <c r="D956" i="142"/>
  <c r="K59" i="142"/>
  <c r="D1034" i="142"/>
  <c r="F940" i="142"/>
  <c r="E1104" i="142"/>
  <c r="M593" i="142"/>
  <c r="F826" i="142"/>
  <c r="L300" i="142"/>
  <c r="H1018" i="142"/>
  <c r="L799" i="142"/>
  <c r="J1163" i="142"/>
  <c r="E474" i="142"/>
  <c r="E1015" i="142"/>
  <c r="E603" i="142"/>
  <c r="E983" i="142"/>
  <c r="D914" i="142"/>
  <c r="H903" i="142"/>
  <c r="H904" i="142"/>
  <c r="M785" i="142"/>
  <c r="K289" i="142"/>
  <c r="F619" i="142"/>
  <c r="L937" i="142"/>
  <c r="I453" i="142"/>
  <c r="L177" i="142"/>
  <c r="G21" i="142"/>
  <c r="G1116" i="142"/>
  <c r="D1135" i="142"/>
  <c r="E1117" i="142"/>
  <c r="H1141" i="142"/>
  <c r="J927" i="142"/>
  <c r="K1018" i="142"/>
  <c r="L1134" i="142"/>
  <c r="C1137" i="142"/>
  <c r="D48" i="142"/>
  <c r="K1149" i="142"/>
  <c r="M676" i="142"/>
  <c r="M420" i="142"/>
  <c r="K830" i="142"/>
  <c r="H731" i="142"/>
  <c r="D718" i="142"/>
  <c r="L338" i="142"/>
  <c r="K468" i="142"/>
  <c r="I585" i="142"/>
  <c r="I1061" i="142"/>
  <c r="I1011" i="142"/>
  <c r="G1000" i="142"/>
  <c r="H846" i="142"/>
  <c r="K800" i="142"/>
  <c r="M412" i="142"/>
  <c r="K1135" i="142"/>
  <c r="G606" i="142"/>
  <c r="L789" i="142"/>
  <c r="M1042" i="142"/>
  <c r="D659" i="142"/>
  <c r="G676" i="142"/>
  <c r="I914" i="142"/>
  <c r="C1130" i="142"/>
  <c r="D1150" i="142"/>
  <c r="J836" i="142"/>
  <c r="I568" i="142"/>
  <c r="G958" i="142"/>
  <c r="C164" i="142"/>
  <c r="G1077" i="142"/>
  <c r="L946" i="142"/>
  <c r="D926" i="142"/>
  <c r="G1167" i="142"/>
  <c r="E889" i="142"/>
  <c r="E794" i="142"/>
  <c r="E935" i="142"/>
  <c r="E1098" i="142"/>
  <c r="H1147" i="142"/>
  <c r="L321" i="142"/>
  <c r="M1053" i="142"/>
  <c r="H845" i="142"/>
  <c r="L248" i="142"/>
  <c r="K554" i="142"/>
  <c r="H1148" i="142"/>
  <c r="J825" i="142"/>
  <c r="G853" i="142"/>
  <c r="C1056" i="142"/>
  <c r="I983" i="142"/>
  <c r="C704" i="142"/>
  <c r="I833" i="142"/>
  <c r="E807" i="142"/>
  <c r="H981" i="142"/>
  <c r="I268" i="142"/>
  <c r="I1052" i="142"/>
  <c r="I961" i="142"/>
  <c r="G919" i="142"/>
  <c r="L288" i="142"/>
  <c r="I894" i="142"/>
  <c r="G824" i="142"/>
  <c r="L1071" i="142"/>
  <c r="H886" i="142"/>
  <c r="H902" i="142"/>
  <c r="I126" i="142"/>
  <c r="I229" i="142"/>
  <c r="C1133" i="142"/>
  <c r="M282" i="142"/>
  <c r="F941" i="142"/>
  <c r="D784" i="142"/>
  <c r="C453" i="142"/>
  <c r="D997" i="142"/>
  <c r="D972" i="142"/>
  <c r="J1062" i="142"/>
  <c r="C609" i="142"/>
  <c r="F703" i="142"/>
  <c r="C1105" i="142"/>
  <c r="M1147" i="142"/>
  <c r="E1124" i="142"/>
  <c r="D998" i="142"/>
  <c r="I1092" i="142"/>
  <c r="M683" i="142"/>
  <c r="J700" i="142"/>
  <c r="J841" i="142"/>
  <c r="L1085" i="142"/>
  <c r="C467" i="142"/>
  <c r="G1029" i="142"/>
  <c r="C1095" i="142"/>
  <c r="K715" i="142"/>
  <c r="M857" i="142"/>
  <c r="I1071" i="142"/>
  <c r="D960" i="142"/>
  <c r="I750" i="142"/>
  <c r="G667" i="142"/>
  <c r="F990" i="142"/>
  <c r="L902" i="142"/>
  <c r="E1149" i="142"/>
  <c r="L1031" i="142"/>
  <c r="F220" i="142"/>
  <c r="J996" i="142"/>
  <c r="C838" i="142"/>
  <c r="K921" i="142"/>
  <c r="I1129" i="142"/>
  <c r="M892" i="142"/>
  <c r="F976" i="142"/>
  <c r="J1017" i="142"/>
  <c r="L1152" i="142"/>
  <c r="J1000" i="142"/>
  <c r="I768" i="142"/>
  <c r="H424" i="142"/>
  <c r="D118" i="142"/>
  <c r="K1095" i="142"/>
  <c r="M933" i="142"/>
  <c r="M226" i="142"/>
  <c r="J581" i="142"/>
  <c r="L1070" i="142"/>
  <c r="C1118" i="142"/>
  <c r="K819" i="142"/>
  <c r="E51" i="142"/>
  <c r="D744" i="142"/>
  <c r="E1027" i="142"/>
  <c r="K125" i="142"/>
  <c r="J1097" i="142"/>
  <c r="H211" i="142"/>
  <c r="L1027" i="142"/>
  <c r="G926" i="142"/>
  <c r="L803" i="142"/>
  <c r="M496" i="142"/>
  <c r="J1006" i="142"/>
  <c r="C1039" i="142"/>
  <c r="G1023" i="142"/>
  <c r="G706" i="142"/>
  <c r="H1093" i="142"/>
  <c r="C1157" i="142"/>
  <c r="H1128" i="142"/>
  <c r="M291" i="142"/>
  <c r="F959" i="142"/>
  <c r="H933" i="142"/>
  <c r="K810" i="142"/>
  <c r="K222" i="142"/>
  <c r="E1148" i="142"/>
  <c r="M156" i="142"/>
  <c r="H936" i="142"/>
  <c r="E980" i="142"/>
  <c r="D1024" i="142"/>
  <c r="E734" i="142"/>
  <c r="L323" i="142"/>
  <c r="J603" i="142"/>
  <c r="J822" i="142"/>
  <c r="J1048" i="142"/>
  <c r="J880" i="142"/>
  <c r="H1055" i="142"/>
  <c r="G844" i="142"/>
  <c r="G965" i="142"/>
  <c r="C790" i="142"/>
  <c r="H784" i="142"/>
  <c r="H804" i="142"/>
  <c r="G976" i="142"/>
  <c r="K886" i="142"/>
  <c r="K105" i="142"/>
  <c r="M468" i="142"/>
  <c r="J1115" i="142"/>
  <c r="I196" i="142"/>
  <c r="J946" i="142"/>
  <c r="K473" i="142"/>
  <c r="G895" i="142"/>
  <c r="K902" i="142"/>
  <c r="M135" i="142"/>
  <c r="D525" i="142"/>
  <c r="D234" i="142"/>
  <c r="C778" i="142"/>
  <c r="J757" i="142"/>
  <c r="D101" i="142"/>
  <c r="L742" i="142"/>
  <c r="M1143" i="142"/>
  <c r="G1026" i="142"/>
  <c r="H1112" i="142"/>
  <c r="M309" i="142"/>
  <c r="C831" i="142"/>
  <c r="E362" i="142"/>
  <c r="G1135" i="142"/>
  <c r="F1130" i="142"/>
  <c r="D378" i="142"/>
  <c r="M970" i="142"/>
  <c r="L156" i="142"/>
  <c r="C734" i="142"/>
  <c r="I890" i="142"/>
  <c r="D157" i="142"/>
  <c r="L621" i="142"/>
  <c r="I956" i="142"/>
  <c r="M341" i="142"/>
  <c r="J419" i="142"/>
  <c r="E402" i="142"/>
  <c r="H360" i="142"/>
  <c r="I135" i="142"/>
  <c r="K458" i="142"/>
  <c r="F235" i="142"/>
  <c r="M540" i="142"/>
  <c r="C1093" i="142"/>
  <c r="D341" i="142"/>
  <c r="I1110" i="142"/>
  <c r="D142" i="142"/>
  <c r="H865" i="142"/>
  <c r="G918" i="142"/>
  <c r="E1167" i="142"/>
  <c r="D899" i="142"/>
  <c r="C1017" i="142"/>
  <c r="H735" i="142"/>
  <c r="D54" i="142"/>
  <c r="D563" i="142"/>
  <c r="J534" i="142"/>
  <c r="I277" i="142"/>
  <c r="D887" i="142"/>
  <c r="I68" i="142"/>
  <c r="F483" i="142"/>
  <c r="M519" i="142"/>
  <c r="J471" i="142"/>
  <c r="J43" i="142"/>
  <c r="G1102" i="142"/>
  <c r="C850" i="142"/>
  <c r="J929" i="142"/>
  <c r="F436" i="142"/>
  <c r="I257" i="142"/>
  <c r="J48" i="142"/>
  <c r="J920" i="142"/>
  <c r="F116" i="142"/>
  <c r="K707" i="142"/>
  <c r="C398" i="142"/>
  <c r="K348" i="142"/>
  <c r="D55" i="142"/>
  <c r="L923" i="142"/>
  <c r="K848" i="142"/>
  <c r="E1112" i="142"/>
  <c r="C344" i="142"/>
  <c r="D618" i="142"/>
  <c r="G279" i="142"/>
  <c r="I889" i="142"/>
  <c r="L42" i="142"/>
  <c r="L667" i="142"/>
  <c r="J525" i="142"/>
  <c r="K273" i="142"/>
  <c r="L196" i="142"/>
  <c r="J1144" i="142"/>
  <c r="J170" i="142"/>
  <c r="M252" i="142"/>
  <c r="L173" i="142"/>
  <c r="D762" i="142"/>
  <c r="J92" i="142"/>
  <c r="H930" i="142"/>
  <c r="D488" i="142"/>
  <c r="D133" i="142"/>
  <c r="J1082" i="142"/>
  <c r="H632" i="142"/>
  <c r="M17" i="142"/>
  <c r="J76" i="142"/>
  <c r="M64" i="142"/>
  <c r="H248" i="142"/>
  <c r="F577" i="142"/>
  <c r="M483" i="142"/>
  <c r="L798" i="142"/>
  <c r="M583" i="142"/>
  <c r="K807" i="142"/>
  <c r="L170" i="142"/>
  <c r="M115" i="142"/>
  <c r="E1002" i="142"/>
  <c r="M320" i="142"/>
  <c r="L573" i="142"/>
  <c r="J191" i="142"/>
  <c r="F968" i="142"/>
  <c r="E685" i="142"/>
  <c r="L56" i="142"/>
  <c r="J348" i="142"/>
  <c r="L324" i="142"/>
  <c r="I806" i="142"/>
  <c r="E360" i="142"/>
  <c r="L901" i="142"/>
  <c r="I325" i="142"/>
  <c r="J673" i="142"/>
  <c r="D219" i="142"/>
  <c r="L651" i="142"/>
  <c r="J600" i="142"/>
  <c r="E622" i="142"/>
  <c r="F697" i="142"/>
  <c r="F1056" i="142"/>
  <c r="E1058" i="142"/>
  <c r="I1137" i="142"/>
  <c r="J869" i="142"/>
  <c r="M705" i="142"/>
  <c r="L960" i="142"/>
  <c r="M1014" i="142"/>
  <c r="G998" i="142"/>
  <c r="D1016" i="142"/>
  <c r="H821" i="142"/>
  <c r="G1128" i="142"/>
  <c r="D825" i="142"/>
  <c r="I861" i="142"/>
  <c r="L993" i="142"/>
  <c r="J433" i="142"/>
  <c r="D387" i="142"/>
  <c r="L1015" i="142"/>
  <c r="F942" i="142"/>
  <c r="M269" i="142"/>
  <c r="I1157" i="142"/>
  <c r="I753" i="142"/>
  <c r="J185" i="142"/>
  <c r="I102" i="142"/>
  <c r="J461" i="142"/>
  <c r="C661" i="142"/>
  <c r="F748" i="142"/>
  <c r="F295" i="142"/>
  <c r="J640" i="142"/>
  <c r="M582" i="142"/>
  <c r="M665" i="142"/>
  <c r="I1085" i="142"/>
  <c r="L736" i="142"/>
  <c r="F262" i="142"/>
  <c r="F578" i="142"/>
  <c r="C321" i="142"/>
  <c r="F233" i="142"/>
  <c r="J9" i="142"/>
  <c r="M524" i="142"/>
  <c r="G886" i="142"/>
  <c r="H369" i="142"/>
  <c r="D816" i="142"/>
  <c r="L66" i="142"/>
  <c r="H728" i="142"/>
  <c r="K1148" i="142"/>
  <c r="D431" i="142"/>
  <c r="G707" i="142"/>
  <c r="H520" i="142"/>
  <c r="L796" i="142"/>
  <c r="L1066" i="142"/>
  <c r="M850" i="142"/>
  <c r="C1150" i="142"/>
  <c r="F413" i="142"/>
  <c r="F540" i="142"/>
  <c r="L394" i="142"/>
  <c r="I401" i="142"/>
  <c r="L211" i="142"/>
  <c r="L129" i="142"/>
  <c r="E1061" i="142"/>
  <c r="E211" i="142"/>
  <c r="H386" i="142"/>
  <c r="D150" i="142"/>
  <c r="L517" i="142"/>
  <c r="L753" i="142"/>
  <c r="L69" i="142"/>
  <c r="H626" i="142"/>
  <c r="G595" i="142"/>
  <c r="D369" i="142"/>
  <c r="G516" i="142"/>
  <c r="J809" i="142"/>
  <c r="H407" i="142"/>
  <c r="L544" i="142"/>
  <c r="F937" i="142"/>
  <c r="F726" i="142"/>
  <c r="C964" i="142"/>
  <c r="D361" i="142"/>
  <c r="M729" i="142"/>
  <c r="G109" i="142"/>
  <c r="G500" i="142"/>
  <c r="L60" i="142"/>
  <c r="E140" i="142"/>
  <c r="F145" i="142"/>
  <c r="F132" i="142"/>
  <c r="E632" i="142"/>
  <c r="G54" i="142"/>
  <c r="G416" i="142"/>
  <c r="K551" i="142"/>
  <c r="D194" i="142"/>
  <c r="D1108" i="142"/>
  <c r="G957" i="142"/>
  <c r="M854" i="142"/>
  <c r="L241" i="142"/>
  <c r="C1013" i="142"/>
  <c r="M427" i="142"/>
  <c r="I281" i="142"/>
  <c r="G408" i="142"/>
  <c r="H1096" i="142"/>
  <c r="I482" i="142"/>
  <c r="K780" i="142"/>
  <c r="J592" i="142"/>
  <c r="K973" i="142"/>
  <c r="J804" i="142"/>
  <c r="D985" i="142"/>
  <c r="H432" i="142"/>
  <c r="L739" i="142"/>
  <c r="D1101" i="142"/>
  <c r="J269" i="142"/>
  <c r="F557" i="142"/>
  <c r="G495" i="142"/>
  <c r="E319" i="142"/>
  <c r="H687" i="142"/>
  <c r="J828" i="142"/>
  <c r="J115" i="142"/>
  <c r="H271" i="142"/>
  <c r="E1087" i="142"/>
  <c r="C257" i="142"/>
  <c r="G692" i="142"/>
  <c r="F394" i="142"/>
  <c r="K396" i="142"/>
  <c r="I904" i="142"/>
  <c r="I592" i="142"/>
  <c r="F670" i="142"/>
  <c r="C1005" i="142"/>
  <c r="L275" i="142"/>
  <c r="G550" i="142"/>
  <c r="M574" i="142"/>
  <c r="K131" i="142"/>
  <c r="C305" i="142"/>
  <c r="M928" i="142"/>
  <c r="E765" i="142"/>
  <c r="K892" i="142"/>
  <c r="H516" i="142"/>
  <c r="E966" i="142"/>
  <c r="F1073" i="142"/>
  <c r="I1166" i="142"/>
  <c r="G386" i="142"/>
  <c r="F238" i="142"/>
  <c r="C63" i="142"/>
  <c r="H907" i="142"/>
  <c r="C784" i="142"/>
  <c r="F248" i="142"/>
  <c r="J1143" i="142"/>
  <c r="M82" i="142"/>
  <c r="F895" i="142"/>
  <c r="I897" i="142"/>
  <c r="J460" i="142"/>
  <c r="I1033" i="142"/>
  <c r="J928" i="142"/>
  <c r="C617" i="142"/>
  <c r="E588" i="142"/>
  <c r="J284" i="142"/>
  <c r="C1160" i="142"/>
  <c r="F112" i="142"/>
  <c r="F532" i="142"/>
  <c r="E823" i="142"/>
  <c r="C759" i="142"/>
  <c r="J949" i="142"/>
  <c r="E1125" i="142"/>
  <c r="F1075" i="142"/>
  <c r="D845" i="142"/>
  <c r="K487" i="142"/>
  <c r="M848" i="142"/>
  <c r="L505" i="142"/>
  <c r="J833" i="142"/>
  <c r="E1139" i="142"/>
  <c r="K1157" i="142"/>
  <c r="I45" i="142"/>
  <c r="M1006" i="142"/>
  <c r="G906" i="142"/>
  <c r="E1101" i="142"/>
  <c r="J403" i="142"/>
  <c r="L965" i="142"/>
  <c r="E328" i="142"/>
  <c r="I435" i="142"/>
  <c r="K103" i="142"/>
  <c r="M837" i="142"/>
  <c r="C731" i="142"/>
  <c r="H262" i="142"/>
  <c r="K155" i="142"/>
  <c r="D153" i="142"/>
  <c r="M146" i="142"/>
  <c r="G498" i="142"/>
  <c r="J272" i="142"/>
  <c r="F82" i="142"/>
  <c r="E862" i="142"/>
  <c r="C544" i="142"/>
  <c r="G740" i="142"/>
  <c r="J760" i="142"/>
  <c r="D27" i="142"/>
  <c r="M695" i="142"/>
  <c r="C597" i="142"/>
  <c r="L841" i="142"/>
  <c r="J347" i="142"/>
  <c r="F638" i="142"/>
  <c r="L325" i="142"/>
  <c r="C19" i="142"/>
  <c r="G513" i="142"/>
  <c r="G511" i="142"/>
  <c r="K325" i="142"/>
  <c r="D1081" i="142"/>
  <c r="H403" i="142"/>
  <c r="L701" i="142"/>
  <c r="G224" i="142"/>
  <c r="I61" i="142"/>
  <c r="L240" i="142"/>
  <c r="G504" i="142"/>
  <c r="C908" i="142"/>
  <c r="L230" i="142"/>
  <c r="M649" i="142"/>
  <c r="M453" i="142"/>
  <c r="M929" i="142"/>
  <c r="D1060" i="142"/>
  <c r="J150" i="142"/>
  <c r="L65" i="142"/>
  <c r="K781" i="142"/>
  <c r="L382" i="142"/>
  <c r="F140" i="142"/>
  <c r="I746" i="142"/>
  <c r="H181" i="142"/>
  <c r="M491" i="142"/>
  <c r="F792" i="142"/>
  <c r="D172" i="142"/>
  <c r="I891" i="142"/>
  <c r="C804" i="142"/>
  <c r="G418" i="142"/>
  <c r="G53" i="142"/>
  <c r="I23" i="142"/>
  <c r="F156" i="142"/>
  <c r="F84" i="142"/>
  <c r="M469" i="142"/>
  <c r="H409" i="142"/>
  <c r="D769" i="142"/>
  <c r="C595" i="142"/>
  <c r="K218" i="142"/>
  <c r="D810" i="142"/>
  <c r="F456" i="142"/>
  <c r="H777" i="142"/>
  <c r="M122" i="142"/>
  <c r="F765" i="142"/>
  <c r="I194" i="142"/>
  <c r="H242" i="142"/>
  <c r="H392" i="142"/>
  <c r="M208" i="142"/>
  <c r="L77" i="142"/>
  <c r="J379" i="142"/>
  <c r="D296" i="142"/>
  <c r="H592" i="142"/>
  <c r="M346" i="142"/>
  <c r="K247" i="142"/>
  <c r="G684" i="142"/>
  <c r="I240" i="142"/>
  <c r="M962" i="142"/>
  <c r="H29" i="142"/>
  <c r="F1016" i="142"/>
  <c r="E276" i="142"/>
  <c r="I832" i="142"/>
  <c r="K1087" i="142"/>
  <c r="I938" i="142"/>
  <c r="M1082" i="142"/>
  <c r="L978" i="142"/>
  <c r="G1047" i="142"/>
  <c r="H995" i="142"/>
  <c r="G858" i="142"/>
  <c r="E1140" i="142"/>
  <c r="F695" i="142"/>
  <c r="D933" i="142"/>
  <c r="M1078" i="142"/>
  <c r="H112" i="142"/>
  <c r="D113" i="142"/>
  <c r="H1030" i="142"/>
  <c r="M845" i="142"/>
  <c r="G170" i="142"/>
  <c r="E929" i="142"/>
  <c r="E761" i="142"/>
  <c r="L896" i="142"/>
  <c r="I234" i="142"/>
  <c r="G452" i="142"/>
  <c r="I1030" i="142"/>
  <c r="G743" i="142"/>
  <c r="M474" i="142"/>
  <c r="H660" i="142"/>
  <c r="E265" i="142"/>
  <c r="J580" i="142"/>
  <c r="H791" i="142"/>
  <c r="H1016" i="142"/>
  <c r="D408" i="142"/>
  <c r="L832" i="142"/>
  <c r="E694" i="142"/>
  <c r="J642" i="142"/>
  <c r="H940" i="142"/>
  <c r="I679" i="142"/>
  <c r="M201" i="142"/>
  <c r="H535" i="142"/>
  <c r="C573" i="142"/>
  <c r="F218" i="142"/>
  <c r="M588" i="142"/>
  <c r="H747" i="142"/>
  <c r="D722" i="142"/>
  <c r="J1116" i="142"/>
  <c r="D1114" i="142"/>
  <c r="L629" i="142"/>
  <c r="M650" i="142"/>
  <c r="F1164" i="142"/>
  <c r="E855" i="142"/>
  <c r="D877" i="142"/>
  <c r="I217" i="142"/>
  <c r="M759" i="142"/>
  <c r="C691" i="142"/>
  <c r="F559" i="142"/>
  <c r="M494" i="142"/>
  <c r="K94" i="142"/>
  <c r="K439" i="142"/>
  <c r="D1163" i="142"/>
  <c r="G145" i="142"/>
  <c r="I878" i="142"/>
  <c r="J551" i="142"/>
  <c r="C1035" i="142"/>
  <c r="L819" i="142"/>
  <c r="I634" i="142"/>
  <c r="I459" i="142"/>
  <c r="E213" i="142"/>
  <c r="I216" i="142"/>
  <c r="H792" i="142"/>
  <c r="M745" i="142"/>
  <c r="H745" i="142"/>
  <c r="H39" i="142"/>
  <c r="L628" i="142"/>
  <c r="J1088" i="142"/>
  <c r="D436" i="142"/>
  <c r="F1160" i="142"/>
  <c r="F185" i="142"/>
  <c r="C916" i="142"/>
  <c r="G1098" i="142"/>
  <c r="K444" i="142"/>
  <c r="E441" i="142"/>
  <c r="M805" i="142"/>
  <c r="G130" i="142"/>
  <c r="M921" i="142"/>
  <c r="D26" i="142"/>
  <c r="I133" i="142"/>
  <c r="F722" i="142"/>
  <c r="L71" i="142"/>
  <c r="I127" i="142"/>
  <c r="K590" i="142"/>
  <c r="H508" i="142"/>
  <c r="H827" i="142"/>
  <c r="G31" i="142"/>
  <c r="F1118" i="142"/>
  <c r="E357" i="142"/>
  <c r="I431" i="142"/>
  <c r="L28" i="142"/>
  <c r="E715" i="142"/>
  <c r="D343" i="142"/>
  <c r="D733" i="142"/>
  <c r="M354" i="142"/>
  <c r="M327" i="142"/>
  <c r="G247" i="142"/>
  <c r="L897" i="142"/>
  <c r="C148" i="142"/>
  <c r="G1010" i="142"/>
  <c r="L68" i="142"/>
  <c r="F580" i="142"/>
  <c r="L397" i="142"/>
  <c r="H47" i="142"/>
  <c r="M325" i="142"/>
  <c r="G59" i="142"/>
  <c r="K515" i="142"/>
  <c r="F620" i="142"/>
  <c r="H582" i="142"/>
  <c r="G89" i="142"/>
  <c r="F664" i="142"/>
  <c r="L252" i="142"/>
  <c r="D915" i="142"/>
  <c r="K925" i="142"/>
  <c r="D890" i="142"/>
  <c r="M1112" i="142"/>
  <c r="F1044" i="142"/>
  <c r="L432" i="142"/>
  <c r="H958" i="142"/>
  <c r="E1017" i="142"/>
  <c r="L706" i="142"/>
  <c r="C576" i="142"/>
  <c r="K758" i="142"/>
  <c r="L135" i="142"/>
  <c r="D863" i="142"/>
  <c r="G1091" i="142"/>
  <c r="F11" i="142"/>
  <c r="C1142" i="142"/>
  <c r="K1023" i="142"/>
  <c r="H1080" i="142"/>
  <c r="H185" i="142"/>
  <c r="D1077" i="142"/>
  <c r="H643" i="142"/>
  <c r="K1144" i="142"/>
  <c r="F753" i="142"/>
  <c r="J53" i="142"/>
  <c r="G233" i="142"/>
  <c r="D906" i="142"/>
  <c r="L509" i="142"/>
  <c r="E613" i="142"/>
  <c r="L194" i="142"/>
  <c r="F962" i="142"/>
  <c r="C1080" i="142"/>
  <c r="K1102" i="142"/>
  <c r="M1015" i="142"/>
  <c r="G1143" i="142"/>
  <c r="I649" i="142"/>
  <c r="G378" i="142"/>
  <c r="G276" i="142"/>
  <c r="L999" i="142"/>
  <c r="J280" i="142"/>
  <c r="I1039" i="142"/>
  <c r="C418" i="142"/>
  <c r="D596" i="142"/>
  <c r="C719" i="142"/>
  <c r="F3" i="142"/>
  <c r="K1084" i="142"/>
  <c r="M1106" i="142"/>
  <c r="H790" i="142"/>
  <c r="I1095" i="142"/>
  <c r="H188" i="142"/>
  <c r="L1157" i="142"/>
  <c r="L745" i="142"/>
  <c r="L1088" i="142"/>
  <c r="H864" i="142"/>
  <c r="C301" i="142"/>
  <c r="C849" i="142"/>
  <c r="C684" i="142"/>
  <c r="I399" i="142"/>
  <c r="L111" i="142"/>
  <c r="I557" i="142"/>
  <c r="J145" i="142"/>
  <c r="F563" i="142"/>
  <c r="H176" i="142"/>
  <c r="F41" i="142"/>
  <c r="J690" i="142"/>
  <c r="C462" i="142"/>
  <c r="H20" i="142"/>
  <c r="D515" i="142"/>
  <c r="M972" i="142"/>
  <c r="K56" i="142"/>
  <c r="F901" i="142"/>
  <c r="H545" i="142"/>
  <c r="H189" i="142"/>
  <c r="E948" i="142"/>
  <c r="K384" i="142"/>
  <c r="G539" i="142"/>
  <c r="E698" i="142"/>
  <c r="J406" i="142"/>
  <c r="J1070" i="142"/>
  <c r="I502" i="142"/>
  <c r="D7" i="142"/>
  <c r="M594" i="142"/>
  <c r="K297" i="142"/>
  <c r="D879" i="142"/>
  <c r="G566" i="142"/>
  <c r="M35" i="142"/>
  <c r="G681" i="142"/>
  <c r="L51" i="142"/>
  <c r="M298" i="142"/>
  <c r="C629" i="142"/>
  <c r="E187" i="142"/>
  <c r="M505" i="142"/>
  <c r="C159" i="142"/>
  <c r="F531" i="142"/>
  <c r="C53" i="142"/>
  <c r="J987" i="142"/>
  <c r="F677" i="142"/>
  <c r="K450" i="142"/>
  <c r="H64" i="142"/>
  <c r="I545" i="142"/>
  <c r="M1161" i="142"/>
  <c r="G651" i="142"/>
  <c r="H290" i="142"/>
  <c r="M865" i="142"/>
  <c r="C639" i="142"/>
  <c r="M829" i="142"/>
  <c r="F133" i="142"/>
  <c r="K823" i="142"/>
  <c r="G533" i="142"/>
  <c r="J374" i="142"/>
  <c r="G739" i="142"/>
  <c r="E616" i="142"/>
  <c r="L365" i="142"/>
  <c r="H307" i="142"/>
  <c r="I898" i="142"/>
  <c r="I870" i="142"/>
  <c r="M93" i="142"/>
  <c r="L558" i="142"/>
  <c r="H443" i="142"/>
  <c r="D541" i="142"/>
  <c r="C1078" i="142"/>
  <c r="G822" i="142"/>
  <c r="M1033" i="142"/>
  <c r="H872" i="142"/>
  <c r="F846" i="142"/>
  <c r="D638" i="142"/>
  <c r="E1010" i="142"/>
  <c r="K446" i="142"/>
  <c r="L840" i="142"/>
  <c r="H295" i="142"/>
  <c r="H642" i="142"/>
  <c r="K1080" i="142"/>
  <c r="E858" i="142"/>
  <c r="E458" i="142"/>
  <c r="K688" i="142"/>
  <c r="K858" i="142"/>
  <c r="G1150" i="142"/>
  <c r="E1055" i="142"/>
  <c r="I884" i="142"/>
  <c r="D1121" i="142"/>
  <c r="E967" i="142"/>
  <c r="C1068" i="142"/>
  <c r="I569" i="142"/>
  <c r="M595" i="142"/>
  <c r="K849" i="142"/>
  <c r="G763" i="142"/>
  <c r="C680" i="142"/>
  <c r="E899" i="142"/>
  <c r="H1040" i="142"/>
  <c r="E19" i="142"/>
  <c r="K784" i="142"/>
  <c r="F794" i="142"/>
  <c r="D1022" i="142"/>
  <c r="H697" i="142"/>
  <c r="E18" i="142"/>
  <c r="H1085" i="142"/>
  <c r="G43" i="142"/>
  <c r="M134" i="142"/>
  <c r="K1052" i="142"/>
  <c r="K336" i="142"/>
  <c r="E830" i="142"/>
  <c r="M1041" i="142"/>
  <c r="K1060" i="142"/>
  <c r="J810" i="142"/>
  <c r="H1123" i="142"/>
  <c r="H673" i="142"/>
  <c r="L1092" i="142"/>
  <c r="E1006" i="142"/>
  <c r="J1127" i="142"/>
  <c r="F1068" i="142"/>
  <c r="C107" i="142"/>
  <c r="J802" i="142"/>
  <c r="J110" i="142"/>
  <c r="M858" i="142"/>
  <c r="D663" i="142"/>
  <c r="E448" i="142"/>
  <c r="H1053" i="142"/>
  <c r="D924" i="142"/>
  <c r="J382" i="142"/>
  <c r="G387" i="142"/>
  <c r="C568" i="142"/>
  <c r="I687" i="142"/>
  <c r="C857" i="142"/>
  <c r="D640" i="142"/>
  <c r="K408" i="142"/>
  <c r="K887" i="142"/>
  <c r="J448" i="142"/>
  <c r="J414" i="142"/>
  <c r="J293" i="142"/>
  <c r="D171" i="142"/>
  <c r="K152" i="142"/>
  <c r="H3" i="142"/>
  <c r="I1118" i="142"/>
  <c r="G55" i="142"/>
  <c r="D1053" i="142"/>
  <c r="M215" i="142"/>
  <c r="D856" i="142"/>
  <c r="M153" i="142"/>
  <c r="L1140" i="142"/>
  <c r="E230" i="142"/>
  <c r="F522" i="142"/>
  <c r="C49" i="142"/>
  <c r="E815" i="142"/>
  <c r="E977" i="142"/>
  <c r="L348" i="142"/>
  <c r="D198" i="142"/>
  <c r="D287" i="142"/>
  <c r="I555" i="142"/>
  <c r="I614" i="142"/>
  <c r="J31" i="142"/>
  <c r="E407" i="142"/>
  <c r="J64" i="142"/>
  <c r="I519" i="142"/>
  <c r="L1118" i="142"/>
  <c r="L222" i="142"/>
  <c r="D53" i="142"/>
  <c r="D364" i="142"/>
  <c r="L465" i="142"/>
  <c r="M329" i="142"/>
  <c r="D154" i="142"/>
  <c r="F172" i="142"/>
  <c r="K1114" i="142"/>
  <c r="H257" i="142"/>
  <c r="M689" i="142"/>
  <c r="I283" i="142"/>
  <c r="F64" i="142"/>
  <c r="G718" i="142"/>
  <c r="E124" i="142"/>
  <c r="I747" i="142"/>
  <c r="M419" i="142"/>
  <c r="I12" i="142"/>
  <c r="I41" i="142"/>
  <c r="F1036" i="142"/>
  <c r="F550" i="142"/>
  <c r="J926" i="142"/>
  <c r="D671" i="142"/>
  <c r="M237" i="142"/>
  <c r="H320" i="142"/>
  <c r="G669" i="142"/>
  <c r="C1021" i="142"/>
  <c r="L1023" i="142"/>
  <c r="G445" i="142"/>
  <c r="D1091" i="142"/>
  <c r="I1102" i="142"/>
  <c r="E743" i="142"/>
  <c r="D1156" i="142"/>
  <c r="D244" i="142"/>
  <c r="E674" i="142"/>
  <c r="J1152" i="142"/>
  <c r="K643" i="142"/>
  <c r="L933" i="142"/>
  <c r="D420" i="142"/>
  <c r="M1012" i="142"/>
  <c r="H686" i="142"/>
  <c r="J229" i="142"/>
  <c r="C335" i="142"/>
  <c r="F919" i="142"/>
  <c r="G497" i="142"/>
  <c r="C722" i="142"/>
  <c r="M1157" i="142"/>
  <c r="J789" i="142"/>
  <c r="E609" i="142"/>
  <c r="H976" i="142"/>
  <c r="M102" i="142"/>
  <c r="J1095" i="142"/>
  <c r="J743" i="142"/>
  <c r="D1106" i="142"/>
  <c r="E768" i="142"/>
  <c r="L495" i="142"/>
  <c r="E548" i="142"/>
  <c r="I700" i="142"/>
  <c r="J692" i="142"/>
  <c r="L682" i="142"/>
  <c r="E1137" i="142"/>
  <c r="F850" i="142"/>
  <c r="C27" i="142"/>
  <c r="C776" i="142"/>
  <c r="H769" i="142"/>
  <c r="H783" i="142"/>
  <c r="I376" i="142"/>
  <c r="M3" i="142"/>
  <c r="G784" i="142"/>
  <c r="J1123" i="142"/>
  <c r="E1121" i="142"/>
  <c r="L1087" i="142"/>
  <c r="J881" i="142"/>
  <c r="M942" i="142"/>
  <c r="D207" i="142"/>
  <c r="C1144" i="142"/>
  <c r="L876" i="142"/>
  <c r="I842" i="142"/>
  <c r="D842" i="142"/>
  <c r="G441" i="142"/>
  <c r="E750" i="142"/>
  <c r="E206" i="142"/>
  <c r="J857" i="142"/>
  <c r="H88" i="142"/>
  <c r="I732" i="142"/>
  <c r="G314" i="142"/>
  <c r="G263" i="142"/>
  <c r="J718" i="142"/>
  <c r="D693" i="142"/>
  <c r="M762" i="142"/>
  <c r="G620" i="142"/>
  <c r="G542" i="142"/>
  <c r="M990" i="142"/>
  <c r="K234" i="142"/>
  <c r="K451" i="142"/>
  <c r="F1137" i="142"/>
  <c r="C277" i="142"/>
  <c r="L377" i="142"/>
  <c r="D50" i="142"/>
  <c r="J95" i="142"/>
  <c r="D31" i="142"/>
  <c r="K266" i="142"/>
  <c r="D872" i="142"/>
  <c r="L223" i="142"/>
  <c r="J56" i="142"/>
  <c r="H604" i="142"/>
  <c r="D292" i="142"/>
  <c r="F685" i="142"/>
  <c r="D544" i="142"/>
  <c r="I600" i="142"/>
  <c r="E533" i="142"/>
  <c r="M435" i="142"/>
  <c r="K558" i="142"/>
  <c r="C98" i="142"/>
  <c r="G947" i="142"/>
  <c r="G610" i="142"/>
  <c r="G182" i="142"/>
  <c r="G256" i="142"/>
  <c r="K127" i="142"/>
  <c r="G46" i="142"/>
  <c r="I792" i="142"/>
  <c r="H620" i="142"/>
  <c r="J423" i="142"/>
  <c r="G1031" i="142"/>
  <c r="D390" i="142"/>
  <c r="D942" i="142"/>
  <c r="I680" i="142"/>
  <c r="K1085" i="142"/>
  <c r="E732" i="142"/>
  <c r="E290" i="142"/>
  <c r="D415" i="142"/>
  <c r="L695" i="142"/>
  <c r="G835" i="142"/>
  <c r="I901" i="142"/>
  <c r="M111" i="142"/>
  <c r="H476" i="142"/>
  <c r="J947" i="142"/>
  <c r="M905" i="142"/>
  <c r="H240" i="142"/>
  <c r="D106" i="142"/>
  <c r="G880" i="142"/>
  <c r="L795" i="142"/>
  <c r="K738" i="142"/>
  <c r="F378" i="142"/>
  <c r="M646" i="142"/>
  <c r="H533" i="142"/>
  <c r="G508" i="142"/>
  <c r="K404" i="142"/>
  <c r="L801" i="142"/>
  <c r="E884" i="142"/>
  <c r="C646" i="142"/>
  <c r="H415" i="142"/>
  <c r="M727" i="142"/>
  <c r="E518" i="142"/>
  <c r="E428" i="142"/>
  <c r="M94" i="142"/>
  <c r="C174" i="142"/>
  <c r="D88" i="142"/>
  <c r="G1059" i="142"/>
  <c r="D726" i="142"/>
  <c r="C1091" i="142"/>
  <c r="I197" i="142"/>
  <c r="L1080" i="142"/>
  <c r="M1058" i="142"/>
  <c r="J651" i="142"/>
  <c r="F965" i="142"/>
  <c r="M498" i="142"/>
  <c r="I869" i="142"/>
  <c r="M804" i="142"/>
  <c r="J567" i="142"/>
  <c r="H665" i="142"/>
  <c r="L1083" i="142"/>
  <c r="E1044" i="142"/>
  <c r="M1030" i="142"/>
  <c r="I1100" i="142"/>
  <c r="G690" i="142"/>
  <c r="C728" i="142"/>
  <c r="M1048" i="142"/>
  <c r="K435" i="142"/>
  <c r="H1026" i="142"/>
  <c r="H1145" i="142"/>
  <c r="F114" i="142"/>
  <c r="K99" i="142"/>
  <c r="J955" i="142"/>
  <c r="K1115" i="142"/>
  <c r="K397" i="142"/>
  <c r="H739" i="142"/>
  <c r="C1063" i="142"/>
  <c r="J1047" i="142"/>
  <c r="K888" i="142"/>
  <c r="E1113" i="142"/>
  <c r="I982" i="142"/>
  <c r="J527" i="142"/>
  <c r="J800" i="142"/>
  <c r="G995" i="142"/>
  <c r="F943" i="142"/>
  <c r="F880" i="142"/>
  <c r="G1088" i="142"/>
  <c r="J1046" i="142"/>
  <c r="C957" i="142"/>
  <c r="K618" i="142"/>
  <c r="M1160" i="142"/>
  <c r="L1036" i="142"/>
  <c r="H1042" i="142"/>
  <c r="C478" i="142"/>
  <c r="I834" i="142"/>
  <c r="E637" i="142"/>
  <c r="H946" i="142"/>
  <c r="L718" i="142"/>
  <c r="I923" i="142"/>
  <c r="E697" i="142"/>
  <c r="F671" i="142"/>
  <c r="J813" i="142"/>
  <c r="K783" i="142"/>
  <c r="G1064" i="142"/>
  <c r="K880" i="142"/>
  <c r="F139" i="142"/>
  <c r="G1115" i="142"/>
  <c r="H921" i="142"/>
  <c r="D911" i="142"/>
  <c r="H1075" i="142"/>
  <c r="F750" i="142"/>
  <c r="I958" i="142"/>
  <c r="J688" i="142"/>
  <c r="C1053" i="142"/>
  <c r="L853" i="142"/>
  <c r="J652" i="142"/>
  <c r="F967" i="142"/>
  <c r="I472" i="142"/>
  <c r="G180" i="142"/>
  <c r="C732" i="142"/>
  <c r="J805" i="142"/>
  <c r="E520" i="142"/>
  <c r="M897" i="142"/>
  <c r="G985" i="142"/>
  <c r="I851" i="142"/>
  <c r="J790" i="142"/>
  <c r="F799" i="142"/>
  <c r="K650" i="142"/>
  <c r="L270" i="142"/>
  <c r="C990" i="142"/>
  <c r="F760" i="142"/>
  <c r="D794" i="142"/>
  <c r="D182" i="142"/>
  <c r="G648" i="142"/>
  <c r="F861" i="142"/>
  <c r="H86" i="142"/>
  <c r="I951" i="142"/>
  <c r="D92" i="142"/>
  <c r="D547" i="142"/>
  <c r="E662" i="142"/>
  <c r="J147" i="142"/>
  <c r="K1092" i="142"/>
  <c r="D969" i="142"/>
  <c r="C139" i="142"/>
  <c r="E605" i="142"/>
  <c r="H279" i="142"/>
  <c r="D947" i="142"/>
  <c r="F215" i="142"/>
  <c r="C1000" i="142"/>
  <c r="M1007" i="142"/>
  <c r="K147" i="142"/>
  <c r="G125" i="142"/>
  <c r="K801" i="142"/>
  <c r="C200" i="142"/>
  <c r="K796" i="142"/>
  <c r="E707" i="142"/>
  <c r="J995" i="142"/>
  <c r="E255" i="142"/>
  <c r="G759" i="142"/>
  <c r="G477" i="142"/>
  <c r="K463" i="142"/>
  <c r="M1108" i="142"/>
  <c r="L441" i="142"/>
  <c r="E104" i="142"/>
  <c r="L648" i="142"/>
  <c r="J911" i="142"/>
  <c r="L594" i="142"/>
  <c r="K885" i="142"/>
  <c r="K23" i="142"/>
  <c r="E627" i="142"/>
  <c r="G691" i="142"/>
  <c r="K1010" i="142"/>
  <c r="I414" i="142"/>
  <c r="I668" i="142"/>
  <c r="I372" i="142"/>
  <c r="G702" i="142"/>
  <c r="D317" i="142"/>
  <c r="D1127" i="142"/>
  <c r="K623" i="142"/>
  <c r="D556" i="142"/>
  <c r="H776" i="142"/>
  <c r="C79" i="142"/>
  <c r="C1047" i="142"/>
  <c r="C351" i="142"/>
  <c r="L85" i="142"/>
  <c r="I70" i="142"/>
  <c r="M541" i="142"/>
  <c r="I514" i="142"/>
  <c r="M682" i="142"/>
  <c r="E684" i="142"/>
  <c r="E1014" i="142"/>
  <c r="J198" i="142"/>
  <c r="K382" i="142"/>
  <c r="F259" i="142"/>
  <c r="M1034" i="142"/>
  <c r="K785" i="142"/>
  <c r="G274" i="142"/>
  <c r="L684" i="142"/>
  <c r="L779" i="142"/>
  <c r="G295" i="142"/>
  <c r="M221" i="142"/>
  <c r="L408" i="142"/>
  <c r="D927" i="142"/>
  <c r="I969" i="142"/>
  <c r="C1066" i="142"/>
  <c r="E410" i="142"/>
  <c r="E787" i="142"/>
  <c r="F643" i="142"/>
  <c r="M203" i="142"/>
  <c r="D311" i="142"/>
  <c r="L1141" i="142"/>
  <c r="K599" i="142"/>
  <c r="M472" i="142"/>
  <c r="F399" i="142"/>
  <c r="I354" i="142"/>
  <c r="L626" i="142"/>
  <c r="C291" i="142"/>
  <c r="H397" i="142"/>
  <c r="M394" i="142"/>
  <c r="I195" i="142"/>
  <c r="E654" i="142"/>
  <c r="C852" i="142"/>
  <c r="H314" i="142"/>
  <c r="I637" i="142"/>
  <c r="E27" i="142"/>
  <c r="G1157" i="142"/>
  <c r="H932" i="142"/>
  <c r="H854" i="142"/>
  <c r="H1046" i="142"/>
  <c r="C986" i="142"/>
  <c r="H943" i="142"/>
  <c r="G1106" i="142"/>
  <c r="D145" i="142"/>
  <c r="C652" i="142"/>
  <c r="C668" i="142"/>
  <c r="G815" i="142"/>
  <c r="C1089" i="142"/>
  <c r="C835" i="142"/>
  <c r="M667" i="142"/>
  <c r="I1009" i="142"/>
  <c r="D1125" i="142"/>
  <c r="H972" i="142"/>
  <c r="L830" i="142"/>
  <c r="F808" i="142"/>
  <c r="L597" i="142"/>
  <c r="F323" i="142"/>
  <c r="C381" i="142"/>
  <c r="F533" i="142"/>
  <c r="M202" i="142"/>
  <c r="F244" i="142"/>
  <c r="H971" i="142"/>
  <c r="L380" i="142"/>
  <c r="D1032" i="142"/>
  <c r="F1113" i="142"/>
  <c r="J257" i="142"/>
  <c r="E4" i="142"/>
  <c r="E358" i="142"/>
  <c r="K742" i="142"/>
  <c r="C245" i="142"/>
  <c r="K789" i="142"/>
  <c r="M1050" i="142"/>
  <c r="G1027" i="142"/>
  <c r="J10" i="142"/>
  <c r="G161" i="142"/>
  <c r="L493" i="142"/>
  <c r="I1116" i="142"/>
  <c r="F1084" i="142"/>
  <c r="G524" i="142"/>
  <c r="I398" i="142"/>
  <c r="D777" i="142"/>
  <c r="J108" i="142"/>
  <c r="M449" i="142"/>
  <c r="F698" i="142"/>
  <c r="K1158" i="142"/>
  <c r="C348" i="142"/>
  <c r="G1007" i="142"/>
  <c r="L1084" i="142"/>
  <c r="F889" i="142"/>
  <c r="K353" i="142"/>
  <c r="E806" i="142"/>
  <c r="E676" i="142"/>
  <c r="C369" i="142"/>
  <c r="H952" i="142"/>
  <c r="L41" i="142"/>
  <c r="G167" i="142"/>
  <c r="E1086" i="142"/>
  <c r="C517" i="142"/>
  <c r="E1130" i="142"/>
  <c r="J556" i="142"/>
  <c r="H759" i="142"/>
  <c r="F151" i="142"/>
  <c r="G693" i="142"/>
  <c r="H368" i="142"/>
  <c r="I745" i="142"/>
  <c r="H267" i="142"/>
  <c r="L359" i="142"/>
  <c r="K665" i="142"/>
  <c r="L950" i="142"/>
  <c r="C327" i="142"/>
  <c r="H49" i="142"/>
  <c r="K82" i="142"/>
  <c r="I808" i="142"/>
  <c r="L206" i="142"/>
  <c r="M388" i="142"/>
  <c r="J237" i="142"/>
  <c r="K767" i="142"/>
  <c r="L781" i="142"/>
  <c r="J847" i="142"/>
  <c r="E268" i="142"/>
  <c r="M144" i="142"/>
  <c r="J735" i="142"/>
  <c r="K231" i="142"/>
  <c r="E499" i="142"/>
  <c r="L715" i="142"/>
  <c r="C727" i="142"/>
  <c r="D600" i="142"/>
  <c r="G371" i="142"/>
  <c r="E250" i="142"/>
  <c r="J88" i="142"/>
  <c r="G317" i="142"/>
  <c r="C94" i="142"/>
  <c r="M910" i="142"/>
  <c r="E705" i="142"/>
  <c r="I617" i="142"/>
  <c r="M914" i="142"/>
  <c r="H399" i="142"/>
  <c r="D615" i="142"/>
  <c r="L389" i="142"/>
  <c r="D523" i="142"/>
  <c r="J671" i="142"/>
  <c r="C634" i="142"/>
  <c r="G473" i="142"/>
  <c r="E918" i="142"/>
  <c r="G496" i="142"/>
  <c r="L332" i="142"/>
  <c r="H809" i="142"/>
  <c r="F283" i="142"/>
  <c r="F1011" i="142"/>
  <c r="G735" i="142"/>
  <c r="I548" i="142"/>
  <c r="D374" i="142"/>
  <c r="I119" i="142"/>
  <c r="C502" i="142"/>
  <c r="H630" i="142"/>
  <c r="I225" i="142"/>
  <c r="H229" i="142"/>
  <c r="G930" i="142"/>
  <c r="D459" i="142"/>
  <c r="G436" i="142"/>
  <c r="D592" i="142"/>
  <c r="L319" i="142"/>
  <c r="K1015" i="142"/>
  <c r="I1080" i="142"/>
  <c r="K710" i="142"/>
  <c r="D1065" i="142"/>
  <c r="I603" i="142"/>
  <c r="K1146" i="142"/>
  <c r="H1160" i="142"/>
  <c r="D936" i="142"/>
  <c r="K1086" i="142"/>
  <c r="G785" i="142"/>
  <c r="F657" i="142"/>
  <c r="M861" i="142"/>
  <c r="F1025" i="142"/>
  <c r="F864" i="142"/>
  <c r="L864" i="142"/>
  <c r="F739" i="142"/>
  <c r="D661" i="142"/>
  <c r="G472" i="142"/>
  <c r="E931" i="142"/>
  <c r="J971" i="142"/>
  <c r="M741" i="142"/>
  <c r="L777" i="142"/>
  <c r="C322" i="142"/>
  <c r="J1079" i="142"/>
  <c r="F113" i="142"/>
  <c r="J659" i="142"/>
  <c r="F964" i="142"/>
  <c r="G597" i="142"/>
  <c r="K929" i="142"/>
  <c r="K385" i="142"/>
  <c r="D886" i="142"/>
  <c r="D741" i="142"/>
  <c r="F843" i="142"/>
  <c r="E1066" i="142"/>
  <c r="L616" i="142"/>
  <c r="F931" i="142"/>
  <c r="K879" i="142"/>
  <c r="D467" i="142"/>
  <c r="F627" i="142"/>
  <c r="H663" i="142"/>
  <c r="L7" i="142"/>
  <c r="M816" i="142"/>
  <c r="C1134" i="142"/>
  <c r="F832" i="142"/>
  <c r="E673" i="142"/>
  <c r="F1156" i="142"/>
  <c r="E607" i="142"/>
  <c r="F541" i="142"/>
  <c r="J679" i="142"/>
  <c r="G960" i="142"/>
  <c r="D79" i="142"/>
  <c r="H787" i="142"/>
  <c r="E849" i="142"/>
  <c r="G194" i="142"/>
  <c r="H862" i="142"/>
  <c r="E758" i="142"/>
  <c r="L501" i="142"/>
  <c r="F621" i="142"/>
  <c r="C1029" i="142"/>
  <c r="E573" i="142"/>
  <c r="H140" i="142"/>
  <c r="C162" i="142"/>
  <c r="G1037" i="142"/>
  <c r="J639" i="142"/>
  <c r="H287" i="142"/>
  <c r="J224" i="142"/>
  <c r="M479" i="142"/>
  <c r="D160" i="142"/>
  <c r="G306" i="142"/>
  <c r="L607" i="142"/>
  <c r="J681" i="142"/>
  <c r="D522" i="142"/>
  <c r="I189" i="142"/>
  <c r="K402" i="142"/>
  <c r="H283" i="142"/>
  <c r="J107" i="142"/>
  <c r="H884" i="142"/>
  <c r="H377" i="142"/>
  <c r="M365" i="142"/>
  <c r="I421" i="142"/>
  <c r="L117" i="142"/>
  <c r="I512" i="142"/>
  <c r="H1149" i="142"/>
  <c r="I91" i="142"/>
  <c r="F55" i="142"/>
  <c r="I724" i="142"/>
  <c r="E164" i="142"/>
  <c r="J210" i="142"/>
  <c r="L519" i="142"/>
  <c r="M487" i="142"/>
  <c r="C244" i="142"/>
  <c r="F1114" i="142"/>
  <c r="I299" i="142"/>
  <c r="H571" i="142"/>
  <c r="L650" i="142"/>
  <c r="I320" i="142"/>
  <c r="F836" i="142"/>
  <c r="D203" i="142"/>
  <c r="F424" i="142"/>
  <c r="K89" i="142"/>
  <c r="L793" i="142"/>
  <c r="F240" i="142"/>
  <c r="G818" i="142"/>
  <c r="E1003" i="142"/>
  <c r="L617" i="142"/>
  <c r="G30" i="142"/>
  <c r="D347" i="142"/>
  <c r="G158" i="142"/>
  <c r="G1153" i="142"/>
  <c r="D491" i="142"/>
  <c r="H19" i="142"/>
  <c r="D654" i="142"/>
  <c r="D568" i="142"/>
  <c r="H266" i="142"/>
  <c r="D476" i="142"/>
  <c r="K682" i="142"/>
  <c r="M265" i="142"/>
  <c r="I169" i="142"/>
  <c r="G694" i="142"/>
  <c r="E1126" i="142"/>
  <c r="M626" i="142"/>
  <c r="H700" i="142"/>
  <c r="G867" i="142"/>
  <c r="E885" i="142"/>
  <c r="E727" i="142"/>
  <c r="H990" i="142"/>
  <c r="K64" i="142"/>
  <c r="L546" i="142"/>
  <c r="F716" i="142"/>
  <c r="H831" i="142"/>
  <c r="F972" i="142"/>
  <c r="I926" i="142"/>
  <c r="C961" i="142"/>
  <c r="I536" i="142"/>
  <c r="D1123" i="142"/>
  <c r="D930" i="142"/>
  <c r="J909" i="142"/>
  <c r="J670" i="142"/>
  <c r="G1152" i="142"/>
  <c r="F754" i="142"/>
  <c r="F407" i="142"/>
  <c r="G604" i="142"/>
  <c r="H636" i="142"/>
  <c r="K772" i="142"/>
  <c r="H1120" i="142"/>
  <c r="D729" i="142"/>
  <c r="C479" i="142"/>
  <c r="I718" i="142"/>
  <c r="I621" i="142"/>
  <c r="C533" i="142"/>
  <c r="I445" i="142"/>
  <c r="E955" i="142"/>
  <c r="D91" i="142"/>
  <c r="E355" i="142"/>
  <c r="K1002" i="142"/>
  <c r="M1045" i="142"/>
  <c r="K751" i="142"/>
  <c r="L983" i="142"/>
  <c r="L611" i="142"/>
  <c r="J236" i="142"/>
  <c r="D375" i="142"/>
  <c r="F718" i="142"/>
  <c r="F1121" i="142"/>
  <c r="K826" i="142"/>
  <c r="L299" i="142"/>
  <c r="H318" i="142"/>
  <c r="H806" i="142"/>
  <c r="G319" i="142"/>
  <c r="J538" i="142"/>
  <c r="K740" i="142"/>
  <c r="I161" i="142"/>
  <c r="H752" i="142"/>
  <c r="G677" i="142"/>
  <c r="I801" i="142"/>
  <c r="J755" i="142"/>
  <c r="C153" i="142"/>
  <c r="K514" i="142"/>
  <c r="G335" i="142"/>
  <c r="G18" i="142"/>
  <c r="J979" i="142"/>
  <c r="I615" i="142"/>
  <c r="L818" i="142"/>
  <c r="K269" i="142"/>
  <c r="D553" i="142"/>
  <c r="G367" i="142"/>
  <c r="D892" i="142"/>
  <c r="C100" i="142"/>
  <c r="I86" i="142"/>
  <c r="E1142" i="142"/>
  <c r="K808" i="142"/>
  <c r="I595" i="142"/>
  <c r="K1062" i="142"/>
  <c r="I596" i="142"/>
  <c r="L554" i="142"/>
  <c r="F1037" i="142"/>
  <c r="F725" i="142"/>
  <c r="H492" i="142"/>
  <c r="J91" i="142"/>
  <c r="E452" i="142"/>
  <c r="J387" i="142"/>
  <c r="F667" i="142"/>
  <c r="J474" i="142"/>
  <c r="L633" i="142"/>
  <c r="G629" i="142"/>
  <c r="L413" i="142"/>
  <c r="L672" i="142"/>
  <c r="K61" i="142"/>
  <c r="M154" i="142"/>
  <c r="J70" i="142"/>
  <c r="M612" i="142"/>
  <c r="H701" i="142"/>
  <c r="H646" i="142"/>
  <c r="E61" i="142"/>
  <c r="J356" i="142"/>
  <c r="L433" i="142"/>
  <c r="L567" i="142"/>
  <c r="G775" i="142"/>
  <c r="I66" i="142"/>
  <c r="D447" i="142"/>
  <c r="M878" i="142"/>
  <c r="I360" i="142"/>
  <c r="M889" i="142"/>
  <c r="F704" i="142"/>
  <c r="F896" i="142"/>
  <c r="K861" i="142"/>
  <c r="H452" i="142"/>
  <c r="M1032" i="142"/>
  <c r="L687" i="142"/>
  <c r="F624" i="142"/>
  <c r="F690" i="142"/>
  <c r="J431" i="142"/>
  <c r="H107" i="142"/>
  <c r="H272" i="142"/>
  <c r="C406" i="142"/>
  <c r="C656" i="142"/>
  <c r="J249" i="142"/>
  <c r="M106" i="142"/>
  <c r="L438" i="142"/>
  <c r="H182" i="142"/>
  <c r="J951" i="142"/>
  <c r="F574" i="142"/>
  <c r="M464" i="142"/>
  <c r="K730" i="142"/>
  <c r="J506" i="142"/>
  <c r="K585" i="142"/>
  <c r="H51" i="142"/>
  <c r="I33" i="142"/>
  <c r="M1102" i="142"/>
  <c r="H1054" i="142"/>
  <c r="F692" i="142"/>
  <c r="H730" i="142"/>
  <c r="C102" i="142"/>
  <c r="D1062" i="142"/>
  <c r="L961" i="142"/>
  <c r="D1148" i="142"/>
  <c r="F640" i="142"/>
  <c r="L591" i="142"/>
  <c r="L402" i="142"/>
  <c r="M1097" i="142"/>
  <c r="D286" i="142"/>
  <c r="I843" i="142"/>
  <c r="K717" i="142"/>
  <c r="J1145" i="142"/>
  <c r="J960" i="142"/>
  <c r="D424" i="142"/>
  <c r="I1147" i="142"/>
  <c r="C788" i="142"/>
  <c r="C87" i="142"/>
  <c r="I883" i="142"/>
  <c r="L145" i="142"/>
  <c r="K545" i="142"/>
  <c r="C750" i="142"/>
  <c r="M445" i="142"/>
  <c r="D1117" i="142"/>
  <c r="C1051" i="142"/>
  <c r="E1135" i="142"/>
  <c r="M1059" i="142"/>
  <c r="E1032" i="142"/>
  <c r="E469" i="142"/>
  <c r="L174" i="142"/>
  <c r="E84" i="142"/>
  <c r="L344" i="142"/>
  <c r="H303" i="142"/>
  <c r="D1162" i="142"/>
  <c r="L48" i="142"/>
  <c r="K48" i="142"/>
  <c r="I908" i="142"/>
  <c r="C23" i="142"/>
  <c r="I3" i="142"/>
  <c r="L942" i="142"/>
  <c r="D903" i="142"/>
  <c r="D39" i="142"/>
  <c r="J636" i="142"/>
  <c r="D1159" i="142"/>
  <c r="G997" i="142"/>
  <c r="I339" i="142"/>
  <c r="K1021" i="142"/>
  <c r="I80" i="142"/>
  <c r="M908" i="142"/>
  <c r="L136" i="142"/>
  <c r="D12" i="142"/>
  <c r="M175" i="142"/>
  <c r="G507" i="142"/>
  <c r="H175" i="142"/>
  <c r="K330" i="142"/>
  <c r="M200" i="142"/>
  <c r="L810" i="142"/>
  <c r="H195" i="142"/>
  <c r="F862" i="142"/>
  <c r="G344" i="142"/>
  <c r="K606" i="142"/>
  <c r="H600" i="142"/>
  <c r="H778" i="142"/>
  <c r="J491" i="142"/>
  <c r="M734" i="142"/>
  <c r="G704" i="142"/>
  <c r="H835" i="142"/>
  <c r="I336" i="142"/>
  <c r="H589" i="142"/>
  <c r="L807" i="142"/>
  <c r="K383" i="142"/>
  <c r="H472" i="142"/>
  <c r="I984" i="142"/>
  <c r="K836" i="142"/>
  <c r="L93" i="142"/>
  <c r="G377" i="142"/>
  <c r="E67" i="142"/>
  <c r="F146" i="142"/>
  <c r="C251" i="142"/>
  <c r="K958" i="142"/>
  <c r="L990" i="142"/>
  <c r="E525" i="142"/>
  <c r="K938" i="142"/>
  <c r="E888" i="142"/>
  <c r="I856" i="142"/>
  <c r="D340" i="142"/>
  <c r="F83" i="142"/>
  <c r="F15" i="142"/>
  <c r="M631" i="142"/>
  <c r="K317" i="142"/>
  <c r="L242" i="142"/>
  <c r="M21" i="142"/>
  <c r="M664" i="142"/>
  <c r="H1125" i="142"/>
  <c r="K516" i="142"/>
  <c r="I407" i="142"/>
  <c r="E1051" i="142"/>
  <c r="M1079" i="142"/>
  <c r="K1162" i="142"/>
  <c r="G1127" i="142"/>
  <c r="J609" i="142"/>
  <c r="E506" i="142"/>
  <c r="G1097" i="142"/>
  <c r="I756" i="142"/>
  <c r="C903" i="142"/>
  <c r="G1105" i="142"/>
  <c r="C936" i="142"/>
  <c r="J1063" i="142"/>
  <c r="I1029" i="142"/>
  <c r="H1000" i="142"/>
  <c r="D119" i="142"/>
  <c r="K1116" i="142"/>
  <c r="L430" i="142"/>
  <c r="F844" i="142"/>
  <c r="L1161" i="142"/>
  <c r="C51" i="142"/>
  <c r="E333" i="142"/>
  <c r="J192" i="142"/>
  <c r="H192" i="142"/>
  <c r="M821" i="142"/>
  <c r="K681" i="142"/>
  <c r="J925" i="142"/>
  <c r="F318" i="142"/>
  <c r="G315" i="142"/>
  <c r="M305" i="142"/>
  <c r="I1065" i="142"/>
  <c r="I867" i="142"/>
  <c r="M1131" i="142"/>
  <c r="D483" i="142"/>
  <c r="J89" i="142"/>
  <c r="E701" i="142"/>
  <c r="C836" i="142"/>
  <c r="F1004" i="142"/>
  <c r="C875" i="142"/>
  <c r="I616" i="142"/>
  <c r="E930" i="142"/>
  <c r="E720" i="142"/>
  <c r="K609" i="142"/>
  <c r="H1158" i="142"/>
  <c r="G807" i="142"/>
  <c r="H1133" i="142"/>
  <c r="G1117" i="142"/>
  <c r="L638" i="142"/>
  <c r="H797" i="142"/>
  <c r="F743" i="142"/>
  <c r="H968" i="142"/>
  <c r="M998" i="142"/>
  <c r="K865" i="142"/>
  <c r="M545" i="142"/>
  <c r="L61" i="142"/>
  <c r="C1059" i="142"/>
  <c r="C955" i="142"/>
  <c r="F749" i="142"/>
  <c r="K562" i="142"/>
  <c r="D598" i="142"/>
  <c r="H18" i="142"/>
  <c r="L539" i="142"/>
  <c r="M887" i="142"/>
  <c r="M1135" i="142"/>
  <c r="G1138" i="142"/>
  <c r="C83" i="142"/>
  <c r="J163" i="142"/>
  <c r="C435" i="142"/>
  <c r="F117" i="142"/>
  <c r="D648" i="142"/>
  <c r="I656" i="142"/>
  <c r="L720" i="142"/>
  <c r="F588" i="142"/>
  <c r="H275" i="142"/>
  <c r="F363" i="142"/>
  <c r="D282" i="142"/>
  <c r="F916" i="142"/>
  <c r="E869" i="142"/>
  <c r="H171" i="142"/>
  <c r="M79" i="142"/>
  <c r="H354" i="142"/>
  <c r="J427" i="142"/>
  <c r="G623" i="142"/>
  <c r="M413" i="142"/>
  <c r="F371" i="142"/>
  <c r="J543" i="142"/>
  <c r="D56" i="142"/>
  <c r="K228" i="142"/>
  <c r="L97" i="142"/>
  <c r="M59" i="142"/>
  <c r="F454" i="142"/>
  <c r="E199" i="142"/>
  <c r="I587" i="142"/>
  <c r="K95" i="142"/>
  <c r="K563" i="142"/>
  <c r="M26" i="142"/>
  <c r="J977" i="142"/>
  <c r="C619" i="142"/>
  <c r="G657" i="142"/>
  <c r="G964" i="142"/>
  <c r="I578" i="142"/>
  <c r="E821" i="142"/>
  <c r="M564" i="142"/>
  <c r="G782" i="142"/>
  <c r="E131" i="142"/>
  <c r="L797" i="142"/>
  <c r="I235" i="142"/>
  <c r="H479" i="142"/>
  <c r="H651" i="142"/>
  <c r="D513" i="142"/>
  <c r="D302" i="142"/>
  <c r="F159" i="142"/>
  <c r="F490" i="142"/>
  <c r="K374" i="142"/>
  <c r="F177" i="142"/>
  <c r="K749" i="142"/>
  <c r="J396" i="142"/>
  <c r="J957" i="142"/>
  <c r="F1013" i="142"/>
  <c r="C7" i="142"/>
  <c r="K828" i="142"/>
  <c r="E192" i="142"/>
  <c r="G805" i="142"/>
  <c r="D971" i="142"/>
  <c r="D967" i="142"/>
  <c r="L649" i="142"/>
  <c r="G908" i="142"/>
  <c r="K946" i="142"/>
  <c r="I490" i="142"/>
  <c r="L775" i="142"/>
  <c r="D527" i="142"/>
  <c r="C869" i="142"/>
  <c r="E879" i="142"/>
  <c r="E556" i="142"/>
  <c r="H1017" i="142"/>
  <c r="G717" i="142"/>
  <c r="F981" i="142"/>
  <c r="D1153" i="142"/>
  <c r="C325" i="142"/>
  <c r="H637" i="142"/>
  <c r="E730" i="142"/>
  <c r="C444" i="142"/>
  <c r="M684" i="142"/>
  <c r="H558" i="142"/>
  <c r="G348" i="142"/>
  <c r="G403" i="142"/>
  <c r="L677" i="142"/>
  <c r="C1151" i="142"/>
  <c r="I441" i="142"/>
  <c r="G814" i="142"/>
  <c r="G1096" i="142"/>
  <c r="L970" i="142"/>
  <c r="G249" i="142"/>
  <c r="H183" i="142"/>
  <c r="M196" i="142"/>
  <c r="G961" i="142"/>
  <c r="E186" i="142"/>
  <c r="J865" i="142"/>
  <c r="C273" i="142"/>
  <c r="C66" i="142"/>
  <c r="K250" i="142"/>
  <c r="J872" i="142"/>
  <c r="G935" i="142"/>
  <c r="M392" i="142"/>
  <c r="I962" i="142"/>
  <c r="M935" i="142"/>
  <c r="E767" i="142"/>
  <c r="L802" i="142"/>
  <c r="F713" i="142"/>
  <c r="K143" i="142"/>
  <c r="E414" i="142"/>
  <c r="H888" i="142"/>
  <c r="L427" i="142"/>
  <c r="H1101" i="142"/>
  <c r="L1107" i="142"/>
  <c r="H1007" i="142"/>
  <c r="K722" i="142"/>
  <c r="M985" i="142"/>
  <c r="J1041" i="142"/>
  <c r="D190" i="142"/>
  <c r="F927" i="142"/>
  <c r="F661" i="142"/>
  <c r="L688" i="142"/>
  <c r="H914" i="142"/>
  <c r="M736" i="142"/>
  <c r="J780" i="142"/>
  <c r="I622" i="142"/>
  <c r="J5" i="142"/>
  <c r="G877" i="142"/>
  <c r="H221" i="142"/>
  <c r="C580" i="142"/>
  <c r="K83" i="142"/>
  <c r="J342" i="142"/>
  <c r="J488" i="142"/>
  <c r="E198" i="142"/>
  <c r="L862" i="142"/>
  <c r="G577" i="142"/>
  <c r="D308" i="142"/>
  <c r="C540" i="142"/>
  <c r="C711" i="142"/>
  <c r="G661" i="142"/>
  <c r="E856" i="142"/>
  <c r="K698" i="142"/>
  <c r="I114" i="142"/>
  <c r="F723" i="142"/>
  <c r="J487" i="142"/>
  <c r="C881" i="142"/>
  <c r="D425" i="142"/>
  <c r="J941" i="142"/>
  <c r="I39" i="142"/>
  <c r="F372" i="142"/>
  <c r="J157" i="142"/>
  <c r="K744" i="142"/>
  <c r="I552" i="142"/>
  <c r="J855" i="142"/>
  <c r="K908" i="142"/>
  <c r="K46" i="142"/>
  <c r="H1095" i="142"/>
  <c r="C394" i="142"/>
  <c r="H754" i="142"/>
  <c r="G1139" i="142"/>
  <c r="L767" i="142"/>
  <c r="L243" i="142"/>
  <c r="H280" i="142"/>
  <c r="C358" i="142"/>
  <c r="C522" i="142"/>
  <c r="C57" i="142"/>
  <c r="E905" i="142"/>
  <c r="M880" i="142"/>
  <c r="L449" i="142"/>
  <c r="I955" i="142"/>
  <c r="I198" i="142"/>
  <c r="J519" i="142"/>
  <c r="G1119" i="142"/>
  <c r="C988" i="142"/>
  <c r="D994" i="142"/>
  <c r="I994" i="142"/>
  <c r="H1060" i="142"/>
  <c r="K212" i="142"/>
  <c r="J384" i="142"/>
  <c r="E721" i="142"/>
  <c r="C465" i="142"/>
  <c r="C264" i="142"/>
  <c r="E365" i="142"/>
  <c r="J63" i="142"/>
  <c r="J152" i="142"/>
  <c r="F237" i="142"/>
  <c r="C170" i="142"/>
  <c r="C473" i="142"/>
  <c r="M1074" i="142"/>
  <c r="C115" i="142"/>
  <c r="E249" i="142"/>
  <c r="K1088" i="142"/>
  <c r="J470" i="142"/>
  <c r="L557" i="142"/>
  <c r="I167" i="142"/>
  <c r="H54" i="142"/>
  <c r="H374" i="142"/>
  <c r="E1116" i="142"/>
  <c r="C946" i="142"/>
  <c r="C1090" i="142"/>
  <c r="M996" i="142"/>
  <c r="H736" i="142"/>
  <c r="E391" i="142"/>
  <c r="C726" i="142"/>
  <c r="F860" i="142"/>
  <c r="G921" i="142"/>
  <c r="F858" i="142"/>
  <c r="J997" i="142"/>
  <c r="D787" i="142"/>
  <c r="F351" i="142"/>
  <c r="F1167" i="142"/>
  <c r="D919" i="142"/>
  <c r="C1022" i="142"/>
  <c r="J1154" i="142"/>
  <c r="J1125" i="142"/>
  <c r="J674" i="142"/>
  <c r="H364" i="142"/>
  <c r="K771" i="142"/>
  <c r="I57" i="142"/>
  <c r="L201" i="142"/>
  <c r="I1093" i="142"/>
  <c r="J697" i="142"/>
  <c r="C709" i="142"/>
  <c r="C1084" i="142"/>
  <c r="E484" i="142"/>
  <c r="H483" i="142"/>
  <c r="H818" i="142"/>
  <c r="D1124" i="142"/>
  <c r="L813" i="142"/>
  <c r="C570" i="142"/>
  <c r="H583" i="142"/>
  <c r="H869" i="142"/>
  <c r="J325" i="142"/>
  <c r="M986" i="142"/>
  <c r="E74" i="142"/>
  <c r="M815" i="142"/>
  <c r="J87" i="142"/>
  <c r="L1104" i="142"/>
  <c r="L908" i="142"/>
  <c r="L980" i="142"/>
  <c r="F729" i="142"/>
  <c r="F994" i="142"/>
  <c r="I604" i="142"/>
  <c r="K447" i="142"/>
  <c r="M1101" i="142"/>
  <c r="J904" i="142"/>
  <c r="E1153" i="142"/>
  <c r="C771" i="142"/>
  <c r="H441" i="142"/>
  <c r="E372" i="142"/>
  <c r="H352" i="142"/>
  <c r="I733" i="142"/>
  <c r="C496" i="142"/>
  <c r="I439" i="142"/>
  <c r="H844" i="142"/>
  <c r="K304" i="142"/>
  <c r="C978" i="142"/>
  <c r="M150" i="142"/>
  <c r="F851" i="142"/>
  <c r="K36" i="142"/>
  <c r="E728" i="142"/>
  <c r="M678" i="142"/>
  <c r="C414" i="142"/>
  <c r="F110" i="142"/>
  <c r="I340" i="142"/>
  <c r="E1134" i="142"/>
  <c r="H402" i="142"/>
  <c r="H485" i="142"/>
  <c r="F280" i="142"/>
  <c r="M6" i="142"/>
  <c r="J349" i="142"/>
  <c r="J717" i="142"/>
  <c r="M738" i="142"/>
  <c r="F584" i="142"/>
  <c r="K462" i="142"/>
  <c r="F12" i="142"/>
  <c r="H448" i="142"/>
  <c r="K67" i="142"/>
  <c r="I305" i="142"/>
  <c r="L711" i="142"/>
  <c r="J78" i="142"/>
  <c r="L1109" i="142"/>
  <c r="D335" i="142"/>
  <c r="K461" i="142"/>
  <c r="J572" i="142"/>
  <c r="H892" i="142"/>
  <c r="J311" i="142"/>
  <c r="L1122" i="142"/>
  <c r="E271" i="142"/>
  <c r="K18" i="142"/>
  <c r="I515" i="142"/>
  <c r="M817" i="142"/>
  <c r="F689" i="142"/>
  <c r="K960" i="142"/>
  <c r="J395" i="142"/>
  <c r="C738" i="142"/>
  <c r="L360" i="142"/>
  <c r="D844" i="142"/>
  <c r="K503" i="142"/>
  <c r="M911" i="142"/>
  <c r="F712" i="142"/>
  <c r="I632" i="142"/>
  <c r="I11" i="142"/>
  <c r="J489" i="142"/>
  <c r="D411" i="142"/>
  <c r="G322" i="142"/>
  <c r="C591" i="142"/>
  <c r="J203" i="142"/>
  <c r="J458" i="142"/>
  <c r="L547" i="142"/>
  <c r="D208" i="142"/>
  <c r="F126" i="142"/>
  <c r="F376" i="142"/>
  <c r="L1115" i="142"/>
  <c r="G820" i="142"/>
  <c r="E690" i="142"/>
  <c r="K1142" i="142"/>
  <c r="M277" i="142"/>
  <c r="F1133" i="142"/>
  <c r="M923" i="142"/>
  <c r="I837" i="142"/>
  <c r="D909" i="142"/>
  <c r="C561" i="142"/>
  <c r="K1013" i="142"/>
  <c r="M769" i="142"/>
  <c r="G1101" i="142"/>
  <c r="H923" i="142"/>
  <c r="E667" i="142"/>
  <c r="F993" i="142"/>
  <c r="F1101" i="142"/>
  <c r="I873" i="142"/>
  <c r="K345" i="142"/>
  <c r="F1093" i="142"/>
  <c r="C1132" i="142"/>
  <c r="G330" i="142"/>
  <c r="J436" i="142"/>
  <c r="H1058" i="142"/>
  <c r="M886" i="142"/>
  <c r="I153" i="142"/>
  <c r="J958" i="142"/>
  <c r="I1144" i="142"/>
  <c r="M1088" i="142"/>
  <c r="F1092" i="142"/>
  <c r="L780" i="142"/>
  <c r="K538" i="142"/>
  <c r="J553" i="142"/>
  <c r="M1117" i="142"/>
  <c r="K145" i="142"/>
  <c r="C121" i="142"/>
  <c r="C246" i="142"/>
  <c r="J711" i="142"/>
  <c r="E390" i="142"/>
  <c r="J906" i="142"/>
  <c r="H822" i="142"/>
  <c r="H1002" i="142"/>
  <c r="J253" i="142"/>
  <c r="K1079" i="142"/>
  <c r="I309" i="142"/>
  <c r="L661" i="142"/>
  <c r="D576" i="142"/>
  <c r="M1129" i="142"/>
  <c r="F1018" i="142"/>
  <c r="J8" i="142"/>
  <c r="L593" i="142"/>
  <c r="F206" i="142"/>
  <c r="G806" i="142"/>
  <c r="D1139" i="142"/>
  <c r="J736" i="142"/>
  <c r="H615" i="142"/>
  <c r="I186" i="142"/>
  <c r="L335" i="142"/>
  <c r="G347" i="142"/>
  <c r="G540" i="142"/>
  <c r="J542" i="142"/>
  <c r="G83" i="142"/>
  <c r="H588" i="142"/>
  <c r="F373" i="142"/>
  <c r="M957" i="142"/>
  <c r="G346" i="142"/>
  <c r="J980" i="142"/>
  <c r="F525" i="142"/>
  <c r="M544" i="142"/>
  <c r="I409" i="142"/>
  <c r="I899" i="142"/>
  <c r="K129" i="142"/>
  <c r="M368" i="142"/>
  <c r="E77" i="142"/>
  <c r="H749" i="142"/>
  <c r="K995" i="142"/>
  <c r="J329" i="142"/>
  <c r="I100" i="142"/>
  <c r="K625" i="142"/>
  <c r="C281" i="142"/>
  <c r="L512" i="142"/>
  <c r="I562" i="142"/>
  <c r="F129" i="142"/>
  <c r="K827" i="142"/>
  <c r="K51" i="142"/>
  <c r="I192" i="142"/>
  <c r="M399" i="142"/>
  <c r="D670" i="142"/>
  <c r="F420" i="142"/>
  <c r="H274" i="142"/>
  <c r="C1071" i="142"/>
  <c r="I105" i="142"/>
  <c r="C367" i="142"/>
  <c r="L639" i="142"/>
  <c r="I333" i="142"/>
  <c r="E179" i="142"/>
  <c r="C792" i="142"/>
  <c r="M620" i="142"/>
  <c r="L1010" i="142"/>
  <c r="I648" i="142"/>
  <c r="D85" i="142"/>
  <c r="L263" i="142"/>
  <c r="F169" i="142"/>
  <c r="G716" i="142"/>
  <c r="J131" i="142"/>
  <c r="L294" i="142"/>
  <c r="G678" i="142"/>
  <c r="L553" i="142"/>
  <c r="I979" i="142"/>
  <c r="I256" i="142"/>
  <c r="L267" i="142"/>
  <c r="E508" i="142"/>
  <c r="G1094" i="142"/>
  <c r="J295" i="142"/>
  <c r="M444" i="142"/>
  <c r="J354" i="142"/>
  <c r="M466" i="142"/>
  <c r="E342" i="142"/>
  <c r="D178" i="142"/>
  <c r="D380" i="142"/>
  <c r="F472" i="142"/>
  <c r="H384" i="142"/>
  <c r="L279" i="142"/>
  <c r="I1084" i="142"/>
  <c r="L555" i="142"/>
  <c r="M268" i="142"/>
  <c r="K978" i="142"/>
  <c r="L1007" i="142"/>
  <c r="C872" i="142"/>
  <c r="J940" i="142"/>
  <c r="F1108" i="142"/>
  <c r="M98" i="142"/>
  <c r="F131" i="142"/>
  <c r="E864" i="142"/>
  <c r="H935" i="142"/>
  <c r="H1004" i="142"/>
  <c r="E846" i="142"/>
  <c r="I608" i="142"/>
  <c r="C346" i="142"/>
  <c r="J974" i="142"/>
  <c r="L812" i="142"/>
  <c r="F400" i="142"/>
  <c r="F956" i="142"/>
  <c r="H1039" i="142"/>
  <c r="H659" i="142"/>
  <c r="K1122" i="142"/>
  <c r="L396" i="142"/>
  <c r="E868" i="142"/>
  <c r="I109" i="142"/>
  <c r="M235" i="142"/>
  <c r="G448" i="142"/>
  <c r="L295" i="142"/>
  <c r="H401" i="142"/>
  <c r="K230" i="142"/>
  <c r="C991" i="142"/>
  <c r="F195" i="142"/>
  <c r="C809" i="142"/>
  <c r="M57" i="142"/>
  <c r="I558" i="142"/>
  <c r="K443" i="142"/>
  <c r="J465" i="142"/>
  <c r="L480" i="142"/>
  <c r="G686" i="142"/>
  <c r="G365" i="142"/>
  <c r="E313" i="142"/>
  <c r="L253" i="142"/>
  <c r="H344" i="142"/>
  <c r="I874" i="142"/>
  <c r="F954" i="142"/>
  <c r="H546" i="142"/>
  <c r="E626" i="142"/>
  <c r="D152" i="142"/>
  <c r="G187" i="142"/>
  <c r="E98" i="142"/>
  <c r="J79" i="142"/>
  <c r="L3" i="142"/>
  <c r="F247" i="142"/>
  <c r="E661" i="142"/>
  <c r="E209" i="142"/>
  <c r="C310" i="142"/>
  <c r="M573" i="142"/>
  <c r="D620" i="142"/>
  <c r="J676" i="142"/>
  <c r="C560" i="142"/>
  <c r="D509" i="142"/>
  <c r="F473" i="142"/>
  <c r="I688" i="142"/>
  <c r="M918" i="142"/>
  <c r="C505" i="142"/>
  <c r="M687" i="142"/>
  <c r="F495" i="142"/>
  <c r="G62" i="142"/>
  <c r="M256" i="142"/>
  <c r="F514" i="142"/>
  <c r="G984" i="142"/>
  <c r="L55" i="142"/>
  <c r="J112" i="142"/>
  <c r="G229" i="142"/>
  <c r="J607" i="142"/>
  <c r="K434" i="142"/>
  <c r="K183" i="142"/>
  <c r="I157" i="142"/>
  <c r="L537" i="142"/>
  <c r="M515" i="142"/>
  <c r="I918" i="142"/>
  <c r="F929" i="142"/>
  <c r="I392" i="142"/>
  <c r="J366" i="142"/>
  <c r="E724" i="142"/>
  <c r="G76" i="142"/>
  <c r="E375" i="142"/>
  <c r="E754" i="142"/>
  <c r="M311" i="142"/>
  <c r="H258" i="142"/>
  <c r="D61" i="142"/>
  <c r="K1129" i="142"/>
  <c r="D181" i="142"/>
  <c r="L635" i="142"/>
  <c r="F197" i="142"/>
  <c r="C752" i="142"/>
  <c r="F89" i="142"/>
  <c r="L371" i="142"/>
  <c r="J730" i="142"/>
  <c r="F128" i="142"/>
  <c r="L440" i="142"/>
  <c r="I419" i="142"/>
  <c r="G258" i="142"/>
  <c r="F526" i="142"/>
  <c r="E546" i="142"/>
  <c r="J153" i="142"/>
  <c r="D333" i="142"/>
  <c r="M129" i="142"/>
  <c r="J304" i="142"/>
  <c r="K626" i="142"/>
  <c r="I678" i="142"/>
  <c r="I362" i="142"/>
  <c r="K52" i="142"/>
  <c r="H606" i="142"/>
  <c r="J765" i="142"/>
  <c r="L274" i="142"/>
  <c r="F469" i="142"/>
  <c r="D30" i="142"/>
  <c r="C644" i="142"/>
  <c r="D653" i="142"/>
  <c r="J666" i="142"/>
  <c r="M621" i="142"/>
  <c r="M575" i="142"/>
  <c r="E465" i="142"/>
  <c r="L737" i="142"/>
  <c r="D503" i="142"/>
  <c r="M322" i="142"/>
  <c r="F406" i="142"/>
  <c r="H437" i="142"/>
  <c r="I148" i="142"/>
  <c r="G467" i="142"/>
  <c r="K28" i="142"/>
  <c r="G1144" i="142"/>
  <c r="D723" i="142"/>
  <c r="L951" i="142"/>
  <c r="G890" i="142"/>
  <c r="I960" i="142"/>
  <c r="K550" i="142"/>
  <c r="K990" i="142"/>
  <c r="C590" i="142"/>
  <c r="L1133" i="142"/>
  <c r="D167" i="142"/>
  <c r="I594" i="142"/>
  <c r="F1112" i="142"/>
  <c r="F970" i="142"/>
  <c r="G777" i="142"/>
  <c r="C279" i="142"/>
  <c r="G830" i="142"/>
  <c r="D736" i="142"/>
  <c r="L1094" i="142"/>
  <c r="E1090" i="142"/>
  <c r="F755" i="142"/>
  <c r="D558" i="142"/>
  <c r="E278" i="142"/>
  <c r="D185" i="142"/>
  <c r="H85" i="142"/>
  <c r="D278" i="142"/>
  <c r="F290" i="142"/>
  <c r="D64" i="142"/>
  <c r="H548" i="142"/>
  <c r="F152" i="142"/>
  <c r="H877" i="142"/>
  <c r="M1011" i="142"/>
  <c r="I44" i="142"/>
  <c r="D110" i="142"/>
  <c r="L305" i="142"/>
  <c r="K314" i="142"/>
  <c r="L645" i="142"/>
  <c r="M1038" i="142"/>
  <c r="M793" i="142"/>
  <c r="K791" i="142"/>
  <c r="G699" i="142"/>
  <c r="H744" i="142"/>
  <c r="C1061" i="142"/>
  <c r="H23" i="142"/>
  <c r="C270" i="142"/>
  <c r="D543" i="142"/>
  <c r="I1007" i="142"/>
  <c r="C847" i="142"/>
  <c r="M674" i="142"/>
  <c r="L340" i="142"/>
  <c r="H268" i="142"/>
  <c r="E409" i="142"/>
  <c r="I693" i="142"/>
  <c r="H900" i="142"/>
  <c r="F1038" i="142"/>
  <c r="K610" i="142"/>
  <c r="M96" i="142"/>
  <c r="M1019" i="142"/>
  <c r="D348" i="142"/>
  <c r="J404" i="142"/>
  <c r="I288" i="142"/>
  <c r="M358" i="142"/>
  <c r="I99" i="142"/>
  <c r="J234" i="142"/>
  <c r="J25" i="142"/>
  <c r="K275" i="142"/>
  <c r="G207" i="142"/>
  <c r="M1049" i="142"/>
  <c r="F681" i="142"/>
  <c r="L273" i="142"/>
  <c r="I251" i="142"/>
  <c r="F72" i="142"/>
  <c r="D1044" i="142"/>
  <c r="K1055" i="142"/>
  <c r="L535" i="142"/>
  <c r="H197" i="142"/>
  <c r="C241" i="142"/>
  <c r="G970" i="142"/>
  <c r="F158" i="142"/>
  <c r="I708" i="142"/>
  <c r="E614" i="142"/>
  <c r="I8" i="142"/>
  <c r="J223" i="142"/>
  <c r="C145" i="142"/>
  <c r="L622" i="142"/>
  <c r="M36" i="142"/>
  <c r="J758" i="142"/>
  <c r="K27" i="142"/>
  <c r="D104" i="142"/>
  <c r="D870" i="142"/>
  <c r="I49" i="142"/>
  <c r="F66" i="142"/>
  <c r="G967" i="142"/>
  <c r="J337" i="142"/>
  <c r="C562" i="142"/>
  <c r="D864" i="142"/>
  <c r="K436" i="142"/>
  <c r="C55" i="142"/>
  <c r="D542" i="142"/>
  <c r="C697" i="142"/>
  <c r="K245" i="142"/>
  <c r="D255" i="142"/>
  <c r="G296" i="142"/>
  <c r="K49" i="142"/>
  <c r="L541" i="142"/>
  <c r="C112" i="142"/>
  <c r="M357" i="142"/>
  <c r="J319" i="142"/>
  <c r="E633" i="142"/>
  <c r="C124" i="142"/>
  <c r="D423" i="142"/>
  <c r="K394" i="142"/>
  <c r="I1068" i="142"/>
  <c r="E75" i="142"/>
  <c r="F556" i="142"/>
  <c r="J72" i="142"/>
  <c r="C764" i="142"/>
  <c r="F157" i="142"/>
  <c r="L11" i="142"/>
  <c r="G903" i="142"/>
  <c r="L207" i="142"/>
  <c r="J408" i="142"/>
  <c r="J585" i="142"/>
  <c r="J784" i="142"/>
  <c r="G168" i="142"/>
  <c r="C271" i="142"/>
  <c r="E592" i="142"/>
  <c r="E169" i="142"/>
  <c r="M782" i="142"/>
  <c r="G1103" i="142"/>
  <c r="E1025" i="142"/>
  <c r="K932" i="142"/>
  <c r="L814" i="142"/>
  <c r="G389" i="142"/>
  <c r="L681" i="142"/>
  <c r="C319" i="142"/>
  <c r="E1085" i="142"/>
  <c r="F819" i="142"/>
  <c r="G726" i="142"/>
  <c r="E1057" i="142"/>
  <c r="H566" i="142"/>
  <c r="F890" i="142"/>
  <c r="K1111" i="142"/>
  <c r="I1143" i="142"/>
  <c r="C366" i="142"/>
  <c r="G336" i="142"/>
  <c r="M499" i="142"/>
  <c r="C587" i="142"/>
  <c r="M681" i="142"/>
  <c r="L341" i="142"/>
  <c r="I326" i="142"/>
  <c r="E54" i="142"/>
  <c r="K1164" i="142"/>
  <c r="E309" i="142"/>
  <c r="G309" i="142"/>
  <c r="J715" i="142"/>
  <c r="G126" i="142"/>
  <c r="M697" i="142"/>
  <c r="D684" i="142"/>
  <c r="D298" i="142"/>
  <c r="H126" i="142"/>
  <c r="H82" i="142"/>
  <c r="M116" i="142"/>
  <c r="L424" i="142"/>
  <c r="G1040" i="142"/>
  <c r="I58" i="142"/>
  <c r="G24" i="142"/>
  <c r="I642" i="142"/>
  <c r="H119" i="142"/>
  <c r="J23" i="142"/>
  <c r="C706" i="142"/>
  <c r="F1019" i="142"/>
  <c r="M313" i="142"/>
  <c r="C193" i="142"/>
  <c r="J598" i="142"/>
  <c r="H243" i="142"/>
  <c r="E793" i="142"/>
  <c r="G100" i="142"/>
  <c r="M1114" i="142"/>
  <c r="F530" i="142"/>
  <c r="F874" i="142"/>
  <c r="H916" i="142"/>
  <c r="K429" i="142"/>
  <c r="M288" i="142"/>
  <c r="M559" i="142"/>
  <c r="M462" i="142"/>
  <c r="F758" i="142"/>
  <c r="G412" i="142"/>
  <c r="J288" i="142"/>
  <c r="G218" i="142"/>
  <c r="K249" i="142"/>
  <c r="I517" i="142"/>
  <c r="E519" i="142"/>
  <c r="E266" i="142"/>
  <c r="K577" i="142"/>
  <c r="E134" i="142"/>
  <c r="L308" i="142"/>
  <c r="F573" i="142"/>
  <c r="D850" i="142"/>
  <c r="L186" i="142"/>
  <c r="I752" i="142"/>
  <c r="J578" i="142"/>
  <c r="D164" i="142"/>
  <c r="H614" i="142"/>
  <c r="G644" i="142"/>
  <c r="C401" i="142"/>
  <c r="L563" i="142"/>
  <c r="H860" i="142"/>
  <c r="I599" i="142"/>
  <c r="M616" i="142"/>
  <c r="H475" i="142"/>
  <c r="E286" i="142"/>
  <c r="H75" i="142"/>
  <c r="K953" i="142"/>
  <c r="M643" i="142"/>
  <c r="L293" i="142"/>
  <c r="I262" i="142"/>
  <c r="C434" i="142"/>
  <c r="K640" i="142"/>
  <c r="H231" i="142"/>
  <c r="F336" i="142"/>
  <c r="K437" i="142"/>
  <c r="E1069" i="142"/>
  <c r="E436" i="142"/>
  <c r="D521" i="142"/>
  <c r="H621" i="142"/>
  <c r="L1058" i="142"/>
  <c r="M304" i="142"/>
  <c r="K364" i="142"/>
  <c r="J806" i="142"/>
  <c r="G1104" i="142"/>
  <c r="H210" i="142"/>
  <c r="D821" i="142"/>
  <c r="C187" i="142"/>
  <c r="G746" i="142"/>
  <c r="F458" i="142"/>
  <c r="K723" i="142"/>
  <c r="C625" i="142"/>
  <c r="C374" i="142"/>
  <c r="C966" i="142"/>
  <c r="I348" i="142"/>
  <c r="L1017" i="142"/>
  <c r="L81" i="142"/>
  <c r="K240" i="142"/>
  <c r="M539" i="142"/>
  <c r="J905" i="142"/>
  <c r="G443" i="142"/>
  <c r="I826" i="142"/>
  <c r="K128" i="142"/>
  <c r="J524" i="142"/>
  <c r="C152" i="142"/>
  <c r="I184" i="142"/>
  <c r="F71" i="142"/>
  <c r="H499" i="142"/>
  <c r="F756" i="142"/>
  <c r="L183" i="142"/>
  <c r="K614" i="142"/>
  <c r="L333" i="142"/>
  <c r="H478" i="142"/>
  <c r="F863" i="142"/>
  <c r="J749" i="142"/>
  <c r="D562" i="142"/>
  <c r="K343" i="142"/>
  <c r="D1037" i="142"/>
  <c r="C1004" i="142"/>
  <c r="K1141" i="142"/>
  <c r="E176" i="142"/>
  <c r="F877" i="142"/>
  <c r="G424" i="142"/>
  <c r="F629" i="142"/>
  <c r="F876" i="142"/>
  <c r="I503" i="142"/>
  <c r="C579" i="142"/>
  <c r="F130" i="142"/>
  <c r="E244" i="142"/>
  <c r="K627" i="142"/>
  <c r="D159" i="142"/>
  <c r="L1124" i="142"/>
  <c r="C755" i="142"/>
  <c r="L391" i="142"/>
  <c r="J100" i="142"/>
  <c r="D252" i="142"/>
  <c r="G29" i="142"/>
  <c r="G764" i="142"/>
  <c r="K424" i="142"/>
  <c r="F471" i="142"/>
  <c r="L760" i="142"/>
  <c r="I1005" i="142"/>
  <c r="M206" i="142"/>
  <c r="H213" i="142"/>
  <c r="F594" i="142"/>
  <c r="J494" i="142"/>
  <c r="E1020" i="142"/>
  <c r="H528" i="142"/>
  <c r="E1036" i="142"/>
  <c r="C925" i="142"/>
  <c r="G15" i="142"/>
  <c r="F255" i="142"/>
  <c r="L205" i="142"/>
  <c r="E947" i="142"/>
  <c r="C490" i="142"/>
  <c r="I278" i="142"/>
  <c r="I900" i="142"/>
  <c r="D120" i="142"/>
  <c r="E377" i="142"/>
  <c r="E416" i="142"/>
  <c r="M78" i="142"/>
  <c r="C95" i="142"/>
  <c r="L575" i="142"/>
  <c r="H647" i="142"/>
  <c r="E161" i="142"/>
  <c r="I942" i="142"/>
  <c r="H311" i="142"/>
  <c r="H829" i="142"/>
  <c r="M459" i="142"/>
  <c r="C943" i="142"/>
  <c r="G399" i="142"/>
  <c r="F679" i="142"/>
  <c r="C240" i="142"/>
  <c r="C441" i="142"/>
  <c r="J392" i="142"/>
  <c r="F466" i="142"/>
  <c r="C12" i="142"/>
  <c r="E706" i="142"/>
  <c r="J622" i="142"/>
  <c r="E456" i="142"/>
  <c r="E1147" i="142"/>
  <c r="E32" i="142"/>
  <c r="F150" i="142"/>
  <c r="I852" i="142"/>
  <c r="L479" i="142"/>
  <c r="F759" i="142"/>
  <c r="C33" i="142"/>
  <c r="I630" i="142"/>
  <c r="J62" i="142"/>
  <c r="I430" i="142"/>
  <c r="F21" i="142"/>
  <c r="L774" i="142"/>
  <c r="C16" i="142"/>
  <c r="G431" i="142"/>
  <c r="J83" i="142"/>
  <c r="F171" i="142"/>
  <c r="I206" i="142"/>
  <c r="K844" i="142"/>
  <c r="D397" i="142"/>
  <c r="D32" i="142"/>
  <c r="E182" i="142"/>
  <c r="K983" i="142"/>
  <c r="J843" i="142"/>
  <c r="M688" i="142"/>
  <c r="J290" i="142"/>
  <c r="F260" i="142"/>
  <c r="F702" i="142"/>
  <c r="C890" i="142"/>
  <c r="F232" i="142"/>
  <c r="L254" i="142"/>
  <c r="D404" i="142"/>
  <c r="J1007" i="142"/>
  <c r="K679" i="142"/>
  <c r="F720" i="142"/>
  <c r="I94" i="142"/>
  <c r="I450" i="142"/>
  <c r="E406" i="142"/>
  <c r="C468" i="142"/>
  <c r="F350" i="142"/>
  <c r="L62" i="142"/>
  <c r="L520" i="142"/>
  <c r="C146" i="142"/>
  <c r="I410" i="142"/>
  <c r="K1151" i="142"/>
  <c r="E782" i="142"/>
  <c r="F1131" i="142"/>
  <c r="L586" i="142"/>
  <c r="K877" i="142"/>
  <c r="G1056" i="142"/>
  <c r="M982" i="142"/>
  <c r="G783" i="142"/>
  <c r="J767" i="142"/>
  <c r="H1015" i="142"/>
  <c r="J870" i="142"/>
  <c r="M1164" i="142"/>
  <c r="K309" i="142"/>
  <c r="E970" i="142"/>
  <c r="C557" i="142"/>
  <c r="J816" i="142"/>
  <c r="M884" i="142"/>
  <c r="H339" i="142"/>
  <c r="J463" i="142"/>
  <c r="H170" i="142"/>
  <c r="K580" i="142"/>
  <c r="G86" i="142"/>
  <c r="L452" i="142"/>
  <c r="C972" i="142"/>
  <c r="H110" i="142"/>
  <c r="F443" i="142"/>
  <c r="K20" i="142"/>
  <c r="L907" i="142"/>
  <c r="H199" i="142"/>
  <c r="E619" i="142"/>
  <c r="G915" i="142"/>
  <c r="I276" i="142"/>
  <c r="J415" i="142"/>
  <c r="M239" i="142"/>
  <c r="E689" i="142"/>
  <c r="K108" i="142"/>
  <c r="M120" i="142"/>
  <c r="I607" i="142"/>
  <c r="M142" i="142"/>
  <c r="L73" i="142"/>
  <c r="D365" i="142"/>
  <c r="F29" i="142"/>
  <c r="D962" i="142"/>
  <c r="L189" i="142"/>
  <c r="J54" i="142"/>
  <c r="H813" i="142"/>
  <c r="K62" i="142"/>
  <c r="M645" i="142"/>
  <c r="L310" i="142"/>
  <c r="K714" i="142"/>
  <c r="H480" i="142"/>
  <c r="H474" i="142"/>
  <c r="G490" i="142"/>
  <c r="M552" i="142"/>
  <c r="M532" i="142"/>
  <c r="I563" i="142"/>
  <c r="M636" i="142"/>
  <c r="E826" i="142"/>
  <c r="G58" i="142"/>
  <c r="J745" i="142"/>
  <c r="K666" i="142"/>
  <c r="M173" i="142"/>
  <c r="J275" i="142"/>
  <c r="L754" i="142"/>
  <c r="E423" i="142"/>
  <c r="L758" i="142"/>
  <c r="G887" i="142"/>
  <c r="E577" i="142"/>
  <c r="I162" i="142"/>
  <c r="I108" i="142"/>
  <c r="J194" i="142"/>
  <c r="I882" i="142"/>
  <c r="D426" i="142"/>
  <c r="G711" i="142"/>
  <c r="I485" i="142"/>
  <c r="J400" i="142"/>
  <c r="D835" i="142"/>
  <c r="D716" i="142"/>
  <c r="G742" i="142"/>
  <c r="F426" i="142"/>
  <c r="C99" i="142"/>
  <c r="M401" i="142"/>
  <c r="I408" i="142"/>
  <c r="F1014" i="142"/>
  <c r="K136" i="142"/>
  <c r="F601" i="142"/>
  <c r="C676" i="142"/>
  <c r="C677" i="142"/>
  <c r="M613" i="142"/>
  <c r="G8" i="142"/>
  <c r="H410" i="142"/>
  <c r="D202" i="142"/>
  <c r="J511" i="142"/>
  <c r="K132" i="142"/>
  <c r="J716" i="142"/>
  <c r="G825" i="142"/>
  <c r="I416" i="142"/>
  <c r="D708" i="142"/>
  <c r="K608" i="142"/>
  <c r="L527" i="142"/>
  <c r="C72" i="142"/>
  <c r="E867" i="142"/>
  <c r="K833" i="142"/>
  <c r="J498" i="142"/>
  <c r="K422" i="142"/>
  <c r="D641" i="142"/>
  <c r="C1092" i="142"/>
  <c r="I377" i="142"/>
  <c r="E859" i="142"/>
  <c r="I740" i="142"/>
  <c r="D1105" i="142"/>
  <c r="J1021" i="142"/>
  <c r="I253" i="142"/>
  <c r="C438" i="142"/>
  <c r="D813" i="142"/>
  <c r="E160" i="142"/>
  <c r="I110" i="142"/>
  <c r="J917" i="142"/>
  <c r="L468" i="142"/>
  <c r="I613" i="142"/>
  <c r="C638" i="142"/>
  <c r="M386" i="142"/>
  <c r="H1121" i="142"/>
  <c r="E534" i="142"/>
  <c r="H252" i="142"/>
  <c r="E180" i="142"/>
  <c r="I92" i="142"/>
  <c r="M53" i="142"/>
  <c r="E434" i="142"/>
  <c r="G67" i="142"/>
  <c r="I170" i="142"/>
  <c r="C191" i="142"/>
  <c r="E991" i="142"/>
  <c r="L182" i="142"/>
  <c r="J830" i="142"/>
  <c r="K774" i="142"/>
  <c r="F658" i="142"/>
  <c r="G257" i="142"/>
  <c r="G755" i="142"/>
  <c r="H115" i="142"/>
  <c r="K894" i="142"/>
  <c r="H151" i="142"/>
  <c r="I1099" i="142"/>
  <c r="G385" i="142"/>
  <c r="M28" i="142"/>
  <c r="C797" i="142"/>
  <c r="J251" i="142"/>
  <c r="L534" i="142"/>
  <c r="K943" i="142"/>
  <c r="C1019" i="142"/>
  <c r="C255" i="142"/>
  <c r="H190" i="142"/>
  <c r="G154" i="142"/>
  <c r="K496" i="142"/>
  <c r="E252" i="142"/>
  <c r="J517" i="142"/>
  <c r="G236" i="142"/>
  <c r="M932" i="142"/>
  <c r="I316" i="142"/>
  <c r="E620" i="142"/>
  <c r="D249" i="142"/>
  <c r="M422" i="142"/>
  <c r="G266" i="142"/>
  <c r="I667" i="142"/>
  <c r="E415" i="142"/>
  <c r="K484" i="142"/>
  <c r="L582" i="142"/>
  <c r="D115" i="142"/>
  <c r="H408" i="142"/>
  <c r="H104" i="142"/>
  <c r="L289" i="142"/>
  <c r="E572" i="142"/>
  <c r="F395" i="142"/>
  <c r="F1082" i="142"/>
  <c r="K248" i="142"/>
  <c r="C779" i="142"/>
  <c r="L620" i="142"/>
  <c r="F777" i="142"/>
  <c r="I497" i="142"/>
  <c r="L1013" i="142"/>
  <c r="F645" i="142"/>
  <c r="I1003" i="142"/>
  <c r="H143" i="142"/>
  <c r="C883" i="142"/>
  <c r="C524" i="142"/>
  <c r="E892" i="142"/>
  <c r="L326" i="142"/>
  <c r="E177" i="142"/>
  <c r="I78" i="142"/>
  <c r="G922" i="142"/>
  <c r="C37" i="142"/>
  <c r="D1151" i="142"/>
  <c r="I991" i="142"/>
  <c r="I1136" i="142"/>
  <c r="C511" i="142"/>
  <c r="J588" i="142"/>
  <c r="J346" i="142"/>
  <c r="C302" i="142"/>
  <c r="M337" i="142"/>
  <c r="M852" i="142"/>
  <c r="K91" i="142"/>
  <c r="H1029" i="142"/>
  <c r="L631" i="142"/>
  <c r="J238" i="142"/>
  <c r="I272" i="142"/>
  <c r="H794" i="142"/>
  <c r="I85" i="142"/>
  <c r="K761" i="142"/>
  <c r="E510" i="142"/>
  <c r="M1029" i="142"/>
  <c r="L437" i="142"/>
  <c r="I259" i="142"/>
  <c r="E984" i="142"/>
  <c r="J1147" i="142"/>
  <c r="H729" i="142"/>
  <c r="E863" i="142"/>
  <c r="K1056" i="142"/>
  <c r="D1061" i="142"/>
  <c r="M61" i="142"/>
  <c r="F50" i="142"/>
  <c r="H413" i="142"/>
  <c r="F884" i="142"/>
  <c r="M720" i="142"/>
  <c r="E733" i="142"/>
  <c r="L822" i="142"/>
  <c r="C409" i="142"/>
  <c r="H214" i="142"/>
  <c r="D1057" i="142"/>
  <c r="I182" i="142"/>
  <c r="M54" i="142"/>
  <c r="L731" i="142"/>
  <c r="F741" i="142"/>
  <c r="M777" i="142"/>
  <c r="M344" i="142"/>
  <c r="M191" i="142"/>
  <c r="D823" i="142"/>
  <c r="J862" i="142"/>
  <c r="H400" i="142"/>
  <c r="G625" i="142"/>
  <c r="K206" i="142"/>
  <c r="K584" i="142"/>
  <c r="M611" i="142"/>
  <c r="C110" i="142"/>
  <c r="K162" i="142"/>
  <c r="J648" i="142"/>
  <c r="H927" i="142"/>
  <c r="K542" i="142"/>
  <c r="K835" i="142"/>
  <c r="G896" i="142"/>
  <c r="L45" i="142"/>
  <c r="D595" i="142"/>
  <c r="H77" i="142"/>
  <c r="F334" i="142"/>
  <c r="J113" i="142"/>
  <c r="L826" i="142"/>
  <c r="D1069" i="142"/>
  <c r="H250" i="142"/>
  <c r="I1024" i="142"/>
  <c r="E464" i="142"/>
  <c r="M458" i="142"/>
  <c r="E363" i="142"/>
  <c r="C413" i="142"/>
  <c r="D952" i="142"/>
  <c r="E841" i="142"/>
  <c r="M927" i="142"/>
  <c r="D751" i="142"/>
  <c r="I567" i="142"/>
  <c r="M187" i="142"/>
  <c r="C470" i="142"/>
  <c r="J503" i="142"/>
  <c r="L1001" i="142"/>
  <c r="H640" i="142"/>
  <c r="C214" i="142"/>
  <c r="D982" i="142"/>
  <c r="K191" i="142"/>
  <c r="F647" i="142"/>
  <c r="M917" i="142"/>
  <c r="J856" i="142"/>
  <c r="C445" i="142"/>
  <c r="D405" i="142"/>
  <c r="I302" i="142"/>
  <c r="L503" i="142"/>
  <c r="M185" i="142"/>
  <c r="G285" i="142"/>
  <c r="E1131" i="142"/>
  <c r="E631" i="142"/>
  <c r="K69" i="142"/>
  <c r="H121" i="142"/>
  <c r="I328" i="142"/>
  <c r="H924" i="142"/>
  <c r="D448" i="142"/>
  <c r="F143" i="142"/>
  <c r="H1131" i="142"/>
  <c r="L507" i="142"/>
  <c r="C717" i="142"/>
  <c r="D205" i="142"/>
  <c r="F16" i="142"/>
  <c r="K279" i="142"/>
  <c r="M641" i="142"/>
  <c r="F188" i="142"/>
  <c r="I122" i="142"/>
  <c r="K410" i="142"/>
  <c r="I104" i="142"/>
  <c r="G244" i="142"/>
  <c r="M788" i="142"/>
  <c r="L1137" i="142"/>
  <c r="H191" i="142"/>
  <c r="D1068" i="142"/>
  <c r="I243" i="142"/>
  <c r="J66" i="142"/>
  <c r="H1023" i="142"/>
  <c r="K311" i="142"/>
  <c r="C541" i="142"/>
  <c r="C357" i="142"/>
  <c r="M716" i="142"/>
  <c r="F922" i="142"/>
  <c r="L106" i="142"/>
  <c r="D211" i="142"/>
  <c r="I1028" i="142"/>
  <c r="L1095" i="142"/>
  <c r="C953" i="142"/>
  <c r="C1098" i="142"/>
  <c r="C1011" i="142"/>
  <c r="C880" i="142"/>
  <c r="H572" i="142"/>
  <c r="K192" i="142"/>
  <c r="F423" i="142"/>
  <c r="F870" i="142"/>
  <c r="D757" i="142"/>
  <c r="F461" i="142"/>
  <c r="M554" i="142"/>
  <c r="L219" i="142"/>
  <c r="F1150" i="142"/>
  <c r="C1027" i="142"/>
  <c r="G1141" i="142"/>
  <c r="C628" i="142"/>
  <c r="J818" i="142"/>
  <c r="E96" i="142"/>
  <c r="M894" i="142"/>
  <c r="D776" i="142"/>
  <c r="F728" i="142"/>
  <c r="F1026" i="142"/>
  <c r="H372" i="142"/>
  <c r="F1051" i="142"/>
  <c r="J591" i="142"/>
  <c r="G16" i="142"/>
  <c r="D38" i="142"/>
  <c r="G633" i="142"/>
  <c r="L17" i="142"/>
  <c r="F632" i="142"/>
  <c r="E900" i="142"/>
  <c r="K482" i="142"/>
  <c r="L498" i="142"/>
  <c r="D68" i="142"/>
  <c r="K388" i="142"/>
  <c r="D479" i="142"/>
  <c r="M818" i="142"/>
  <c r="J1090" i="142"/>
  <c r="M451" i="142"/>
  <c r="G851" i="142"/>
  <c r="E990" i="142"/>
  <c r="L237" i="142"/>
  <c r="K1049" i="142"/>
  <c r="H222" i="142"/>
  <c r="G400" i="142"/>
  <c r="G300" i="142"/>
  <c r="H539" i="142"/>
  <c r="K355" i="142"/>
  <c r="H353" i="142"/>
  <c r="H323" i="142"/>
  <c r="M1055" i="142"/>
  <c r="E581" i="142"/>
  <c r="C272" i="142"/>
  <c r="G6" i="142"/>
  <c r="F1021" i="142"/>
  <c r="L428" i="142"/>
  <c r="D379" i="142"/>
  <c r="H467" i="142"/>
  <c r="K752" i="142"/>
  <c r="G768" i="142"/>
  <c r="I116" i="142"/>
  <c r="G465" i="142"/>
  <c r="E9" i="142"/>
  <c r="K486" i="142"/>
  <c r="G1149" i="142"/>
  <c r="D1099" i="142"/>
  <c r="G760" i="142"/>
  <c r="F637" i="142"/>
  <c r="D228" i="142"/>
  <c r="K303" i="142"/>
  <c r="G525" i="142"/>
  <c r="H683" i="142"/>
  <c r="L613" i="142"/>
  <c r="H645" i="142"/>
  <c r="D517" i="142"/>
  <c r="C149" i="142"/>
  <c r="K831" i="142"/>
  <c r="K607" i="142"/>
  <c r="G580" i="142"/>
  <c r="J339" i="142"/>
  <c r="H942" i="142"/>
  <c r="E954" i="142"/>
  <c r="D124" i="142"/>
  <c r="J421" i="142"/>
  <c r="J587" i="142"/>
  <c r="J368" i="142"/>
  <c r="D310" i="142"/>
  <c r="K1030" i="142"/>
  <c r="K709" i="142"/>
  <c r="L439" i="142"/>
  <c r="C630" i="142"/>
  <c r="G572" i="142"/>
  <c r="L179" i="142"/>
  <c r="J664" i="142"/>
  <c r="E29" i="142"/>
  <c r="L523" i="142"/>
  <c r="D1006" i="142"/>
  <c r="L759" i="142"/>
  <c r="K414" i="142"/>
  <c r="H555" i="142"/>
  <c r="I131" i="142"/>
  <c r="C147" i="142"/>
  <c r="K85" i="142"/>
  <c r="K357" i="142"/>
  <c r="J495" i="142"/>
  <c r="C694" i="142"/>
  <c r="K392" i="142"/>
  <c r="H1107" i="142"/>
  <c r="I1106" i="142"/>
  <c r="L221" i="142"/>
  <c r="G987" i="142"/>
  <c r="L863" i="142"/>
  <c r="M795" i="142"/>
  <c r="L659" i="142"/>
  <c r="C893" i="142"/>
  <c r="H994" i="142"/>
  <c r="I932" i="142"/>
  <c r="I1117" i="142"/>
  <c r="C440" i="142"/>
  <c r="G750" i="142"/>
  <c r="D438" i="142"/>
  <c r="E692" i="142"/>
  <c r="H712" i="142"/>
  <c r="G355" i="142"/>
  <c r="H430" i="142"/>
  <c r="G307" i="142"/>
  <c r="H1137" i="142"/>
  <c r="K912" i="142"/>
  <c r="I484" i="142"/>
  <c r="I963" i="142"/>
  <c r="H554" i="142"/>
  <c r="E349" i="142"/>
  <c r="J52" i="142"/>
  <c r="E405" i="142"/>
  <c r="F1098" i="142"/>
  <c r="L10" i="142"/>
  <c r="C210" i="142"/>
  <c r="L301" i="142"/>
  <c r="E31" i="142"/>
  <c r="F1040" i="142"/>
  <c r="K445" i="142"/>
  <c r="C653" i="142"/>
  <c r="F198" i="142"/>
  <c r="C987" i="142"/>
  <c r="H135" i="142"/>
  <c r="J954" i="142"/>
  <c r="D756" i="142"/>
  <c r="D721" i="142"/>
  <c r="K889" i="142"/>
  <c r="K405" i="142"/>
  <c r="M919" i="142"/>
  <c r="I589" i="142"/>
  <c r="G310" i="142"/>
  <c r="E909" i="142"/>
  <c r="K967" i="142"/>
  <c r="D95" i="142"/>
  <c r="E453" i="142"/>
  <c r="M317" i="142"/>
  <c r="H770" i="142"/>
  <c r="H157" i="142"/>
  <c r="E387" i="142"/>
  <c r="H464" i="142"/>
  <c r="K941" i="142"/>
  <c r="L349" i="142"/>
  <c r="M863" i="142"/>
  <c r="H111" i="142"/>
  <c r="E205" i="142"/>
  <c r="L283" i="142"/>
  <c r="J38" i="142"/>
  <c r="E625" i="142"/>
  <c r="G136" i="142"/>
  <c r="K262" i="142"/>
  <c r="H1111" i="142"/>
  <c r="I457" i="142"/>
  <c r="K743" i="142"/>
  <c r="D506" i="142"/>
  <c r="M1025" i="142"/>
  <c r="M760" i="142"/>
  <c r="C52" i="142"/>
  <c r="H866" i="142"/>
  <c r="H436" i="142"/>
  <c r="G727" i="142"/>
  <c r="C765" i="142"/>
  <c r="L282" i="142"/>
  <c r="M395" i="142"/>
  <c r="C226" i="142"/>
  <c r="G656" i="142"/>
  <c r="K12" i="142"/>
  <c r="J895" i="142"/>
  <c r="H60" i="142"/>
  <c r="F319" i="142"/>
  <c r="F732" i="142"/>
  <c r="C819" i="142"/>
  <c r="G380" i="142"/>
  <c r="C951" i="142"/>
  <c r="D990" i="142"/>
  <c r="E819" i="142"/>
  <c r="L521" i="142"/>
  <c r="J573" i="142"/>
  <c r="F537" i="142"/>
  <c r="G277" i="142"/>
  <c r="H338" i="142"/>
  <c r="K1033" i="142"/>
  <c r="H398" i="142"/>
  <c r="M511" i="142"/>
  <c r="I698" i="142"/>
  <c r="D852" i="142"/>
  <c r="E33" i="142"/>
  <c r="I294" i="142"/>
  <c r="L587" i="142"/>
  <c r="D570" i="142"/>
  <c r="J477" i="142"/>
  <c r="M670" i="142"/>
  <c r="E816" i="142"/>
  <c r="I971" i="142"/>
  <c r="M776" i="142"/>
  <c r="I921" i="142"/>
  <c r="G1011" i="142"/>
  <c r="J298" i="142"/>
  <c r="C1025" i="142"/>
  <c r="K454" i="142"/>
  <c r="I930" i="142"/>
  <c r="I1130" i="142"/>
  <c r="I787" i="142"/>
  <c r="J1111" i="142"/>
  <c r="H503" i="142"/>
  <c r="K787" i="142"/>
  <c r="D530" i="142"/>
  <c r="G267" i="142"/>
  <c r="J704" i="142"/>
  <c r="D322" i="142"/>
  <c r="L356" i="142"/>
  <c r="F199" i="142"/>
  <c r="E222" i="142"/>
  <c r="H45" i="142"/>
  <c r="I577" i="142"/>
  <c r="D489" i="142"/>
  <c r="M950" i="142"/>
  <c r="K244" i="142"/>
  <c r="I797" i="142"/>
  <c r="D690" i="142"/>
  <c r="L511" i="142"/>
  <c r="K421" i="142"/>
  <c r="L378" i="142"/>
  <c r="K1123" i="142"/>
  <c r="K225" i="142"/>
  <c r="J398" i="142"/>
  <c r="G432" i="142"/>
  <c r="K90" i="142"/>
  <c r="E219" i="142"/>
  <c r="C939" i="142"/>
  <c r="K70" i="142"/>
  <c r="F6" i="142"/>
  <c r="E1023" i="142"/>
  <c r="E598" i="142"/>
  <c r="F1001" i="142"/>
  <c r="G162" i="142"/>
  <c r="I1067" i="142"/>
  <c r="L204" i="142"/>
  <c r="H281" i="142"/>
  <c r="L744" i="142"/>
  <c r="H238" i="142"/>
  <c r="G559" i="142"/>
  <c r="F306" i="142"/>
  <c r="H393" i="142"/>
  <c r="M456" i="142"/>
  <c r="G737" i="142"/>
  <c r="K157" i="142"/>
  <c r="G44" i="142"/>
  <c r="K346" i="142"/>
  <c r="J405" i="142"/>
  <c r="L1038" i="142"/>
  <c r="L538" i="142"/>
  <c r="H625" i="142"/>
  <c r="M158" i="142"/>
  <c r="E770" i="142"/>
  <c r="L1151" i="142"/>
  <c r="K265" i="142"/>
  <c r="L750" i="142"/>
  <c r="J317" i="142"/>
  <c r="M634" i="142"/>
  <c r="C227" i="142"/>
  <c r="J731" i="142"/>
  <c r="F345" i="142"/>
  <c r="D554" i="142"/>
  <c r="M38" i="142"/>
  <c r="K457" i="142"/>
  <c r="I65" i="142"/>
  <c r="D111" i="142"/>
  <c r="C13" i="142"/>
  <c r="K361" i="142"/>
  <c r="E1083" i="142"/>
  <c r="H496" i="142"/>
  <c r="G649" i="142"/>
  <c r="J130" i="142"/>
  <c r="E994" i="142"/>
  <c r="I378" i="142"/>
  <c r="E151" i="142"/>
  <c r="F224" i="142"/>
  <c r="J1141" i="142"/>
  <c r="G113" i="142"/>
  <c r="E755" i="142"/>
  <c r="J214" i="142"/>
  <c r="G184" i="142"/>
  <c r="J370" i="142"/>
  <c r="H58" i="142"/>
  <c r="F320" i="142"/>
  <c r="I55" i="142"/>
  <c r="F474" i="142"/>
  <c r="F733" i="142"/>
  <c r="G924" i="142"/>
  <c r="C863" i="142"/>
  <c r="D822" i="142"/>
  <c r="I1122" i="142"/>
  <c r="K1067" i="142"/>
  <c r="I821" i="142"/>
  <c r="C821" i="142"/>
  <c r="K890" i="142"/>
  <c r="H774" i="142"/>
  <c r="C1103" i="142"/>
  <c r="J614" i="142"/>
  <c r="I859" i="142"/>
  <c r="K1077" i="142"/>
  <c r="C1036" i="142"/>
  <c r="L151" i="142"/>
  <c r="L931" i="142"/>
  <c r="F561" i="142"/>
  <c r="D624" i="142"/>
  <c r="I863" i="142"/>
  <c r="I496" i="142"/>
  <c r="G505" i="142"/>
  <c r="E646" i="142"/>
  <c r="F1094" i="142"/>
  <c r="F865" i="142"/>
  <c r="H493" i="142"/>
  <c r="M723" i="142"/>
  <c r="L816" i="142"/>
  <c r="I24" i="142"/>
  <c r="K181" i="142"/>
  <c r="C130" i="142"/>
  <c r="C118" i="142"/>
  <c r="L952" i="142"/>
  <c r="H984" i="142"/>
  <c r="G270" i="142"/>
  <c r="K517" i="142"/>
  <c r="L680" i="142"/>
  <c r="L673" i="142"/>
  <c r="E201" i="142"/>
  <c r="K672" i="142"/>
  <c r="G1069" i="142"/>
  <c r="C1002" i="142"/>
  <c r="F963" i="142"/>
  <c r="L1053" i="142"/>
  <c r="C671" i="142"/>
  <c r="D510" i="142"/>
  <c r="I783" i="142"/>
  <c r="L692" i="142"/>
  <c r="I546" i="142"/>
  <c r="F575" i="142"/>
  <c r="E22" i="142"/>
  <c r="M461" i="142"/>
  <c r="H309" i="142"/>
  <c r="F597" i="142"/>
  <c r="H169" i="142"/>
  <c r="G519" i="142"/>
  <c r="H116" i="142"/>
  <c r="H716" i="142"/>
  <c r="D469" i="142"/>
  <c r="G127" i="142"/>
  <c r="C263" i="142"/>
  <c r="E174" i="142"/>
  <c r="D604" i="142"/>
  <c r="J948" i="142"/>
  <c r="H325" i="142"/>
  <c r="M110" i="142"/>
  <c r="M561" i="142"/>
  <c r="G98" i="142"/>
  <c r="K537" i="142"/>
  <c r="M318" i="142"/>
  <c r="L363" i="142"/>
  <c r="J411" i="142"/>
  <c r="E783" i="142"/>
  <c r="F402" i="142"/>
  <c r="G383" i="142"/>
  <c r="E3" i="142"/>
  <c r="G630" i="142"/>
  <c r="C808" i="142"/>
  <c r="H172" i="142"/>
  <c r="H1138" i="142"/>
  <c r="J164" i="142"/>
  <c r="M506" i="142"/>
  <c r="M901" i="142"/>
  <c r="J285" i="142"/>
  <c r="I380" i="142"/>
  <c r="J371" i="142"/>
  <c r="F914" i="142"/>
  <c r="H677" i="142"/>
  <c r="L935" i="142"/>
  <c r="F401" i="142"/>
  <c r="H537" i="142"/>
  <c r="F460" i="142"/>
  <c r="H97" i="142"/>
  <c r="H549" i="142"/>
  <c r="I780" i="142"/>
  <c r="H655" i="142"/>
  <c r="C364" i="142"/>
  <c r="F124" i="142"/>
  <c r="I1060" i="142"/>
  <c r="F418" i="142"/>
  <c r="M1004" i="142"/>
  <c r="H989" i="142"/>
  <c r="H514" i="142"/>
  <c r="E686" i="142"/>
  <c r="M1003" i="142"/>
  <c r="G1006" i="142"/>
  <c r="J748" i="142"/>
  <c r="I689" i="142"/>
  <c r="C35" i="142"/>
  <c r="D1103" i="142"/>
  <c r="I166" i="142"/>
  <c r="C420" i="142"/>
  <c r="K1038" i="142"/>
  <c r="C554" i="142"/>
  <c r="D1096" i="142"/>
  <c r="J402" i="142"/>
  <c r="C700" i="142"/>
  <c r="M238" i="142"/>
  <c r="K997" i="142"/>
  <c r="M485" i="142"/>
  <c r="M651" i="142"/>
  <c r="I165" i="142"/>
  <c r="D330" i="142"/>
  <c r="H132" i="142"/>
  <c r="F13" i="142"/>
  <c r="K472" i="142"/>
  <c r="E11" i="142"/>
  <c r="J33" i="142"/>
  <c r="L159" i="142"/>
  <c r="C746" i="142"/>
  <c r="L312" i="142"/>
  <c r="I28" i="142"/>
  <c r="L1051" i="142"/>
  <c r="E551" i="142"/>
  <c r="L1004" i="142"/>
  <c r="M198" i="142"/>
  <c r="I661" i="142"/>
  <c r="H887" i="142"/>
  <c r="M733" i="142"/>
  <c r="I178" i="142"/>
  <c r="I877" i="142"/>
  <c r="C1162" i="142"/>
  <c r="I737" i="142"/>
  <c r="K930" i="142"/>
  <c r="C155" i="142"/>
  <c r="K255" i="142"/>
  <c r="F307" i="142"/>
  <c r="F450" i="142"/>
  <c r="D460" i="142"/>
  <c r="L138" i="142"/>
  <c r="M271" i="142"/>
  <c r="E166" i="142"/>
  <c r="K356" i="142"/>
  <c r="H757" i="142"/>
  <c r="E403" i="142"/>
  <c r="D446" i="142"/>
  <c r="K101" i="142"/>
  <c r="I570" i="142"/>
  <c r="L712" i="142"/>
  <c r="F693" i="142"/>
  <c r="C69" i="142"/>
  <c r="K137" i="142"/>
  <c r="E671" i="142"/>
  <c r="H985" i="142"/>
  <c r="C201" i="142"/>
  <c r="G440" i="142"/>
  <c r="I390" i="142"/>
  <c r="H435" i="142"/>
  <c r="C477" i="142"/>
  <c r="G137" i="142"/>
  <c r="L1054" i="142"/>
  <c r="I282" i="142"/>
  <c r="I7" i="142"/>
  <c r="D251" i="142"/>
  <c r="L761" i="142"/>
  <c r="L945" i="142"/>
  <c r="G271" i="142"/>
  <c r="J691" i="142"/>
  <c r="J499" i="142"/>
  <c r="L496" i="142"/>
  <c r="C203" i="142"/>
  <c r="D984" i="142"/>
  <c r="I103" i="142"/>
  <c r="J424" i="142"/>
  <c r="E346" i="142"/>
  <c r="F1002" i="142"/>
  <c r="E331" i="142"/>
  <c r="F317" i="142"/>
  <c r="K1027" i="142"/>
  <c r="D307" i="142"/>
  <c r="F445" i="142"/>
  <c r="H710" i="142"/>
  <c r="G769" i="142"/>
  <c r="D280" i="142"/>
  <c r="G240" i="142"/>
  <c r="L347" i="142"/>
  <c r="F684" i="142"/>
  <c r="L985" i="142"/>
  <c r="F486" i="142"/>
  <c r="F264" i="142"/>
  <c r="C1167" i="142"/>
  <c r="M260" i="142"/>
  <c r="J645" i="142"/>
  <c r="D610" i="142"/>
  <c r="J263" i="142"/>
  <c r="G579" i="142"/>
  <c r="C1147" i="142"/>
  <c r="J844" i="142"/>
  <c r="K299" i="142"/>
  <c r="F1005" i="142"/>
  <c r="L728" i="142"/>
  <c r="I743" i="142"/>
  <c r="L729" i="142"/>
  <c r="C782" i="142"/>
  <c r="H1109" i="142"/>
  <c r="M700" i="142"/>
  <c r="C530" i="142"/>
  <c r="E470" i="142"/>
  <c r="E940" i="142"/>
  <c r="G647" i="142"/>
  <c r="H743" i="142"/>
  <c r="G426" i="142"/>
  <c r="L730" i="142"/>
  <c r="I1010" i="142"/>
  <c r="E712" i="142"/>
  <c r="D840" i="142"/>
  <c r="J440" i="142"/>
  <c r="G598" i="142"/>
  <c r="I98" i="142"/>
  <c r="H301" i="142"/>
  <c r="C26" i="142"/>
  <c r="J1055" i="142"/>
  <c r="H557" i="142"/>
  <c r="D999" i="142"/>
  <c r="M426" i="142"/>
  <c r="K188" i="142"/>
  <c r="E1005" i="142"/>
  <c r="M80" i="142"/>
  <c r="C922" i="142"/>
  <c r="G517" i="142"/>
  <c r="I357" i="142"/>
  <c r="J111" i="142"/>
  <c r="K1107" i="142"/>
  <c r="L291" i="142"/>
  <c r="D668" i="142"/>
  <c r="H34" i="142"/>
  <c r="C546" i="142"/>
  <c r="E225" i="142"/>
  <c r="M488" i="142"/>
  <c r="H978" i="142"/>
  <c r="F97" i="142"/>
  <c r="M504" i="142"/>
  <c r="D166" i="142"/>
  <c r="J432" i="142"/>
  <c r="C143" i="142"/>
  <c r="L488" i="142"/>
  <c r="K915" i="142"/>
  <c r="K63" i="142"/>
  <c r="K232" i="142"/>
  <c r="G251" i="142"/>
  <c r="E569" i="142"/>
  <c r="M715" i="142"/>
  <c r="H1003" i="142"/>
  <c r="D626" i="142"/>
  <c r="D686" i="142"/>
  <c r="M642" i="142"/>
  <c r="F272" i="142"/>
  <c r="H355" i="142"/>
  <c r="C514" i="142"/>
  <c r="H611" i="142"/>
  <c r="J783" i="142"/>
  <c r="G284" i="142"/>
  <c r="M652" i="142"/>
  <c r="L691" i="142"/>
  <c r="C262" i="142"/>
  <c r="H609" i="142"/>
  <c r="F1015" i="142"/>
  <c r="J442" i="142"/>
  <c r="G275" i="142"/>
  <c r="E516" i="142"/>
  <c r="F928" i="142"/>
  <c r="K1113" i="142"/>
  <c r="L384" i="142"/>
  <c r="E1092" i="142"/>
  <c r="L250" i="142"/>
  <c r="E802" i="142"/>
  <c r="E764" i="142"/>
  <c r="E153" i="142"/>
  <c r="M1002" i="142"/>
  <c r="I130" i="142"/>
  <c r="F834" i="142"/>
  <c r="L922" i="142"/>
  <c r="K689" i="142"/>
  <c r="G131" i="142"/>
  <c r="D470" i="142"/>
  <c r="L632" i="142"/>
  <c r="F1006" i="142"/>
  <c r="K662" i="142"/>
  <c r="E1093" i="142"/>
  <c r="D873" i="142"/>
  <c r="J467" i="142"/>
  <c r="F655" i="142"/>
  <c r="H21" i="142"/>
  <c r="K263" i="142"/>
  <c r="D94" i="142"/>
  <c r="M1073" i="142"/>
  <c r="L280" i="142"/>
  <c r="F519" i="142"/>
  <c r="J643" i="142"/>
  <c r="M732" i="142"/>
  <c r="H17" i="142"/>
  <c r="K568" i="142"/>
  <c r="G1065" i="142"/>
  <c r="I369" i="142"/>
  <c r="D1038" i="142"/>
  <c r="C889" i="142"/>
  <c r="J276" i="142"/>
  <c r="K703" i="142"/>
  <c r="D711" i="142"/>
  <c r="G787" i="142"/>
  <c r="G423" i="142"/>
  <c r="D173" i="142"/>
  <c r="J532" i="142"/>
  <c r="L561" i="142"/>
  <c r="F813" i="142"/>
  <c r="J105" i="142"/>
  <c r="J451" i="142"/>
  <c r="L5" i="142"/>
  <c r="C47" i="142"/>
  <c r="L72" i="142"/>
  <c r="F683" i="142"/>
  <c r="I906" i="142"/>
  <c r="J44" i="142"/>
  <c r="M114" i="142"/>
  <c r="M184" i="142"/>
  <c r="M632" i="142"/>
  <c r="H122" i="142"/>
  <c r="F40" i="142"/>
  <c r="J358" i="142"/>
  <c r="F478" i="142"/>
  <c r="K779" i="142"/>
  <c r="M522" i="142"/>
  <c r="J93" i="142"/>
  <c r="M276" i="142"/>
  <c r="J835" i="142"/>
  <c r="C636" i="142"/>
  <c r="E878" i="142"/>
  <c r="D433" i="142"/>
  <c r="D271" i="142"/>
  <c r="E454" i="142"/>
  <c r="E57" i="142"/>
  <c r="H158" i="142"/>
  <c r="E752" i="142"/>
  <c r="K702" i="142"/>
  <c r="J774" i="142"/>
  <c r="H237" i="142"/>
  <c r="F193" i="142"/>
  <c r="K177" i="142"/>
  <c r="H444" i="142"/>
  <c r="I201" i="142"/>
  <c r="D848" i="142"/>
  <c r="C878" i="142"/>
  <c r="M205" i="142"/>
  <c r="C549" i="142"/>
  <c r="M891" i="142"/>
  <c r="M303" i="142"/>
  <c r="F118" i="142"/>
  <c r="I427" i="142"/>
  <c r="C563" i="142"/>
  <c r="D1080" i="142"/>
  <c r="L947" i="142"/>
  <c r="C783" i="142"/>
  <c r="L874" i="142"/>
  <c r="F291" i="142"/>
  <c r="C419" i="142"/>
  <c r="C614" i="142"/>
  <c r="K44" i="142"/>
  <c r="J437" i="142"/>
  <c r="H125" i="142"/>
  <c r="H608" i="142"/>
  <c r="H584" i="142"/>
  <c r="I1063" i="142"/>
  <c r="D815" i="142"/>
  <c r="E48" i="142"/>
  <c r="C6" i="142"/>
  <c r="K114" i="142"/>
  <c r="K96" i="142"/>
  <c r="I770" i="142"/>
  <c r="J199" i="142"/>
  <c r="M598" i="142"/>
  <c r="D123" i="142"/>
  <c r="L786" i="142"/>
  <c r="L755" i="142"/>
  <c r="E553" i="142"/>
  <c r="I462" i="142"/>
  <c r="K79" i="142"/>
  <c r="E68" i="142"/>
  <c r="D965" i="142"/>
  <c r="F498" i="142"/>
  <c r="M1063" i="142"/>
  <c r="D1082" i="142"/>
  <c r="I1103" i="142"/>
  <c r="K1104" i="142"/>
  <c r="J915" i="142"/>
  <c r="G457" i="142"/>
  <c r="C760" i="142"/>
  <c r="G51" i="142"/>
  <c r="M473" i="142"/>
  <c r="M486" i="142"/>
  <c r="C873" i="142"/>
  <c r="K344" i="142"/>
  <c r="K1059" i="142"/>
  <c r="C839" i="142"/>
  <c r="H174" i="142"/>
  <c r="F148" i="142"/>
  <c r="H138" i="142"/>
  <c r="F651" i="142"/>
  <c r="M661" i="142"/>
  <c r="H980" i="142"/>
  <c r="E394" i="142"/>
  <c r="C713" i="142"/>
  <c r="J577" i="142"/>
  <c r="I205" i="142"/>
  <c r="F427" i="142"/>
  <c r="I404" i="142"/>
  <c r="G190" i="142"/>
  <c r="C10" i="142"/>
  <c r="L882" i="142"/>
  <c r="G1109" i="142"/>
  <c r="C451" i="142"/>
  <c r="E488" i="142"/>
  <c r="M961" i="142"/>
  <c r="H638" i="142"/>
  <c r="C730" i="142"/>
  <c r="D549" i="142"/>
  <c r="K790" i="142"/>
  <c r="C866" i="142"/>
  <c r="D683" i="142"/>
  <c r="I60" i="142"/>
  <c r="M953" i="142"/>
  <c r="C135" i="142"/>
  <c r="E769" i="142"/>
  <c r="M439" i="142"/>
  <c r="K963" i="142"/>
  <c r="F857" i="142"/>
  <c r="G959" i="142"/>
  <c r="L1011" i="142"/>
  <c r="D720" i="142"/>
  <c r="G143" i="142"/>
  <c r="L506" i="142"/>
  <c r="E928" i="142"/>
  <c r="M820" i="142"/>
  <c r="I223" i="142"/>
  <c r="D1020" i="142"/>
  <c r="C32" i="142"/>
  <c r="C449" i="142"/>
  <c r="L91" i="142"/>
  <c r="E898" i="142"/>
  <c r="H722" i="142"/>
  <c r="D795" i="142"/>
  <c r="J190" i="142"/>
  <c r="E836" i="142"/>
  <c r="M250" i="142"/>
  <c r="L776" i="142"/>
  <c r="J742" i="142"/>
  <c r="D697" i="142"/>
  <c r="H261" i="142"/>
  <c r="M572" i="142"/>
  <c r="F49" i="142"/>
  <c r="K475" i="142"/>
  <c r="J385" i="142"/>
  <c r="F123" i="142"/>
  <c r="H481" i="142"/>
  <c r="C166" i="142"/>
  <c r="L113" i="142"/>
  <c r="I673" i="142"/>
  <c r="L187" i="142"/>
  <c r="H671" i="142"/>
  <c r="D386" i="142"/>
  <c r="D978" i="142"/>
  <c r="F412" i="142"/>
  <c r="F52" i="142"/>
  <c r="G324" i="142"/>
  <c r="H498" i="142"/>
  <c r="G17" i="142"/>
  <c r="K178" i="142"/>
  <c r="E293" i="142"/>
  <c r="M11" i="142"/>
  <c r="L411" i="142"/>
  <c r="C874" i="142"/>
  <c r="E487" i="142"/>
  <c r="L1074" i="142"/>
  <c r="M1116" i="142"/>
  <c r="D702" i="142"/>
  <c r="G1145" i="142"/>
  <c r="E865" i="142"/>
  <c r="F441" i="142"/>
  <c r="J633" i="142"/>
  <c r="E993" i="142"/>
  <c r="I588" i="142"/>
  <c r="J1096" i="142"/>
  <c r="G114" i="142"/>
  <c r="H880" i="142"/>
  <c r="M748" i="142"/>
  <c r="I800" i="142"/>
  <c r="M790" i="142"/>
  <c r="E839" i="142"/>
  <c r="E544" i="142"/>
  <c r="C826" i="142"/>
  <c r="M713" i="142"/>
  <c r="L132" i="142"/>
  <c r="F367" i="142"/>
  <c r="D500" i="142"/>
  <c r="I825" i="142"/>
  <c r="I511" i="142"/>
  <c r="J114" i="142"/>
  <c r="L442" i="142"/>
  <c r="E630" i="142"/>
  <c r="H789" i="142"/>
  <c r="E315" i="142"/>
  <c r="C77" i="142"/>
  <c r="I924" i="142"/>
  <c r="C1087" i="142"/>
  <c r="E1013" i="142"/>
  <c r="L675" i="142"/>
  <c r="I406" i="142"/>
  <c r="D295" i="142"/>
  <c r="F250" i="142"/>
  <c r="G510" i="142"/>
  <c r="E49" i="142"/>
  <c r="L790" i="142"/>
  <c r="F137" i="142"/>
  <c r="F170" i="142"/>
  <c r="F1029" i="142"/>
  <c r="F553" i="142"/>
  <c r="D224" i="142"/>
  <c r="F747" i="142"/>
  <c r="G106" i="142"/>
  <c r="D15" i="142"/>
  <c r="K469" i="142"/>
  <c r="H359" i="142"/>
  <c r="C571" i="142"/>
  <c r="J618" i="142"/>
  <c r="J733" i="142"/>
  <c r="K209" i="142"/>
  <c r="H124" i="142"/>
  <c r="E680" i="142"/>
  <c r="D799" i="142"/>
  <c r="E968" i="142"/>
  <c r="M48" i="142"/>
  <c r="E295" i="142"/>
  <c r="H375" i="142"/>
  <c r="L426" i="142"/>
  <c r="G879" i="142"/>
  <c r="D858" i="142"/>
  <c r="J1137" i="142"/>
  <c r="J1131" i="142"/>
  <c r="D422" i="142"/>
  <c r="L44" i="142"/>
  <c r="E833" i="142"/>
  <c r="K980" i="142"/>
  <c r="D484" i="142"/>
  <c r="M1120" i="142"/>
  <c r="I620" i="142"/>
  <c r="H260" i="142"/>
  <c r="C599" i="142"/>
  <c r="K1005" i="142"/>
  <c r="J225" i="142"/>
  <c r="H92" i="142"/>
  <c r="E594" i="142"/>
  <c r="C373" i="142"/>
  <c r="E13" i="142"/>
  <c r="I731" i="142"/>
  <c r="K1124" i="142"/>
  <c r="F1158" i="142"/>
  <c r="F96" i="142"/>
  <c r="I314" i="142"/>
  <c r="F944" i="142"/>
  <c r="M484" i="142"/>
  <c r="H487" i="142"/>
  <c r="E726" i="142"/>
  <c r="M938" i="142"/>
  <c r="D437" i="142"/>
  <c r="C996" i="142"/>
  <c r="M862" i="142"/>
  <c r="E834" i="142"/>
  <c r="H76" i="142"/>
  <c r="L373" i="142"/>
  <c r="D561" i="142"/>
  <c r="M518" i="142"/>
  <c r="H918" i="142"/>
  <c r="C58" i="142"/>
  <c r="C531" i="142"/>
  <c r="L149" i="142"/>
  <c r="J561" i="142"/>
  <c r="J466" i="142"/>
  <c r="L304" i="142"/>
  <c r="L752" i="142"/>
  <c r="D19" i="142"/>
  <c r="J109" i="142"/>
  <c r="H522" i="142"/>
  <c r="M307" i="142"/>
  <c r="K54" i="142"/>
  <c r="C360" i="142"/>
  <c r="C237" i="142"/>
  <c r="E562" i="142"/>
  <c r="L549" i="142"/>
  <c r="I1066" i="142"/>
  <c r="K440" i="142"/>
  <c r="F528" i="142"/>
  <c r="C729" i="142"/>
  <c r="H726" i="142"/>
  <c r="M31" i="142"/>
  <c r="H1099" i="142"/>
  <c r="J530" i="142"/>
  <c r="D995" i="142"/>
  <c r="H523" i="142"/>
  <c r="F515" i="142"/>
  <c r="J217" i="142"/>
  <c r="F991" i="142"/>
  <c r="H607" i="142"/>
  <c r="K1026" i="142"/>
  <c r="J386" i="142"/>
  <c r="J970" i="142"/>
  <c r="G97" i="142"/>
  <c r="J500" i="142"/>
  <c r="H810" i="142"/>
  <c r="D735" i="142"/>
  <c r="G856" i="142"/>
  <c r="C287" i="142"/>
  <c r="G902" i="142"/>
  <c r="M959" i="142"/>
  <c r="C529" i="142"/>
  <c r="M786" i="142"/>
  <c r="L43" i="142"/>
  <c r="M604" i="142"/>
  <c r="E766" i="142"/>
  <c r="I152" i="142"/>
  <c r="E822" i="142"/>
  <c r="H414" i="142"/>
  <c r="G417" i="142"/>
  <c r="G246" i="142"/>
  <c r="G99" i="142"/>
  <c r="H319" i="142"/>
  <c r="E217" i="142"/>
  <c r="J533" i="142"/>
  <c r="C425" i="142"/>
  <c r="D83" i="142"/>
  <c r="F817" i="142"/>
  <c r="D41" i="142"/>
  <c r="I771" i="142"/>
  <c r="F636" i="142"/>
  <c r="F630" i="142"/>
  <c r="L578" i="142"/>
  <c r="K675" i="142"/>
  <c r="K850" i="142"/>
  <c r="F190" i="142"/>
  <c r="L286" i="142"/>
  <c r="H317" i="142"/>
  <c r="D455" i="142"/>
  <c r="K242" i="142"/>
  <c r="I872" i="142"/>
  <c r="L490" i="142"/>
  <c r="F907" i="142"/>
  <c r="F727" i="142"/>
  <c r="I51" i="142"/>
  <c r="M629" i="142"/>
  <c r="K624" i="142"/>
  <c r="M1133" i="142"/>
  <c r="F612" i="142"/>
  <c r="D354" i="142"/>
  <c r="M421" i="142"/>
  <c r="D109" i="142"/>
  <c r="I542" i="142"/>
  <c r="J552" i="142"/>
  <c r="H366" i="142"/>
  <c r="G164" i="142"/>
  <c r="H807" i="142"/>
  <c r="J913" i="142"/>
  <c r="D925" i="142"/>
  <c r="C238" i="142"/>
  <c r="L358" i="142"/>
  <c r="E763" i="142"/>
  <c r="H599" i="142"/>
  <c r="K284" i="142"/>
  <c r="F653" i="142"/>
  <c r="L104" i="142"/>
  <c r="H959" i="142"/>
  <c r="K302" i="142"/>
  <c r="K480" i="142"/>
  <c r="J195" i="142"/>
  <c r="D261" i="142"/>
  <c r="K859" i="142"/>
  <c r="G751" i="142"/>
  <c r="D512" i="142"/>
  <c r="D1042" i="142"/>
  <c r="L835" i="142"/>
  <c r="I1138" i="142"/>
  <c r="C113" i="142"/>
  <c r="I892" i="142"/>
  <c r="D837" i="142"/>
  <c r="H977" i="142"/>
  <c r="C150" i="142"/>
  <c r="I466" i="142"/>
  <c r="C886" i="142"/>
  <c r="F253" i="142"/>
  <c r="F57" i="142"/>
  <c r="E69" i="142"/>
  <c r="I423" i="142"/>
  <c r="J243" i="142"/>
  <c r="H395" i="142"/>
  <c r="I258" i="142"/>
  <c r="F444" i="142"/>
  <c r="C106" i="142"/>
  <c r="M898" i="142"/>
  <c r="G175" i="142"/>
  <c r="H5" i="142"/>
  <c r="K896" i="142"/>
  <c r="D42" i="142"/>
  <c r="K432" i="142"/>
  <c r="E693" i="142"/>
  <c r="J1053" i="142"/>
  <c r="D1167" i="142"/>
  <c r="I403" i="142"/>
  <c r="F30" i="142"/>
  <c r="G545" i="142"/>
  <c r="D358" i="142"/>
  <c r="F213" i="142"/>
  <c r="I310" i="142"/>
  <c r="C186" i="142"/>
  <c r="L212" i="142"/>
  <c r="C412" i="142"/>
  <c r="D746" i="142"/>
  <c r="J545" i="142"/>
  <c r="H644" i="142"/>
  <c r="M428" i="142"/>
  <c r="F38" i="142"/>
  <c r="H91" i="142"/>
  <c r="D565" i="142"/>
  <c r="H120" i="142"/>
  <c r="H532" i="142"/>
  <c r="G1017" i="142"/>
  <c r="E392" i="142"/>
  <c r="I14" i="142"/>
  <c r="J661" i="142"/>
  <c r="G71" i="142"/>
  <c r="G549" i="142"/>
  <c r="H1035" i="142"/>
  <c r="J19" i="142"/>
  <c r="E438" i="142"/>
  <c r="D345" i="142"/>
  <c r="G357" i="142"/>
  <c r="I351" i="142"/>
  <c r="H1045" i="142"/>
  <c r="K239" i="142"/>
  <c r="G291" i="142"/>
  <c r="E146" i="142"/>
  <c r="K237" i="142"/>
  <c r="G427" i="142"/>
  <c r="I491" i="142"/>
  <c r="G260" i="142"/>
  <c r="D74" i="142"/>
  <c r="D894" i="142"/>
  <c r="L844" i="142"/>
  <c r="H893" i="142"/>
  <c r="H15" i="142"/>
  <c r="D45" i="142"/>
  <c r="L57" i="142"/>
  <c r="E173" i="142"/>
  <c r="M218" i="142"/>
  <c r="D730" i="142"/>
  <c r="L725" i="142"/>
  <c r="G980" i="142"/>
  <c r="C402" i="142"/>
  <c r="K528" i="142"/>
  <c r="G204" i="142"/>
  <c r="E10" i="142"/>
  <c r="D389" i="142"/>
  <c r="F27" i="142"/>
  <c r="C516" i="142"/>
  <c r="J933" i="142"/>
  <c r="M879" i="142"/>
  <c r="E1118" i="142"/>
  <c r="M383" i="142"/>
  <c r="L137" i="142"/>
  <c r="I379" i="142"/>
  <c r="K110" i="142"/>
  <c r="L23" i="142"/>
  <c r="K815" i="142"/>
  <c r="G601" i="142"/>
  <c r="F451" i="142"/>
  <c r="L357" i="142"/>
  <c r="G639" i="142"/>
  <c r="M476" i="142"/>
  <c r="D352" i="142"/>
  <c r="D666" i="142"/>
  <c r="E803" i="142"/>
  <c r="D326" i="142"/>
  <c r="K184" i="142"/>
  <c r="J873" i="142"/>
  <c r="G390" i="142"/>
  <c r="K160" i="142"/>
  <c r="C471" i="142"/>
  <c r="E93" i="142"/>
  <c r="M381" i="142"/>
  <c r="J455" i="142"/>
  <c r="F181" i="142"/>
  <c r="I125" i="142"/>
  <c r="L637" i="142"/>
  <c r="I9" i="142"/>
  <c r="J1151" i="142"/>
  <c r="H815" i="142"/>
  <c r="I862" i="142"/>
  <c r="J759" i="142"/>
  <c r="G350" i="142"/>
  <c r="M512" i="142"/>
  <c r="D257" i="142"/>
  <c r="E887" i="142"/>
  <c r="I625" i="142"/>
  <c r="E195" i="142"/>
  <c r="L693" i="142"/>
  <c r="K11" i="142"/>
  <c r="L296" i="142"/>
  <c r="G849" i="142"/>
  <c r="E691" i="142"/>
  <c r="I18" i="142"/>
  <c r="I501" i="142"/>
  <c r="F1017" i="142"/>
  <c r="C1016" i="142"/>
  <c r="K824" i="142"/>
  <c r="K593" i="142"/>
  <c r="L1108" i="142"/>
  <c r="E1070" i="142"/>
  <c r="G634" i="142"/>
  <c r="K919" i="142"/>
  <c r="E1080" i="142"/>
  <c r="K1053" i="142"/>
  <c r="D581" i="142"/>
  <c r="G501" i="142"/>
  <c r="M241" i="142"/>
  <c r="K398" i="142"/>
  <c r="F1043" i="142"/>
  <c r="I865" i="142"/>
  <c r="K8" i="142"/>
  <c r="D4" i="142"/>
  <c r="K539" i="142"/>
  <c r="E231" i="142"/>
  <c r="L235" i="142"/>
  <c r="C48" i="142"/>
  <c r="F762" i="142"/>
  <c r="C491" i="142"/>
  <c r="D897" i="142"/>
  <c r="I387" i="142"/>
  <c r="M138" i="142"/>
  <c r="L192" i="142"/>
  <c r="L217" i="142"/>
  <c r="K814" i="142"/>
  <c r="K274" i="142"/>
  <c r="J654" i="142"/>
  <c r="E962" i="142"/>
  <c r="F610" i="142"/>
  <c r="I1154" i="142"/>
  <c r="D281" i="142"/>
  <c r="C383" i="142"/>
  <c r="E44" i="142"/>
  <c r="K465" i="142"/>
  <c r="L178" i="142"/>
  <c r="K3" i="142"/>
  <c r="L90" i="142"/>
  <c r="G160" i="142"/>
  <c r="H305" i="142"/>
  <c r="G338" i="142"/>
  <c r="F380" i="142"/>
  <c r="E383" i="142"/>
  <c r="M67" i="142"/>
  <c r="E284" i="142"/>
  <c r="F893" i="142"/>
  <c r="I947" i="142"/>
  <c r="M591" i="142"/>
  <c r="K393" i="142"/>
  <c r="D400" i="142"/>
  <c r="H61" i="142"/>
  <c r="M502" i="142"/>
  <c r="M263" i="142"/>
  <c r="K386" i="142"/>
  <c r="M1047" i="142"/>
  <c r="C127" i="142"/>
  <c r="H254" i="142"/>
  <c r="L1130" i="142"/>
  <c r="H561" i="142"/>
  <c r="E540" i="142"/>
  <c r="J520" i="142"/>
  <c r="E24" i="142"/>
  <c r="L525" i="142"/>
  <c r="C64" i="142"/>
  <c r="E545" i="142"/>
  <c r="I391" i="142"/>
  <c r="E129" i="142"/>
  <c r="J40" i="142"/>
  <c r="C132" i="142"/>
  <c r="D771" i="142"/>
  <c r="C123" i="142"/>
  <c r="H130" i="142"/>
  <c r="L883" i="142"/>
  <c r="K202" i="142"/>
  <c r="I765" i="142"/>
  <c r="J728" i="142"/>
  <c r="M592" i="142"/>
  <c r="I1025" i="142"/>
  <c r="D516" i="142"/>
  <c r="G351" i="142"/>
  <c r="L514" i="142"/>
  <c r="K257" i="142"/>
  <c r="G709" i="142"/>
  <c r="D451" i="142"/>
  <c r="G638" i="142"/>
  <c r="M336" i="142"/>
  <c r="K592" i="142"/>
  <c r="D809" i="142"/>
  <c r="J80" i="142"/>
  <c r="K208" i="142"/>
  <c r="J357" i="142"/>
  <c r="I864" i="142"/>
  <c r="I735" i="142"/>
  <c r="H703" i="142"/>
  <c r="J118" i="142"/>
  <c r="M143" i="142"/>
  <c r="G181" i="142"/>
  <c r="D272" i="142"/>
  <c r="K68" i="142"/>
  <c r="D939" i="142"/>
  <c r="I919" i="142"/>
  <c r="L251" i="142"/>
  <c r="K153" i="142"/>
  <c r="M429" i="142"/>
  <c r="C672" i="142"/>
  <c r="K351" i="142"/>
  <c r="C766" i="142"/>
  <c r="D526" i="142"/>
  <c r="H328" i="142"/>
  <c r="C793" i="142"/>
  <c r="L698" i="142"/>
  <c r="L146" i="142"/>
  <c r="D755" i="142"/>
  <c r="D634" i="142"/>
  <c r="H297" i="142"/>
  <c r="I417" i="142"/>
  <c r="K726" i="142"/>
  <c r="M168" i="142"/>
  <c r="G641" i="142"/>
  <c r="L630" i="142"/>
  <c r="K380" i="142"/>
  <c r="E35" i="142"/>
  <c r="L198" i="142"/>
  <c r="F204" i="142"/>
  <c r="I640" i="142"/>
  <c r="F785" i="142"/>
  <c r="F37" i="142"/>
  <c r="F358" i="142"/>
  <c r="E773" i="142"/>
  <c r="L309" i="142"/>
  <c r="I964" i="142"/>
  <c r="I350" i="142"/>
  <c r="C543" i="142"/>
  <c r="G619" i="142"/>
  <c r="G197" i="142"/>
  <c r="L986" i="142"/>
  <c r="F362" i="142"/>
  <c r="E563" i="142"/>
  <c r="J123" i="142"/>
  <c r="J1105" i="142"/>
  <c r="J898" i="142"/>
  <c r="J796" i="142"/>
  <c r="G969" i="142"/>
  <c r="H247" i="142"/>
  <c r="E861" i="142"/>
  <c r="G834" i="142"/>
  <c r="F560" i="142"/>
  <c r="K354" i="142"/>
  <c r="M179" i="142"/>
  <c r="G652" i="142"/>
  <c r="I388" i="142"/>
  <c r="C254" i="142"/>
  <c r="F316" i="142"/>
  <c r="J24" i="142"/>
  <c r="M351" i="142"/>
  <c r="C424" i="142"/>
  <c r="L536" i="142"/>
  <c r="J529" i="142"/>
  <c r="C25" i="142"/>
  <c r="E426" i="142"/>
  <c r="H662" i="142"/>
  <c r="G468" i="142"/>
  <c r="E87" i="142"/>
  <c r="D289" i="142"/>
  <c r="D87" i="142"/>
  <c r="C913" i="142"/>
  <c r="C410" i="142"/>
  <c r="L409" i="142"/>
  <c r="C1026" i="142"/>
  <c r="F639" i="142"/>
  <c r="D465" i="142"/>
  <c r="F414" i="142"/>
  <c r="G382" i="142"/>
  <c r="K805" i="142"/>
  <c r="C76" i="142"/>
  <c r="H771" i="142"/>
  <c r="C569" i="142"/>
  <c r="F925" i="142"/>
  <c r="J268" i="142"/>
  <c r="F321" i="142"/>
  <c r="G842" i="142"/>
  <c r="M677" i="142"/>
  <c r="I425" i="142"/>
  <c r="J660" i="142"/>
  <c r="C21" i="142"/>
  <c r="D33" i="142"/>
  <c r="F1102" i="142"/>
  <c r="C707" i="142"/>
  <c r="E483" i="142"/>
  <c r="K759" i="142"/>
  <c r="F489" i="142"/>
  <c r="I215" i="142"/>
  <c r="J479" i="142"/>
  <c r="E43" i="142"/>
  <c r="I682" i="142"/>
  <c r="H841" i="142"/>
  <c r="I73" i="142"/>
  <c r="J763" i="142"/>
  <c r="I875" i="142"/>
  <c r="G239" i="142"/>
  <c r="K349" i="142"/>
  <c r="K756" i="142"/>
  <c r="L154" i="142"/>
  <c r="L276" i="142"/>
  <c r="K370" i="142"/>
  <c r="G391" i="142"/>
  <c r="J273" i="142"/>
  <c r="J34" i="142"/>
  <c r="E611" i="142"/>
  <c r="L710" i="142"/>
  <c r="E106" i="142"/>
  <c r="F579" i="142"/>
  <c r="I935" i="142"/>
  <c r="C637" i="142"/>
  <c r="F77" i="142"/>
  <c r="K268" i="142"/>
  <c r="H114" i="142"/>
  <c r="D237" i="142"/>
  <c r="E748" i="142"/>
  <c r="I513" i="142"/>
  <c r="K527" i="142"/>
  <c r="C623" i="142"/>
  <c r="J341" i="142"/>
  <c r="G406" i="142"/>
  <c r="G429" i="142"/>
  <c r="L285" i="142"/>
  <c r="F631" i="142"/>
  <c r="G637" i="142"/>
  <c r="D738" i="142"/>
  <c r="K235" i="142"/>
  <c r="I498" i="142"/>
  <c r="J1029" i="142"/>
  <c r="F352" i="142"/>
  <c r="H78" i="142"/>
  <c r="D165" i="142"/>
  <c r="E425" i="142"/>
  <c r="D929" i="142"/>
  <c r="K45" i="142"/>
  <c r="F1091" i="142"/>
  <c r="H35" i="142"/>
  <c r="D538" i="142"/>
  <c r="L269" i="142"/>
  <c r="G733" i="142"/>
  <c r="C708" i="142"/>
  <c r="G552" i="142"/>
  <c r="M660" i="142"/>
  <c r="E393" i="142"/>
  <c r="M899" i="142"/>
  <c r="K277" i="142"/>
  <c r="I239" i="142"/>
  <c r="D714" i="142"/>
  <c r="E747" i="142"/>
  <c r="D860" i="142"/>
  <c r="D381" i="142"/>
  <c r="C583" i="142"/>
  <c r="K916" i="142"/>
  <c r="G327" i="142"/>
  <c r="E851" i="142"/>
  <c r="L542" i="142"/>
  <c r="M14" i="142"/>
  <c r="G238" i="142"/>
  <c r="K34" i="142"/>
  <c r="G311" i="142"/>
  <c r="F552" i="142"/>
  <c r="J875" i="142"/>
  <c r="J1054" i="142"/>
  <c r="H59" i="142"/>
  <c r="E496" i="142"/>
  <c r="L422" i="142"/>
  <c r="H102" i="142"/>
  <c r="M764" i="142"/>
  <c r="G506" i="142"/>
  <c r="I576" i="142"/>
  <c r="E236" i="142"/>
  <c r="H1056" i="142"/>
  <c r="E274" i="142"/>
  <c r="K423" i="142"/>
  <c r="E38" i="142"/>
  <c r="K694" i="142"/>
  <c r="G374" i="142"/>
  <c r="F43" i="142"/>
  <c r="C508" i="142"/>
  <c r="M446" i="142"/>
  <c r="G463" i="142"/>
  <c r="K533" i="142"/>
  <c r="K732" i="142"/>
  <c r="E550" i="142"/>
  <c r="D682" i="142"/>
  <c r="D176" i="142"/>
  <c r="D590" i="142"/>
  <c r="L489" i="142"/>
  <c r="J445" i="142"/>
  <c r="E760" i="142"/>
  <c r="D17" i="142"/>
  <c r="L195" i="142"/>
  <c r="G1060" i="142"/>
  <c r="G650" i="142"/>
  <c r="D461" i="142"/>
  <c r="L125" i="142"/>
  <c r="M319" i="142"/>
  <c r="C754" i="142"/>
  <c r="G698" i="142"/>
  <c r="K497" i="142"/>
  <c r="F878" i="142"/>
  <c r="I163" i="142"/>
  <c r="I211" i="142"/>
  <c r="E411" i="142"/>
  <c r="I574" i="142"/>
  <c r="G248" i="142"/>
  <c r="M958" i="142"/>
  <c r="H186" i="142"/>
  <c r="F91" i="142"/>
  <c r="L866" i="142"/>
  <c r="I516" i="142"/>
  <c r="K994" i="142"/>
  <c r="M136" i="142"/>
  <c r="L264" i="142"/>
  <c r="K294" i="142"/>
  <c r="C503" i="142"/>
  <c r="H103" i="142"/>
  <c r="G40" i="142"/>
  <c r="D140" i="142"/>
  <c r="H235" i="142"/>
  <c r="F271" i="142"/>
  <c r="G196" i="142"/>
  <c r="C185" i="142"/>
  <c r="J513" i="142"/>
  <c r="M725" i="142"/>
  <c r="E105" i="142"/>
  <c r="D191" i="142"/>
  <c r="L351" i="142"/>
  <c r="L58" i="142"/>
  <c r="H633" i="142"/>
  <c r="K362" i="142"/>
  <c r="H273" i="142"/>
  <c r="F567" i="142"/>
  <c r="L606" i="142"/>
  <c r="E590" i="142"/>
  <c r="D679" i="142"/>
  <c r="E857" i="142"/>
  <c r="I721" i="142"/>
  <c r="E304" i="142"/>
  <c r="F1099" i="142"/>
  <c r="F294" i="142"/>
  <c r="C567" i="142"/>
  <c r="H512" i="142"/>
  <c r="F822" i="142"/>
  <c r="F398" i="142"/>
  <c r="F973" i="142"/>
  <c r="K935" i="142"/>
  <c r="M808" i="142"/>
  <c r="J1167" i="142"/>
  <c r="F513" i="142"/>
  <c r="I766" i="142"/>
  <c r="J829" i="142"/>
  <c r="C429" i="142"/>
  <c r="K1036" i="142"/>
  <c r="L846" i="142"/>
  <c r="C345" i="142"/>
  <c r="L404" i="142"/>
  <c r="G715" i="142"/>
  <c r="L809" i="142"/>
  <c r="G110" i="142"/>
  <c r="I337" i="142"/>
  <c r="D213" i="142"/>
  <c r="H466" i="142"/>
  <c r="I871" i="142"/>
  <c r="K166" i="142"/>
  <c r="L265" i="142"/>
  <c r="J1166" i="142"/>
  <c r="D184" i="142"/>
  <c r="H848" i="142"/>
  <c r="G914" i="142"/>
  <c r="I549" i="142"/>
  <c r="J410" i="142"/>
  <c r="E809" i="142"/>
  <c r="E561" i="142"/>
  <c r="C40" i="142"/>
  <c r="K267" i="142"/>
  <c r="D96" i="142"/>
  <c r="J226" i="142"/>
  <c r="E413" i="142"/>
  <c r="H505" i="142"/>
  <c r="K452" i="142"/>
  <c r="J340" i="142"/>
  <c r="H167" i="142"/>
  <c r="K530" i="142"/>
  <c r="C337" i="142"/>
  <c r="E466" i="142"/>
  <c r="F512" i="142"/>
  <c r="M273" i="142"/>
  <c r="E116" i="142"/>
  <c r="F659" i="142"/>
  <c r="C742" i="142"/>
  <c r="G186" i="142"/>
  <c r="E843" i="142"/>
  <c r="H562" i="142"/>
  <c r="H856" i="142"/>
  <c r="H332" i="142"/>
  <c r="H709" i="142"/>
  <c r="L181" i="142"/>
  <c r="I415" i="142"/>
  <c r="I723" i="142"/>
  <c r="C979" i="142"/>
  <c r="I741" i="142"/>
  <c r="M204" i="142"/>
  <c r="D22" i="142"/>
  <c r="M900" i="142"/>
  <c r="J615" i="142"/>
  <c r="M492" i="142"/>
  <c r="E979" i="142"/>
  <c r="H406" i="142"/>
  <c r="J983" i="142"/>
  <c r="I241" i="142"/>
  <c r="H449" i="142"/>
  <c r="G762" i="142"/>
  <c r="G447" i="142"/>
  <c r="E524" i="142"/>
  <c r="F493" i="142"/>
  <c r="M140" i="142"/>
  <c r="J653" i="142"/>
  <c r="F397" i="142"/>
  <c r="J932" i="142"/>
  <c r="L686" i="142"/>
  <c r="I487" i="142"/>
  <c r="M170" i="142"/>
  <c r="J321" i="142"/>
  <c r="M50" i="142"/>
  <c r="G483" i="142"/>
  <c r="G809" i="142"/>
  <c r="F430" i="142"/>
  <c r="L105" i="142"/>
  <c r="M423" i="142"/>
  <c r="H913" i="142"/>
  <c r="F782" i="142"/>
  <c r="L615" i="142"/>
  <c r="H1152" i="142"/>
  <c r="E154" i="142"/>
  <c r="K109" i="142"/>
  <c r="J522" i="142"/>
  <c r="D429" i="142"/>
  <c r="L624" i="142"/>
  <c r="E604" i="142"/>
  <c r="C209" i="142"/>
  <c r="H439" i="142"/>
  <c r="H423" i="142"/>
  <c r="C683" i="142"/>
  <c r="I810" i="142"/>
  <c r="F571" i="142"/>
  <c r="L564" i="142"/>
  <c r="D334" i="142"/>
  <c r="C397" i="142"/>
  <c r="J14" i="142"/>
  <c r="M768" i="142"/>
  <c r="G560" i="142"/>
  <c r="H1088" i="142"/>
  <c r="J90" i="142"/>
  <c r="L107" i="142"/>
  <c r="D520" i="142"/>
  <c r="M772" i="142"/>
  <c r="M999" i="142"/>
  <c r="D804" i="142"/>
  <c r="H999" i="142"/>
  <c r="E472" i="142"/>
  <c r="E629" i="142"/>
  <c r="E401" i="142"/>
  <c r="M389" i="142"/>
  <c r="H113" i="142"/>
  <c r="E258" i="142"/>
  <c r="E582" i="142"/>
  <c r="L735" i="142"/>
  <c r="K260" i="142"/>
  <c r="C250" i="142"/>
  <c r="D472" i="142"/>
  <c r="I928" i="142"/>
  <c r="E1082" i="142"/>
  <c r="C584" i="142"/>
  <c r="D763" i="142"/>
  <c r="D585" i="142"/>
  <c r="D802" i="142"/>
  <c r="I839" i="142"/>
  <c r="L193" i="142"/>
  <c r="D29" i="142"/>
  <c r="K84" i="142"/>
  <c r="H455" i="142"/>
  <c r="F417" i="142"/>
  <c r="I273" i="142"/>
  <c r="F969" i="142"/>
  <c r="M765" i="142"/>
  <c r="F979" i="142"/>
  <c r="F1067" i="142"/>
  <c r="M113" i="142"/>
  <c r="M585" i="142"/>
  <c r="E666" i="142"/>
  <c r="I77" i="142"/>
  <c r="L40" i="142"/>
  <c r="H431" i="142"/>
  <c r="C1014" i="142"/>
  <c r="H55" i="142"/>
  <c r="K507" i="142"/>
  <c r="C497" i="142"/>
  <c r="K417" i="142"/>
  <c r="M414" i="142"/>
  <c r="J335" i="142"/>
  <c r="E170" i="142"/>
  <c r="M750" i="142"/>
  <c r="K329" i="142"/>
  <c r="G874" i="142"/>
  <c r="M197" i="142"/>
  <c r="K243" i="142"/>
  <c r="C442" i="142"/>
  <c r="K97" i="142"/>
  <c r="L376" i="142"/>
  <c r="C198" i="142"/>
  <c r="H681" i="142"/>
  <c r="L317" i="142"/>
  <c r="F404" i="142"/>
  <c r="L634" i="142"/>
  <c r="G442" i="142"/>
  <c r="E279" i="142"/>
  <c r="D535" i="142"/>
  <c r="L115" i="142"/>
  <c r="M285" i="142"/>
  <c r="I30" i="142"/>
  <c r="K148" i="142"/>
  <c r="D269" i="142"/>
  <c r="H160" i="142"/>
  <c r="J507" i="142"/>
  <c r="K261" i="142"/>
  <c r="C365" i="142"/>
  <c r="H156" i="142"/>
  <c r="C476" i="142"/>
  <c r="F680" i="142"/>
  <c r="K141" i="142"/>
  <c r="E435" i="142"/>
  <c r="K927" i="142"/>
  <c r="F529" i="142"/>
  <c r="H164" i="142"/>
  <c r="E601" i="142"/>
  <c r="M272" i="142"/>
  <c r="M55" i="142"/>
  <c r="H1006" i="142"/>
  <c r="L500" i="142"/>
  <c r="G254" i="142"/>
  <c r="H768" i="142"/>
  <c r="H657" i="142"/>
  <c r="J289" i="142"/>
  <c r="G796" i="142"/>
  <c r="J1148" i="142"/>
  <c r="D607" i="142"/>
  <c r="C54" i="142"/>
  <c r="C1100" i="142"/>
  <c r="M876" i="142"/>
  <c r="M259" i="142"/>
  <c r="H232" i="142"/>
  <c r="H327" i="142"/>
  <c r="J74" i="142"/>
  <c r="F587" i="142"/>
  <c r="M264" i="142"/>
  <c r="H8" i="142"/>
  <c r="F285" i="142"/>
  <c r="G397" i="142"/>
  <c r="F175" i="142"/>
  <c r="H389" i="142"/>
  <c r="E1157" i="142"/>
  <c r="E1114" i="142"/>
  <c r="E663" i="142"/>
  <c r="J629" i="142"/>
  <c r="K310" i="142"/>
  <c r="M527" i="142"/>
  <c r="K1003" i="142"/>
  <c r="H245" i="142"/>
  <c r="J1101" i="142"/>
  <c r="L683" i="142"/>
  <c r="J287" i="142"/>
  <c r="M232" i="142"/>
  <c r="E668" i="142"/>
  <c r="G122" i="142"/>
  <c r="L893" i="142"/>
  <c r="G339" i="142"/>
  <c r="G474" i="142"/>
  <c r="J781" i="142"/>
  <c r="F184" i="142"/>
  <c r="J309" i="142"/>
  <c r="K642" i="142"/>
  <c r="K648" i="142"/>
  <c r="K736" i="142"/>
  <c r="G60" i="142"/>
  <c r="G1147" i="142"/>
  <c r="K822" i="142"/>
  <c r="J227" i="142"/>
  <c r="L1154" i="142"/>
  <c r="E699" i="142"/>
  <c r="L352" i="142"/>
  <c r="H658" i="142"/>
  <c r="E337" i="142"/>
  <c r="L972" i="142"/>
  <c r="L559" i="142"/>
  <c r="K711" i="142"/>
  <c r="L303" i="142"/>
  <c r="E288" i="142"/>
  <c r="I553" i="142"/>
  <c r="C737" i="142"/>
  <c r="K854" i="142"/>
  <c r="D73" i="142"/>
  <c r="H714" i="142"/>
  <c r="I521" i="142"/>
  <c r="F955" i="142"/>
  <c r="M284" i="142"/>
  <c r="G758" i="142"/>
  <c r="D656" i="142"/>
  <c r="L445" i="142"/>
  <c r="K540" i="142"/>
  <c r="F439" i="142"/>
  <c r="J378" i="142"/>
  <c r="C498" i="142"/>
  <c r="H433" i="142"/>
  <c r="G766" i="142"/>
  <c r="I580" i="142"/>
  <c r="J883" i="142"/>
  <c r="J46" i="142"/>
  <c r="J182" i="142"/>
  <c r="G80" i="142"/>
  <c r="J634" i="142"/>
  <c r="M885" i="142"/>
  <c r="H52" i="142"/>
  <c r="L21" i="142"/>
  <c r="L119" i="142"/>
  <c r="H896" i="142"/>
  <c r="C1042" i="142"/>
  <c r="K799" i="142"/>
  <c r="I107" i="142"/>
  <c r="G398" i="142"/>
  <c r="K907" i="142"/>
  <c r="C167" i="142"/>
  <c r="H601" i="142"/>
  <c r="K214" i="142"/>
  <c r="K117" i="142"/>
  <c r="L904" i="142"/>
  <c r="H598" i="142"/>
  <c r="D487" i="142"/>
  <c r="L1105" i="142"/>
  <c r="L494" i="142"/>
  <c r="I89" i="142"/>
  <c r="L213" i="142"/>
  <c r="G1083" i="142"/>
  <c r="H622" i="142"/>
  <c r="H90" i="142"/>
  <c r="L330" i="142"/>
  <c r="E308" i="142"/>
  <c r="G590" i="142"/>
  <c r="L112" i="142"/>
  <c r="H456" i="142"/>
  <c r="G643" i="142"/>
  <c r="E122" i="142"/>
  <c r="E256" i="142"/>
  <c r="L172" i="142"/>
  <c r="K866" i="142"/>
  <c r="G325" i="142"/>
  <c r="D21" i="142"/>
  <c r="E395" i="142"/>
  <c r="M391" i="142"/>
  <c r="C353" i="142"/>
  <c r="C618" i="142"/>
  <c r="D658" i="142"/>
  <c r="E778" i="142"/>
  <c r="J228" i="142"/>
  <c r="E216" i="142"/>
  <c r="L1114" i="142"/>
  <c r="K401" i="142"/>
  <c r="E83" i="142"/>
  <c r="D301" i="142"/>
  <c r="I659" i="142"/>
  <c r="L233" i="142"/>
  <c r="F492" i="142"/>
  <c r="J973" i="142"/>
  <c r="H652" i="142"/>
  <c r="C256" i="142"/>
  <c r="H724" i="142"/>
  <c r="E541" i="142"/>
  <c r="I1120" i="142"/>
  <c r="C389" i="142"/>
  <c r="D11" i="142"/>
  <c r="K605" i="142"/>
  <c r="L771" i="142"/>
  <c r="D857" i="142"/>
  <c r="G555" i="142"/>
  <c r="H816" i="142"/>
  <c r="C73" i="142"/>
  <c r="D688" i="142"/>
  <c r="K92" i="142"/>
  <c r="L302" i="142"/>
  <c r="D560" i="142"/>
  <c r="H666" i="142"/>
  <c r="H326" i="142"/>
  <c r="I150" i="142"/>
  <c r="M378" i="142"/>
  <c r="J1081" i="142"/>
  <c r="H177" i="142"/>
  <c r="G1076" i="142"/>
  <c r="C596" i="142"/>
  <c r="F467" i="142"/>
  <c r="F908" i="142"/>
  <c r="D232" i="142"/>
  <c r="E446" i="142"/>
  <c r="G705" i="142"/>
  <c r="J799" i="142"/>
  <c r="F1104" i="142"/>
  <c r="C921" i="142"/>
  <c r="D359" i="142"/>
  <c r="I694" i="142"/>
  <c r="K691" i="142"/>
  <c r="I35" i="142"/>
  <c r="M382" i="142"/>
  <c r="F42" i="142"/>
  <c r="M228" i="142"/>
  <c r="C1126" i="142"/>
  <c r="K377" i="142"/>
  <c r="H473" i="142"/>
  <c r="G1089" i="142"/>
  <c r="H365" i="142"/>
  <c r="L128" i="142"/>
  <c r="K4" i="142"/>
  <c r="J71" i="142"/>
  <c r="F623" i="142"/>
  <c r="D314" i="142"/>
  <c r="D874" i="142"/>
  <c r="G70" i="142"/>
  <c r="M121" i="142"/>
  <c r="F742" i="142"/>
  <c r="L35" i="142"/>
  <c r="K176" i="142"/>
  <c r="H370" i="142"/>
  <c r="J323" i="142"/>
  <c r="M251" i="142"/>
  <c r="C225" i="142"/>
  <c r="M589" i="142"/>
  <c r="C5" i="142"/>
  <c r="C715" i="142"/>
  <c r="H278" i="142"/>
  <c r="E526" i="142"/>
  <c r="M39" i="142"/>
  <c r="G354" i="142"/>
  <c r="L210" i="142"/>
  <c r="H42" i="142"/>
  <c r="D1011" i="142"/>
  <c r="J133" i="142"/>
  <c r="J294" i="142"/>
  <c r="K852" i="142"/>
  <c r="L75" i="142"/>
  <c r="M169" i="142"/>
  <c r="G632" i="142"/>
  <c r="L566" i="142"/>
  <c r="H226" i="142"/>
  <c r="E485" i="142"/>
  <c r="C312" i="142"/>
  <c r="J782" i="142"/>
  <c r="F548" i="142"/>
  <c r="E421" i="142"/>
  <c r="M7" i="142"/>
  <c r="I76" i="142"/>
  <c r="C85" i="142"/>
  <c r="D826" i="142"/>
  <c r="H108" i="142"/>
  <c r="J37" i="142"/>
  <c r="K775" i="142"/>
  <c r="J539" i="142"/>
  <c r="J11" i="142"/>
  <c r="M675" i="142"/>
  <c r="L516" i="142"/>
  <c r="F599" i="142"/>
  <c r="J1128" i="142"/>
  <c r="M807" i="142"/>
  <c r="L1078" i="142"/>
  <c r="G770" i="142"/>
  <c r="G754" i="142"/>
  <c r="F234" i="142"/>
  <c r="M814" i="142"/>
  <c r="J918" i="142"/>
  <c r="C1120" i="142"/>
  <c r="K596" i="142"/>
  <c r="L417" i="142"/>
  <c r="L46" i="142"/>
  <c r="J453" i="142"/>
  <c r="E156" i="142"/>
  <c r="M567" i="142"/>
  <c r="C220" i="142"/>
  <c r="K149" i="142"/>
  <c r="J117" i="142"/>
  <c r="D427" i="142"/>
  <c r="I957" i="142"/>
  <c r="K124" i="142"/>
  <c r="C954" i="142"/>
  <c r="F706" i="142"/>
  <c r="G1125" i="142"/>
  <c r="D832" i="142"/>
  <c r="J562" i="142"/>
  <c r="J57" i="142"/>
  <c r="I886" i="142"/>
  <c r="G833" i="142"/>
  <c r="E886" i="142"/>
  <c r="D534" i="142"/>
  <c r="M566" i="142"/>
  <c r="J675" i="142"/>
  <c r="H1078" i="142"/>
  <c r="E786" i="142"/>
  <c r="K748" i="142"/>
  <c r="G455" i="142"/>
  <c r="D747" i="142"/>
  <c r="F882" i="142"/>
  <c r="M300" i="142"/>
  <c r="E15" i="142"/>
  <c r="J762" i="142"/>
  <c r="I998" i="142"/>
  <c r="D28" i="142"/>
  <c r="M742" i="142"/>
  <c r="D1054" i="142"/>
  <c r="G206" i="142"/>
  <c r="J570" i="142"/>
  <c r="I463" i="142"/>
  <c r="J362" i="142"/>
  <c r="L143" i="142"/>
  <c r="G792" i="142"/>
  <c r="M172" i="142"/>
  <c r="J262" i="142"/>
  <c r="C928" i="142"/>
  <c r="G622" i="142"/>
  <c r="G689" i="142"/>
  <c r="K652" i="142"/>
  <c r="M249" i="142"/>
  <c r="M49" i="142"/>
  <c r="M20" i="142"/>
  <c r="G635" i="142"/>
  <c r="M47" i="142"/>
  <c r="I455" i="142"/>
  <c r="K993" i="142"/>
  <c r="H265" i="142"/>
  <c r="G7" i="142"/>
  <c r="L481" i="142"/>
  <c r="G557" i="142"/>
  <c r="F392" i="142"/>
  <c r="F389" i="142"/>
  <c r="E204" i="142"/>
  <c r="K510" i="142"/>
  <c r="D294" i="142"/>
  <c r="K300" i="142"/>
  <c r="M266" i="142"/>
  <c r="K161" i="142"/>
  <c r="D783" i="142"/>
  <c r="C633" i="142"/>
  <c r="F105" i="142"/>
  <c r="G128" i="142"/>
  <c r="K419" i="142"/>
  <c r="H147" i="142"/>
  <c r="I758" i="142"/>
  <c r="L601" i="142"/>
  <c r="E586" i="142"/>
  <c r="H469" i="142"/>
  <c r="M375" i="142"/>
  <c r="H593" i="142"/>
  <c r="E267" i="142"/>
  <c r="F302" i="142"/>
  <c r="L47" i="142"/>
  <c r="C756" i="142"/>
  <c r="E1095" i="142"/>
  <c r="I481" i="142"/>
  <c r="M431" i="142"/>
  <c r="E1040" i="142"/>
  <c r="G312" i="142"/>
  <c r="L580" i="142"/>
  <c r="G222" i="142"/>
  <c r="E285" i="142"/>
  <c r="G231" i="142"/>
  <c r="H348" i="142"/>
  <c r="H133" i="142"/>
  <c r="L101" i="142"/>
  <c r="K794" i="142"/>
  <c r="I383" i="142"/>
  <c r="L372" i="142"/>
  <c r="M455" i="142"/>
  <c r="J554" i="142"/>
  <c r="H734" i="142"/>
  <c r="I438" i="142"/>
  <c r="F236" i="142"/>
  <c r="F309" i="142"/>
  <c r="C650" i="142"/>
  <c r="L461" i="142"/>
  <c r="G230" i="142"/>
  <c r="M283" i="142"/>
  <c r="J343" i="142"/>
  <c r="D791" i="142"/>
  <c r="E354" i="142"/>
  <c r="C339" i="142"/>
  <c r="I242" i="142"/>
  <c r="E100" i="142"/>
  <c r="C60" i="142"/>
  <c r="G298" i="142"/>
  <c r="G1025" i="142"/>
  <c r="G179" i="142"/>
  <c r="L749" i="142"/>
  <c r="J485" i="142"/>
  <c r="D499" i="142"/>
  <c r="G917" i="142"/>
  <c r="M773" i="142"/>
  <c r="C534" i="142"/>
  <c r="G28" i="142"/>
  <c r="J254" i="142"/>
  <c r="D263" i="142"/>
  <c r="I551" i="142"/>
  <c r="K798" i="142"/>
  <c r="H105" i="142"/>
  <c r="G491" i="142"/>
  <c r="M72" i="142"/>
  <c r="D58" i="142"/>
  <c r="M132" i="142"/>
  <c r="F210" i="142"/>
  <c r="M230" i="142"/>
  <c r="J450" i="142"/>
  <c r="J13" i="142"/>
  <c r="I412" i="142"/>
  <c r="L410" i="142"/>
  <c r="I663" i="142"/>
  <c r="I193" i="142"/>
  <c r="D14" i="142"/>
  <c r="C350" i="142"/>
  <c r="M278" i="142"/>
  <c r="F314" i="142"/>
  <c r="C997" i="142"/>
  <c r="F289" i="142"/>
  <c r="J55" i="142"/>
  <c r="F209" i="142"/>
  <c r="M119" i="142"/>
  <c r="L54" i="142"/>
  <c r="H168" i="142"/>
  <c r="K797" i="142"/>
  <c r="F51" i="142"/>
  <c r="D231" i="142"/>
  <c r="I118" i="142"/>
  <c r="I1035" i="142"/>
  <c r="F642" i="142"/>
  <c r="J322" i="142"/>
  <c r="C188" i="142"/>
  <c r="G514" i="142"/>
  <c r="I370" i="142"/>
  <c r="H306" i="142"/>
  <c r="E322" i="142"/>
  <c r="G520" i="142"/>
  <c r="C648" i="142"/>
  <c r="C931" i="142"/>
  <c r="M328" i="142"/>
  <c r="F487" i="142"/>
  <c r="F411" i="142"/>
  <c r="K438" i="142"/>
  <c r="H811" i="142"/>
  <c r="L229" i="142"/>
  <c r="D428" i="142"/>
  <c r="D1026" i="142"/>
  <c r="F892" i="142"/>
  <c r="C837" i="142"/>
  <c r="K700" i="142"/>
  <c r="D866" i="142"/>
  <c r="F258" i="142"/>
  <c r="D201" i="142"/>
  <c r="C36" i="142"/>
  <c r="J282" i="142"/>
  <c r="G1055" i="142"/>
  <c r="I782" i="142"/>
  <c r="I180" i="142"/>
  <c r="K855" i="142"/>
  <c r="F194" i="142"/>
  <c r="K541" i="142"/>
  <c r="F779" i="142"/>
  <c r="H939" i="142"/>
  <c r="L124" i="142"/>
  <c r="H13" i="142"/>
  <c r="H457" i="142"/>
  <c r="G703" i="142"/>
  <c r="L824" i="142"/>
  <c r="I433" i="142"/>
  <c r="I34" i="142"/>
  <c r="G36" i="142"/>
  <c r="L171" i="142"/>
  <c r="D514" i="142"/>
  <c r="F75" i="142"/>
  <c r="L450" i="142"/>
  <c r="I479" i="142"/>
  <c r="F26" i="142"/>
  <c r="D37" i="142"/>
  <c r="K119" i="142"/>
  <c r="E617" i="142"/>
  <c r="E494" i="142"/>
  <c r="H786" i="142"/>
  <c r="G159" i="142"/>
  <c r="G132" i="142"/>
  <c r="M333" i="142"/>
  <c r="L932" i="142"/>
  <c r="G11" i="142"/>
  <c r="M656" i="142"/>
  <c r="F101" i="142"/>
  <c r="K546" i="142"/>
  <c r="G138" i="142"/>
  <c r="D179" i="142"/>
  <c r="J821" i="142"/>
  <c r="C219" i="142"/>
  <c r="L226" i="142"/>
  <c r="G583" i="142"/>
  <c r="M127" i="142"/>
  <c r="D102" i="142"/>
  <c r="H277" i="142"/>
  <c r="K425" i="142"/>
  <c r="C308" i="142"/>
  <c r="F735" i="142"/>
  <c r="H720" i="142"/>
  <c r="L727" i="142"/>
  <c r="C372" i="142"/>
  <c r="H639" i="142"/>
  <c r="G756" i="142"/>
  <c r="E571" i="142"/>
  <c r="H48" i="142"/>
  <c r="G208" i="142"/>
  <c r="M1054" i="142"/>
  <c r="G578" i="142"/>
  <c r="D660" i="142"/>
  <c r="D355" i="142"/>
  <c r="F269" i="142"/>
  <c r="J514" i="142"/>
  <c r="K695" i="142"/>
  <c r="H605" i="142"/>
  <c r="C1001" i="142"/>
  <c r="J336" i="142"/>
  <c r="F20" i="142"/>
  <c r="D177" i="142"/>
  <c r="D704" i="142"/>
  <c r="L598" i="142"/>
  <c r="I420" i="142"/>
  <c r="J770" i="142"/>
  <c r="D1039" i="142"/>
  <c r="C216" i="142"/>
  <c r="K320" i="142"/>
  <c r="D304" i="142"/>
  <c r="K968" i="142"/>
  <c r="F68" i="142"/>
  <c r="F136" i="142"/>
  <c r="C1079" i="142"/>
  <c r="J409" i="142"/>
  <c r="J193" i="142"/>
  <c r="I565" i="142"/>
  <c r="E1097" i="142"/>
  <c r="M521" i="142"/>
  <c r="M530" i="142"/>
  <c r="H216" i="142"/>
  <c r="J233" i="142"/>
  <c r="J434" i="142"/>
  <c r="G794" i="142"/>
  <c r="C165" i="142"/>
  <c r="K5" i="142"/>
  <c r="M62" i="142"/>
  <c r="J468" i="142"/>
  <c r="F381" i="142"/>
  <c r="L722" i="142"/>
  <c r="H578" i="142"/>
  <c r="K427" i="142"/>
  <c r="K264" i="142"/>
  <c r="J41" i="142"/>
  <c r="C388" i="142"/>
  <c r="H285" i="142"/>
  <c r="L605" i="142"/>
  <c r="K917" i="142"/>
  <c r="F468" i="142"/>
  <c r="F208" i="142"/>
  <c r="G444" i="142"/>
  <c r="K281" i="142"/>
  <c r="H766" i="142"/>
  <c r="C815" i="142"/>
  <c r="J443" i="142"/>
  <c r="H106" i="142"/>
  <c r="C382" i="142"/>
  <c r="G666" i="142"/>
  <c r="I602" i="142"/>
  <c r="H198" i="142"/>
  <c r="M279" i="142"/>
  <c r="E108" i="142"/>
  <c r="G475" i="142"/>
  <c r="M710" i="142"/>
  <c r="L190" i="142"/>
  <c r="E1024" i="142"/>
  <c r="G142" i="142"/>
  <c r="G151" i="142"/>
  <c r="M481" i="142"/>
  <c r="L434" i="142"/>
  <c r="G242" i="142"/>
  <c r="G343" i="142"/>
  <c r="H597" i="142"/>
  <c r="J281" i="142"/>
  <c r="C169" i="142"/>
  <c r="E366" i="142"/>
  <c r="F859" i="142"/>
  <c r="E538" i="142"/>
  <c r="I618" i="142"/>
  <c r="C328" i="142"/>
  <c r="H65" i="142"/>
  <c r="C103" i="142"/>
  <c r="F326" i="142"/>
  <c r="I83" i="142"/>
  <c r="M1127" i="142"/>
  <c r="F4" i="142"/>
  <c r="K1068" i="142"/>
  <c r="H773" i="142"/>
  <c r="L1022" i="142"/>
  <c r="E703" i="142"/>
  <c r="M222" i="142"/>
  <c r="D748" i="142"/>
  <c r="I526" i="142"/>
  <c r="K190" i="142"/>
  <c r="I847" i="142"/>
  <c r="G422" i="142"/>
  <c r="L543" i="142"/>
  <c r="C608" i="142"/>
  <c r="D678" i="142"/>
  <c r="C379" i="142"/>
  <c r="E214" i="142"/>
  <c r="K535" i="142"/>
  <c r="F520" i="142"/>
  <c r="F902" i="142"/>
  <c r="L707" i="142"/>
  <c r="C832" i="142"/>
  <c r="K118" i="142"/>
  <c r="G299" i="142"/>
  <c r="I915" i="142"/>
  <c r="M166" i="142"/>
  <c r="I29" i="142"/>
  <c r="J6" i="142"/>
  <c r="D649" i="142"/>
  <c r="I713" i="142"/>
  <c r="E1028" i="142"/>
  <c r="D1155" i="142"/>
  <c r="G169" i="142"/>
  <c r="E978" i="142"/>
  <c r="H44" i="142"/>
  <c r="C1094" i="142"/>
  <c r="E476" i="142"/>
  <c r="I683" i="142"/>
  <c r="L702" i="142"/>
  <c r="F496" i="142"/>
  <c r="D559" i="142"/>
  <c r="I636" i="142"/>
  <c r="G537" i="142"/>
  <c r="G73" i="142"/>
  <c r="D393" i="142"/>
  <c r="I260" i="142"/>
  <c r="M193" i="142"/>
  <c r="G5" i="142"/>
  <c r="C829" i="142"/>
  <c r="D403" i="142"/>
  <c r="D603" i="142"/>
  <c r="L510" i="142"/>
  <c r="H396" i="142"/>
  <c r="I507" i="142"/>
  <c r="L160" i="142"/>
  <c r="D170" i="142"/>
  <c r="J159" i="142"/>
  <c r="E350" i="142"/>
  <c r="J613" i="142"/>
  <c r="C160" i="142"/>
  <c r="M724" i="142"/>
  <c r="M964" i="142"/>
  <c r="L699" i="142"/>
  <c r="M390" i="142"/>
  <c r="C882" i="142"/>
  <c r="D105" i="142"/>
  <c r="H379" i="142"/>
  <c r="D316" i="142"/>
  <c r="D158" i="142"/>
  <c r="E7" i="142"/>
  <c r="E159" i="142"/>
  <c r="M822" i="142"/>
  <c r="K1101" i="142"/>
  <c r="G345" i="142"/>
  <c r="M384" i="142"/>
  <c r="H1097" i="142"/>
  <c r="F887" i="142"/>
  <c r="I190" i="142"/>
  <c r="G767" i="142"/>
  <c r="F28" i="142"/>
  <c r="M210" i="142"/>
  <c r="F287" i="142"/>
  <c r="G118" i="142"/>
  <c r="F429" i="142"/>
  <c r="K493" i="142"/>
  <c r="M214" i="142"/>
  <c r="L36" i="142"/>
  <c r="J265" i="142"/>
  <c r="D70" i="142"/>
  <c r="H470" i="142"/>
  <c r="I520" i="142"/>
  <c r="E232" i="142"/>
  <c r="E442" i="142"/>
  <c r="L287" i="142"/>
  <c r="K167" i="142"/>
  <c r="K620" i="142"/>
  <c r="M520" i="142"/>
  <c r="E275" i="142"/>
  <c r="L717" i="142"/>
  <c r="L878" i="142"/>
  <c r="D609" i="142"/>
  <c r="M465" i="142"/>
  <c r="D945" i="142"/>
  <c r="F62" i="142"/>
  <c r="K727" i="142"/>
  <c r="D456" i="142"/>
  <c r="K653" i="142"/>
  <c r="K746" i="142"/>
  <c r="L1068" i="142"/>
  <c r="K477" i="142"/>
  <c r="J912" i="142"/>
  <c r="I248" i="142"/>
  <c r="F344" i="142"/>
  <c r="M86" i="142"/>
  <c r="H576" i="142"/>
  <c r="E433" i="142"/>
  <c r="C42" i="142"/>
  <c r="J823" i="142"/>
  <c r="F448" i="142"/>
  <c r="J283" i="142"/>
  <c r="F368" i="142"/>
  <c r="G484" i="142"/>
  <c r="H63" i="142"/>
  <c r="L766" i="142"/>
  <c r="I533" i="142"/>
  <c r="K41" i="142"/>
  <c r="I204" i="142"/>
  <c r="K811" i="142"/>
  <c r="H438" i="142"/>
  <c r="F81" i="142"/>
  <c r="F953" i="142"/>
  <c r="E85" i="142"/>
  <c r="G64" i="142"/>
  <c r="G241" i="142"/>
  <c r="F438" i="142"/>
  <c r="M99" i="142"/>
  <c r="M213" i="142"/>
  <c r="L466" i="142"/>
  <c r="M149" i="142"/>
  <c r="I605" i="142"/>
  <c r="H685" i="142"/>
  <c r="K972" i="142"/>
  <c r="F719" i="142"/>
  <c r="D975" i="142"/>
  <c r="D306" i="142"/>
  <c r="G153" i="142"/>
  <c r="K560" i="142"/>
  <c r="M536" i="142"/>
  <c r="F746" i="142"/>
  <c r="K1066" i="142"/>
  <c r="D801" i="142"/>
  <c r="F187" i="142"/>
  <c r="H1068" i="142"/>
  <c r="I854" i="142"/>
  <c r="K1001" i="142"/>
  <c r="H970" i="142"/>
  <c r="F241" i="142"/>
  <c r="E656" i="142"/>
  <c r="I1162" i="142"/>
  <c r="F335" i="142"/>
  <c r="G368" i="142"/>
  <c r="D900" i="142"/>
  <c r="K133" i="142"/>
  <c r="D256" i="142"/>
  <c r="M497" i="142"/>
  <c r="G102" i="142"/>
  <c r="H134" i="142"/>
  <c r="K120" i="142"/>
  <c r="L887" i="142"/>
  <c r="J518" i="142"/>
  <c r="F278" i="142"/>
  <c r="H335" i="142"/>
  <c r="K341" i="142"/>
  <c r="H225" i="142"/>
  <c r="M331" i="142"/>
  <c r="M255" i="142"/>
  <c r="M779" i="142"/>
  <c r="G605" i="142"/>
  <c r="J544" i="142"/>
  <c r="M289" i="142"/>
  <c r="C294" i="142"/>
  <c r="F360" i="142"/>
  <c r="E771" i="142"/>
  <c r="G485" i="142"/>
  <c r="F686" i="142"/>
  <c r="M490" i="142"/>
  <c r="C134" i="142"/>
  <c r="I461" i="142"/>
  <c r="I67" i="142"/>
  <c r="K816" i="142"/>
  <c r="E126" i="142"/>
  <c r="G721" i="142"/>
  <c r="C647" i="142"/>
  <c r="G502" i="142"/>
  <c r="E848" i="142"/>
  <c r="F106" i="142"/>
  <c r="H81" i="142"/>
  <c r="L458" i="142"/>
  <c r="L748" i="142"/>
  <c r="G192" i="142"/>
  <c r="D482" i="142"/>
  <c r="L1132" i="142"/>
  <c r="L350" i="142"/>
  <c r="C480" i="142"/>
  <c r="E302" i="142"/>
  <c r="E876" i="142"/>
  <c r="J505" i="142"/>
  <c r="E127" i="142"/>
  <c r="L829" i="142"/>
  <c r="K174" i="142"/>
  <c r="M1036" i="142"/>
  <c r="K629" i="142"/>
  <c r="C744" i="142"/>
  <c r="M618" i="142"/>
  <c r="I327" i="142"/>
  <c r="D619" i="142"/>
  <c r="E738" i="142"/>
  <c r="C658" i="142"/>
  <c r="K150" i="142"/>
  <c r="I53" i="142"/>
  <c r="D963" i="142"/>
  <c r="H204" i="142"/>
  <c r="G551" i="142"/>
  <c r="C1057" i="142"/>
  <c r="I639" i="142"/>
  <c r="H617" i="142"/>
  <c r="I81" i="142"/>
  <c r="M637" i="142"/>
  <c r="H565" i="142"/>
  <c r="G20" i="142"/>
  <c r="H796" i="142"/>
  <c r="M247" i="142"/>
  <c r="I236" i="142"/>
  <c r="D440" i="142"/>
  <c r="G489" i="142"/>
  <c r="K471" i="142"/>
  <c r="E437" i="142"/>
  <c r="E790" i="142"/>
  <c r="M840" i="142"/>
  <c r="K168" i="142"/>
  <c r="C430" i="142"/>
  <c r="D273" i="142"/>
  <c r="C177" i="142"/>
  <c r="K598" i="142"/>
  <c r="I443" i="142"/>
  <c r="K524" i="142"/>
  <c r="I213" i="142"/>
  <c r="L860" i="142"/>
  <c r="L654" i="142"/>
  <c r="M405" i="142"/>
  <c r="G188" i="142"/>
  <c r="H434" i="142"/>
  <c r="L483" i="142"/>
  <c r="E677" i="142"/>
  <c r="I156" i="142"/>
  <c r="H293" i="142"/>
  <c r="D129" i="142"/>
  <c r="M89" i="142"/>
  <c r="C9" i="142"/>
  <c r="M126" i="142"/>
  <c r="G178" i="142"/>
  <c r="H202" i="142"/>
  <c r="L772" i="142"/>
  <c r="D507" i="142"/>
  <c r="L306" i="142"/>
  <c r="J355" i="142"/>
  <c r="L126" i="142"/>
  <c r="M1056" i="142"/>
  <c r="J854" i="142"/>
  <c r="D270" i="142"/>
  <c r="C550" i="142"/>
  <c r="G152" i="142"/>
  <c r="E505" i="142"/>
  <c r="I1044" i="142"/>
  <c r="F324" i="142"/>
  <c r="C333" i="142"/>
  <c r="H556" i="142"/>
  <c r="G522" i="142"/>
  <c r="F242" i="142"/>
  <c r="M137" i="142"/>
  <c r="D23" i="142"/>
  <c r="F676" i="142"/>
  <c r="G955" i="142"/>
  <c r="L1121" i="142"/>
  <c r="L917" i="142"/>
  <c r="I715" i="142"/>
  <c r="M560" i="142"/>
  <c r="E94" i="142"/>
  <c r="E912" i="142"/>
  <c r="E559" i="142"/>
  <c r="D846" i="142"/>
  <c r="J82" i="142"/>
  <c r="K701" i="142"/>
  <c r="H251" i="142"/>
  <c r="M77" i="142"/>
  <c r="L1144" i="142"/>
  <c r="C1023" i="142"/>
  <c r="J831" i="142"/>
  <c r="D242" i="142"/>
  <c r="D754" i="142"/>
  <c r="D450" i="142"/>
  <c r="L484" i="142"/>
  <c r="K333" i="142"/>
  <c r="F986" i="142"/>
  <c r="C293" i="142"/>
  <c r="F455" i="142"/>
  <c r="M393" i="142"/>
  <c r="J258" i="142"/>
  <c r="G1041" i="142"/>
  <c r="C236" i="142"/>
  <c r="L463" i="142"/>
  <c r="G471" i="142"/>
  <c r="F99" i="142"/>
  <c r="I449" i="142"/>
  <c r="K19" i="142"/>
  <c r="J764" i="142"/>
  <c r="K616" i="142"/>
  <c r="C944" i="142"/>
  <c r="D902" i="142"/>
  <c r="E234" i="142"/>
  <c r="C439" i="142"/>
  <c r="K959" i="142"/>
  <c r="K565" i="142"/>
  <c r="I117" i="142"/>
  <c r="K578" i="142"/>
  <c r="H31" i="142"/>
  <c r="L59" i="142"/>
  <c r="G172" i="142"/>
  <c r="M810" i="142"/>
  <c r="K151" i="142"/>
  <c r="D168" i="142"/>
  <c r="C716" i="142"/>
  <c r="F606" i="142"/>
  <c r="E489" i="142"/>
  <c r="D220" i="142"/>
  <c r="F155" i="142"/>
  <c r="M728" i="142"/>
  <c r="J1129" i="142"/>
  <c r="H760" i="142"/>
  <c r="F183" i="142"/>
  <c r="J512" i="142"/>
  <c r="M679" i="142"/>
  <c r="H193" i="142"/>
  <c r="F31" i="142"/>
  <c r="D149" i="142"/>
  <c r="G341" i="142"/>
  <c r="D907" i="142"/>
  <c r="I244" i="142"/>
  <c r="E482" i="142"/>
  <c r="I303" i="142"/>
  <c r="J166" i="142"/>
  <c r="H889" i="142"/>
  <c r="C261" i="142"/>
  <c r="L762" i="142"/>
  <c r="L478" i="142"/>
  <c r="D614" i="142"/>
  <c r="J360" i="142"/>
  <c r="K564" i="142"/>
  <c r="D66" i="142"/>
  <c r="J1034" i="142"/>
  <c r="D694" i="142"/>
  <c r="H56" i="142"/>
  <c r="H482" i="142"/>
  <c r="C718" i="142"/>
  <c r="F120" i="142"/>
  <c r="G573" i="142"/>
  <c r="M452" i="142"/>
  <c r="M376" i="142"/>
  <c r="J211" i="142"/>
  <c r="K433" i="142"/>
  <c r="K721" i="142"/>
  <c r="D807" i="142"/>
  <c r="C295" i="142"/>
  <c r="D1134" i="142"/>
  <c r="D1050" i="142"/>
  <c r="I356" i="142"/>
  <c r="H746" i="142"/>
  <c r="K872" i="142"/>
  <c r="C395" i="142"/>
  <c r="F211" i="142"/>
  <c r="F1166" i="142"/>
  <c r="L165" i="142"/>
  <c r="E739" i="142"/>
  <c r="I845" i="142"/>
  <c r="L277" i="142"/>
  <c r="K13" i="142"/>
  <c r="J49" i="142"/>
  <c r="L390" i="142"/>
  <c r="I54" i="142"/>
  <c r="D401" i="142"/>
  <c r="M90" i="142"/>
  <c r="D227" i="142"/>
  <c r="L202" i="142"/>
  <c r="K492" i="142"/>
  <c r="E227" i="142"/>
  <c r="H93" i="142"/>
  <c r="J683" i="142"/>
  <c r="D84" i="142"/>
  <c r="D156" i="142"/>
  <c r="H612" i="142"/>
  <c r="J320" i="142"/>
  <c r="K288" i="142"/>
  <c r="F603" i="142"/>
  <c r="E251" i="142"/>
  <c r="J158" i="142"/>
  <c r="D44" i="142"/>
  <c r="I200" i="142"/>
  <c r="K1064" i="142"/>
  <c r="K375" i="142"/>
  <c r="D853" i="142"/>
  <c r="K350" i="142"/>
  <c r="E521" i="142"/>
  <c r="G245" i="142"/>
  <c r="H486" i="142"/>
  <c r="M183" i="142"/>
  <c r="G925" i="142"/>
  <c r="M766" i="142"/>
  <c r="L320" i="142"/>
  <c r="K638" i="142"/>
  <c r="K334" i="142"/>
  <c r="J197" i="142"/>
  <c r="M686" i="142"/>
  <c r="D611" i="142"/>
  <c r="F590" i="142"/>
  <c r="I483" i="142"/>
  <c r="E717" i="142"/>
  <c r="L89" i="142"/>
  <c r="F709" i="142"/>
  <c r="J420" i="142"/>
  <c r="L361" i="142"/>
  <c r="L1150" i="142"/>
  <c r="D1116" i="142"/>
  <c r="K81" i="142"/>
  <c r="F36" i="142"/>
  <c r="J565" i="142"/>
  <c r="K1121" i="142"/>
  <c r="H66" i="142"/>
  <c r="G591" i="142"/>
  <c r="J58" i="142"/>
  <c r="C61" i="142"/>
  <c r="J184" i="142"/>
  <c r="E808" i="142"/>
  <c r="D143" i="142"/>
  <c r="G674" i="142"/>
  <c r="G280" i="142"/>
  <c r="E6" i="142"/>
  <c r="I590" i="142"/>
  <c r="C458" i="142"/>
  <c r="I36" i="142"/>
  <c r="K718" i="142"/>
  <c r="F781" i="142"/>
  <c r="F325" i="142"/>
  <c r="I306" i="142"/>
  <c r="I730" i="142"/>
  <c r="K270" i="142"/>
  <c r="K29" i="142"/>
  <c r="K78" i="142"/>
  <c r="H200" i="142"/>
  <c r="K1047" i="142"/>
  <c r="F347" i="142"/>
  <c r="I298" i="142"/>
  <c r="C199" i="142"/>
  <c r="D439" i="142"/>
  <c r="L502" i="142"/>
  <c r="F649" i="142"/>
  <c r="C769" i="142"/>
  <c r="I606" i="142"/>
  <c r="K1071" i="142"/>
  <c r="E522" i="142"/>
  <c r="D63" i="142"/>
  <c r="D923" i="142"/>
  <c r="F348" i="142"/>
  <c r="E473" i="142"/>
  <c r="M761" i="142"/>
  <c r="H89" i="142"/>
  <c r="J175" i="142"/>
  <c r="L234" i="142"/>
  <c r="H361" i="142"/>
  <c r="F672" i="142"/>
  <c r="L518" i="142"/>
  <c r="I159" i="142"/>
  <c r="D122" i="142"/>
  <c r="J723" i="142"/>
  <c r="K77" i="142"/>
  <c r="D597" i="142"/>
  <c r="K306" i="142"/>
  <c r="C161" i="142"/>
  <c r="I764" i="142"/>
  <c r="M92" i="142"/>
  <c r="M712" i="142"/>
  <c r="K509" i="142"/>
  <c r="J994" i="142"/>
  <c r="I975" i="142"/>
  <c r="K251" i="142"/>
  <c r="G47" i="142"/>
  <c r="L595" i="142"/>
  <c r="M157" i="142"/>
  <c r="J230" i="142"/>
  <c r="F267" i="142"/>
  <c r="J729" i="142"/>
  <c r="G353" i="142"/>
  <c r="F635" i="142"/>
  <c r="M219" i="142"/>
  <c r="K328" i="142"/>
  <c r="J452" i="142"/>
  <c r="C399" i="142"/>
  <c r="C249" i="142"/>
  <c r="H529" i="142"/>
  <c r="G434" i="142"/>
  <c r="C781" i="142"/>
  <c r="I647" i="142"/>
  <c r="D24" i="142"/>
  <c r="D695" i="142"/>
  <c r="G574" i="142"/>
  <c r="E90" i="142"/>
  <c r="L473" i="142"/>
  <c r="E260" i="142"/>
  <c r="J791" i="142"/>
  <c r="I601" i="142"/>
  <c r="J399" i="142"/>
  <c r="D633" i="142"/>
  <c r="G433" i="142"/>
  <c r="C242" i="142"/>
  <c r="J389" i="142"/>
  <c r="E41" i="142"/>
  <c r="F488" i="142"/>
  <c r="G910" i="142"/>
  <c r="E1150" i="142"/>
  <c r="K745" i="142"/>
  <c r="E430" i="142"/>
  <c r="C218" i="142"/>
  <c r="D627" i="142"/>
  <c r="D141" i="142"/>
  <c r="K196" i="142"/>
  <c r="E612" i="142"/>
  <c r="K1105" i="142"/>
  <c r="F322" i="142"/>
  <c r="D464" i="142"/>
  <c r="I460" i="142"/>
  <c r="G375" i="142"/>
  <c r="H881" i="142"/>
  <c r="K601" i="142"/>
  <c r="E303" i="142"/>
  <c r="I755" i="142"/>
  <c r="H215" i="142"/>
  <c r="L121" i="142"/>
  <c r="J750" i="142"/>
  <c r="F586" i="142"/>
  <c r="E197" i="142"/>
  <c r="F1097" i="142"/>
  <c r="D593" i="142"/>
  <c r="D772" i="142"/>
  <c r="L232" i="142"/>
  <c r="C454" i="142"/>
  <c r="J571" i="142"/>
  <c r="G688" i="142"/>
  <c r="F769" i="142"/>
  <c r="E291" i="142"/>
  <c r="L188" i="142"/>
  <c r="M45" i="142"/>
  <c r="H587" i="142"/>
  <c r="F479" i="142"/>
  <c r="I42" i="142"/>
  <c r="J61" i="142"/>
  <c r="D16" i="142"/>
  <c r="M97" i="142"/>
  <c r="M209" i="142"/>
  <c r="H459" i="142"/>
  <c r="J148" i="142"/>
  <c r="C651" i="142"/>
  <c r="L403" i="142"/>
  <c r="E336" i="142"/>
  <c r="E1037" i="142"/>
  <c r="C265" i="142"/>
  <c r="D689" i="142"/>
  <c r="M528" i="142"/>
  <c r="F94" i="142"/>
  <c r="C486" i="142"/>
  <c r="J216" i="142"/>
  <c r="E641" i="142"/>
  <c r="K138" i="142"/>
  <c r="I363" i="142"/>
  <c r="J644" i="142"/>
  <c r="J7" i="142"/>
  <c r="I120" i="142"/>
  <c r="J439" i="142"/>
  <c r="F310" i="142"/>
  <c r="C101" i="142"/>
  <c r="E665" i="142"/>
  <c r="J99" i="142"/>
  <c r="K922" i="142"/>
  <c r="C935" i="142"/>
  <c r="M400" i="142"/>
  <c r="H385" i="142"/>
  <c r="L545" i="142"/>
  <c r="K323" i="142"/>
  <c r="I40" i="142"/>
  <c r="H451" i="142"/>
  <c r="L318" i="142"/>
  <c r="C578" i="142"/>
  <c r="J149" i="142"/>
  <c r="L609" i="142"/>
  <c r="E682" i="142"/>
  <c r="C950" i="142"/>
  <c r="K464" i="142"/>
  <c r="K113" i="142"/>
  <c r="H417" i="142"/>
  <c r="I335" i="142"/>
  <c r="J493" i="142"/>
  <c r="J73" i="142"/>
  <c r="F774" i="142"/>
  <c r="C104" i="142"/>
  <c r="L1072" i="142"/>
  <c r="E135" i="142"/>
  <c r="F274" i="142"/>
  <c r="G752" i="142"/>
  <c r="H340" i="142"/>
  <c r="L398" i="142"/>
  <c r="E58" i="142"/>
  <c r="H228" i="142"/>
  <c r="G293" i="142"/>
  <c r="I858" i="142"/>
  <c r="L974" i="142"/>
  <c r="M974" i="142"/>
  <c r="J204" i="142"/>
  <c r="J641" i="142"/>
  <c r="K575" i="142"/>
  <c r="J307" i="142"/>
  <c r="H349" i="142"/>
  <c r="I791" i="142"/>
  <c r="I442" i="142"/>
  <c r="I943" i="142"/>
  <c r="K71" i="142"/>
  <c r="J508" i="142"/>
  <c r="F1074" i="142"/>
  <c r="G301" i="142"/>
  <c r="I996" i="142"/>
  <c r="C84" i="142"/>
  <c r="L415" i="142"/>
  <c r="H4" i="142"/>
  <c r="I1019" i="142"/>
  <c r="D494" i="142"/>
  <c r="K906" i="142"/>
  <c r="G282" i="142"/>
  <c r="G95" i="142"/>
  <c r="G456" i="142"/>
  <c r="J523" i="142"/>
  <c r="J832" i="142"/>
  <c r="L895" i="142"/>
  <c r="L134" i="142"/>
  <c r="J964" i="142"/>
  <c r="M286" i="142"/>
  <c r="L903" i="142"/>
  <c r="E644" i="142"/>
  <c r="M672" i="142"/>
  <c r="E449" i="142"/>
  <c r="H22" i="142"/>
  <c r="D187" i="142"/>
  <c r="H679" i="142"/>
  <c r="M24" i="142"/>
  <c r="L272" i="142"/>
  <c r="C564" i="142"/>
  <c r="H926" i="142"/>
  <c r="G683" i="142"/>
  <c r="C621" i="142"/>
  <c r="G234" i="142"/>
  <c r="E657" i="142"/>
  <c r="L109" i="142"/>
  <c r="K673" i="142"/>
  <c r="L225" i="142"/>
  <c r="H517" i="142"/>
  <c r="J812" i="142"/>
  <c r="K1051" i="142"/>
  <c r="E772" i="142"/>
  <c r="G942" i="142"/>
  <c r="M437" i="142"/>
  <c r="L339" i="142"/>
  <c r="D1048" i="142"/>
  <c r="H515" i="142"/>
  <c r="D80" i="142"/>
  <c r="H450" i="142"/>
  <c r="K760" i="142"/>
  <c r="M475" i="142"/>
  <c r="J381" i="142"/>
  <c r="G23" i="142"/>
  <c r="F1050" i="142"/>
  <c r="I717" i="142"/>
  <c r="I736" i="142"/>
  <c r="H883" i="142"/>
  <c r="M1077" i="142"/>
  <c r="C762" i="142"/>
  <c r="L322" i="142"/>
  <c r="I295" i="142"/>
  <c r="C421" i="142"/>
  <c r="J685" i="142"/>
  <c r="E371" i="142"/>
  <c r="L96" i="142"/>
  <c r="C326" i="142"/>
  <c r="M701" i="142"/>
  <c r="I467" i="142"/>
  <c r="K1112" i="142"/>
  <c r="E504" i="142"/>
  <c r="L721" i="142"/>
  <c r="M425" i="142"/>
  <c r="C252" i="142"/>
  <c r="I250" i="142"/>
  <c r="H269" i="142"/>
  <c r="L4" i="142"/>
  <c r="E235" i="142"/>
  <c r="C67" i="142"/>
  <c r="C448" i="142"/>
  <c r="E495" i="142"/>
  <c r="C386" i="142"/>
  <c r="M254" i="142"/>
  <c r="F5" i="142"/>
  <c r="I802" i="142"/>
  <c r="L724" i="142"/>
  <c r="D586" i="142"/>
  <c r="I440" i="142"/>
  <c r="F65" i="142"/>
  <c r="K42" i="142"/>
  <c r="G278" i="142"/>
  <c r="D471" i="142"/>
  <c r="C469" i="142"/>
  <c r="K312" i="142"/>
  <c r="G899" i="142"/>
  <c r="H371" i="142"/>
  <c r="F98" i="142"/>
  <c r="J502" i="142"/>
  <c r="I82" i="142"/>
  <c r="E340" i="142"/>
  <c r="G664" i="142"/>
  <c r="F674" i="142"/>
  <c r="C176" i="142"/>
  <c r="H391" i="142"/>
  <c r="J475" i="142"/>
  <c r="M551" i="142"/>
  <c r="G547" i="142"/>
  <c r="L431" i="142"/>
  <c r="E659" i="142"/>
  <c r="L804" i="142"/>
  <c r="K635" i="142"/>
  <c r="F422" i="142"/>
  <c r="D579" i="142"/>
  <c r="D937" i="142"/>
  <c r="I365" i="142"/>
  <c r="G1024" i="142"/>
  <c r="E751" i="142"/>
  <c r="F268" i="142"/>
  <c r="J787" i="142"/>
  <c r="K548" i="142"/>
  <c r="H383" i="142"/>
  <c r="G546" i="142"/>
  <c r="G349" i="142"/>
  <c r="M364" i="142"/>
  <c r="H416" i="142"/>
  <c r="K428" i="142"/>
  <c r="M103" i="142"/>
  <c r="C535" i="142"/>
  <c r="F227" i="142"/>
  <c r="E503" i="142"/>
  <c r="I16" i="142"/>
  <c r="G680" i="142"/>
  <c r="J270" i="142"/>
  <c r="J497" i="142"/>
  <c r="H68" i="142"/>
  <c r="L443" i="142"/>
  <c r="E420" i="142"/>
  <c r="J942" i="142"/>
  <c r="C215" i="142"/>
  <c r="G191" i="142"/>
  <c r="L185" i="142"/>
  <c r="L345" i="142"/>
  <c r="L49" i="142"/>
  <c r="L307" i="142"/>
  <c r="J252" i="142"/>
  <c r="M711" i="142"/>
  <c r="G720" i="142"/>
  <c r="I684" i="142"/>
  <c r="I396" i="142"/>
  <c r="H166" i="142"/>
  <c r="M680" i="142"/>
  <c r="E906" i="142"/>
  <c r="H80" i="142"/>
  <c r="H428" i="142"/>
  <c r="E379" i="142"/>
  <c r="C138" i="142"/>
  <c r="I579" i="142"/>
  <c r="E95" i="142"/>
  <c r="D628" i="142"/>
  <c r="E679" i="142"/>
  <c r="F482" i="142"/>
  <c r="F178" i="142"/>
  <c r="G708" i="142"/>
  <c r="G893" i="142"/>
  <c r="M324" i="142"/>
  <c r="H507" i="142"/>
  <c r="G166" i="142"/>
  <c r="H321" i="142"/>
  <c r="H560" i="142"/>
  <c r="G243" i="142"/>
  <c r="J482" i="142"/>
  <c r="H847" i="142"/>
  <c r="M1005" i="142"/>
  <c r="M46" i="142"/>
  <c r="E491" i="142"/>
  <c r="H313" i="142"/>
  <c r="C909" i="142"/>
  <c r="M379" i="142"/>
  <c r="I470" i="142"/>
  <c r="L492" i="142"/>
  <c r="G569" i="142"/>
  <c r="M859" i="142"/>
  <c r="J931" i="142"/>
  <c r="M977" i="142"/>
  <c r="E343" i="142"/>
  <c r="F166" i="142"/>
  <c r="F191" i="142"/>
  <c r="F192" i="142"/>
  <c r="K615" i="142"/>
  <c r="I474" i="142"/>
  <c r="J247" i="142"/>
  <c r="D265" i="142"/>
  <c r="E478" i="142"/>
  <c r="J1004" i="142"/>
  <c r="I210" i="142"/>
  <c r="H563" i="142"/>
  <c r="M118" i="142"/>
  <c r="H964" i="142"/>
  <c r="F9" i="142"/>
  <c r="C323" i="142"/>
  <c r="F507" i="142"/>
  <c r="J201" i="142"/>
  <c r="J416" i="142"/>
  <c r="F707" i="142"/>
  <c r="F1065" i="142"/>
  <c r="E439" i="142"/>
  <c r="J171" i="142"/>
  <c r="I988" i="142"/>
  <c r="G395" i="142"/>
  <c r="K194" i="142"/>
  <c r="M417" i="142"/>
  <c r="G621" i="142"/>
  <c r="D100" i="142"/>
  <c r="H885" i="142"/>
  <c r="I93" i="142"/>
  <c r="L656" i="142"/>
  <c r="K122" i="142"/>
  <c r="K491" i="142"/>
  <c r="C937" i="142"/>
  <c r="E785" i="142"/>
  <c r="I488" i="142"/>
  <c r="F219" i="142"/>
  <c r="D569" i="142"/>
  <c r="G111" i="142"/>
  <c r="K33" i="142"/>
  <c r="G1087" i="142"/>
  <c r="M937" i="142"/>
  <c r="H310" i="142"/>
  <c r="F885" i="142"/>
  <c r="M159" i="142"/>
  <c r="C702" i="142"/>
  <c r="M624" i="142"/>
  <c r="I657" i="142"/>
  <c r="C416" i="142"/>
  <c r="D209" i="142"/>
  <c r="D395" i="142"/>
  <c r="H28" i="142"/>
  <c r="D353" i="142"/>
  <c r="F535" i="142"/>
  <c r="D812" i="142"/>
  <c r="H569" i="142"/>
  <c r="D642" i="142"/>
  <c r="M76" i="142"/>
  <c r="E45" i="142"/>
  <c r="F806" i="142"/>
  <c r="M619" i="142"/>
  <c r="J858" i="142"/>
  <c r="F618" i="142"/>
  <c r="H992" i="142"/>
  <c r="F432" i="142"/>
  <c r="K697" i="142"/>
  <c r="L447" i="142"/>
  <c r="E59" i="142"/>
  <c r="C973" i="142"/>
  <c r="G405" i="142"/>
  <c r="G176" i="142"/>
  <c r="J97" i="142"/>
  <c r="G358" i="142"/>
  <c r="C452" i="142"/>
  <c r="G685" i="142"/>
  <c r="D533" i="142"/>
  <c r="E735" i="142"/>
  <c r="M385" i="142"/>
  <c r="D328" i="142"/>
  <c r="H526" i="142"/>
  <c r="F546" i="142"/>
  <c r="C816" i="142"/>
  <c r="C120" i="142"/>
  <c r="J937" i="142"/>
  <c r="J938" i="142"/>
  <c r="E28" i="142"/>
  <c r="I702" i="142"/>
  <c r="C56" i="142"/>
  <c r="D519" i="142"/>
  <c r="C212" i="142"/>
  <c r="H184" i="142"/>
  <c r="C1009" i="142"/>
  <c r="H573" i="142"/>
  <c r="C507" i="142"/>
  <c r="M789" i="142"/>
  <c r="M893" i="142"/>
  <c r="D238" i="142"/>
  <c r="C275" i="142"/>
  <c r="C789" i="142"/>
  <c r="G449" i="142"/>
  <c r="F32" i="142"/>
  <c r="G101" i="142"/>
  <c r="H178" i="142"/>
  <c r="F459" i="142"/>
  <c r="F536" i="142"/>
  <c r="H316" i="142"/>
  <c r="F505" i="142"/>
  <c r="L108" i="142"/>
  <c r="J372" i="142"/>
  <c r="G402" i="142"/>
  <c r="K764" i="142"/>
  <c r="I230" i="142"/>
  <c r="E1089" i="142"/>
  <c r="D175" i="142"/>
  <c r="H906" i="142"/>
  <c r="L27" i="142"/>
  <c r="D36" i="142"/>
  <c r="L596" i="142"/>
  <c r="D505" i="142"/>
  <c r="J296" i="142"/>
  <c r="E408" i="142"/>
  <c r="G75" i="142"/>
  <c r="I124" i="142"/>
  <c r="F203" i="142"/>
  <c r="C363" i="142"/>
  <c r="D246" i="142"/>
  <c r="C347" i="142"/>
  <c r="M531" i="142"/>
  <c r="K38" i="142"/>
  <c r="F783" i="142"/>
  <c r="F626" i="142"/>
  <c r="J528" i="142"/>
  <c r="M84" i="142"/>
  <c r="M347" i="142"/>
  <c r="C81" i="142"/>
  <c r="M108" i="142"/>
  <c r="L13" i="142"/>
  <c r="E532" i="142"/>
  <c r="I686" i="142"/>
  <c r="D449" i="142"/>
  <c r="K1032" i="142"/>
  <c r="H551" i="142"/>
  <c r="G628" i="142"/>
  <c r="L1166" i="142"/>
  <c r="E194" i="142"/>
  <c r="C190" i="142"/>
  <c r="G544" i="142"/>
  <c r="F1152" i="142"/>
  <c r="G765" i="142"/>
  <c r="H253" i="142"/>
  <c r="G723" i="142"/>
  <c r="H538" i="142"/>
  <c r="G404" i="142"/>
  <c r="J81" i="142"/>
  <c r="C1113" i="142"/>
  <c r="I261" i="142"/>
  <c r="E602" i="142"/>
  <c r="M470" i="142"/>
  <c r="D151" i="142"/>
  <c r="L393" i="142"/>
  <c r="D214" i="142"/>
  <c r="G352" i="142"/>
  <c r="C197" i="142"/>
  <c r="E650" i="142"/>
  <c r="J15" i="142"/>
  <c r="G290" i="142"/>
  <c r="M163" i="142"/>
  <c r="M10" i="142"/>
  <c r="K165" i="142"/>
  <c r="J143" i="142"/>
  <c r="H24" i="142"/>
  <c r="H351" i="142"/>
  <c r="C157" i="142"/>
  <c r="D555" i="142"/>
  <c r="E664" i="142"/>
  <c r="E162" i="142"/>
  <c r="E555" i="142"/>
  <c r="H139" i="142"/>
  <c r="H553" i="142"/>
  <c r="J601" i="142"/>
  <c r="I292" i="142"/>
  <c r="I355" i="142"/>
  <c r="F167" i="142"/>
  <c r="C947" i="142"/>
  <c r="I141" i="142"/>
  <c r="H378" i="142"/>
  <c r="K358" i="142"/>
  <c r="L460" i="142"/>
  <c r="H871" i="142"/>
  <c r="M548" i="142"/>
  <c r="D629" i="142"/>
  <c r="I129" i="142"/>
  <c r="J430" i="142"/>
  <c r="F286" i="142"/>
  <c r="M685" i="142"/>
  <c r="J218" i="142"/>
  <c r="G78" i="142"/>
  <c r="C396" i="142"/>
  <c r="G779" i="142"/>
  <c r="H590" i="142"/>
  <c r="K278" i="142"/>
  <c r="M18" i="142"/>
  <c r="I347" i="142"/>
  <c r="H440" i="142"/>
  <c r="M29" i="142"/>
  <c r="H672" i="142"/>
  <c r="L600" i="142"/>
  <c r="E873" i="142"/>
  <c r="G129" i="142"/>
  <c r="E50" i="142"/>
  <c r="I422" i="142"/>
  <c r="G96" i="142"/>
  <c r="D764" i="142"/>
  <c r="K220" i="142"/>
  <c r="J959" i="142"/>
  <c r="D346" i="142"/>
  <c r="D709" i="142"/>
  <c r="D299" i="142"/>
  <c r="K604" i="142"/>
  <c r="M698" i="142"/>
  <c r="M403" i="142"/>
  <c r="F179" i="142"/>
  <c r="G135" i="142"/>
  <c r="C586" i="142"/>
  <c r="C93" i="142"/>
  <c r="G373" i="142"/>
  <c r="E580" i="142"/>
  <c r="M556" i="142"/>
  <c r="L249" i="142"/>
  <c r="L627" i="142"/>
  <c r="F308" i="142"/>
  <c r="M529" i="142"/>
  <c r="E788" i="142"/>
  <c r="G774" i="142"/>
  <c r="D407" i="142"/>
  <c r="I312" i="142"/>
  <c r="H294" i="142"/>
  <c r="E451" i="142"/>
  <c r="F617" i="142"/>
  <c r="I46" i="142"/>
  <c r="L9" i="142"/>
  <c r="K211" i="142"/>
  <c r="F920" i="142"/>
  <c r="G936" i="142"/>
  <c r="L1037" i="142"/>
  <c r="C111" i="142"/>
  <c r="H706" i="142"/>
  <c r="F923" i="142"/>
  <c r="K630" i="142"/>
  <c r="F500" i="142"/>
  <c r="H96" i="142"/>
  <c r="F73" i="142"/>
  <c r="L1149" i="142"/>
  <c r="K198" i="142"/>
  <c r="D441" i="142"/>
  <c r="J172" i="142"/>
  <c r="E113" i="142"/>
  <c r="K494" i="142"/>
  <c r="M171" i="142"/>
  <c r="M696" i="142"/>
  <c r="C156" i="142"/>
  <c r="K1073" i="142"/>
  <c r="K201" i="142"/>
  <c r="F403" i="142"/>
  <c r="E338" i="142"/>
  <c r="F602" i="142"/>
  <c r="F831" i="142"/>
  <c r="K115" i="142"/>
  <c r="G791" i="142"/>
  <c r="E944" i="142"/>
  <c r="J377" i="142"/>
  <c r="H692" i="142"/>
  <c r="L343" i="142"/>
  <c r="K846" i="142"/>
  <c r="L374" i="142"/>
  <c r="K366" i="142"/>
  <c r="L130" i="142"/>
  <c r="K631" i="142"/>
  <c r="E708" i="142"/>
  <c r="C405" i="142"/>
  <c r="M5" i="142"/>
  <c r="K905" i="142"/>
  <c r="F1129" i="142"/>
  <c r="E72" i="142"/>
  <c r="D49" i="142"/>
  <c r="E145" i="142"/>
  <c r="J738" i="142"/>
  <c r="D749" i="142"/>
  <c r="F305" i="142"/>
  <c r="F265" i="142"/>
  <c r="K272" i="142"/>
  <c r="K812" i="142"/>
  <c r="J982" i="142"/>
  <c r="D1154" i="142"/>
  <c r="G157" i="142"/>
  <c r="C362" i="142"/>
  <c r="L290" i="142"/>
  <c r="J266" i="142"/>
  <c r="M780" i="142"/>
  <c r="F63" i="142"/>
  <c r="G72" i="142"/>
  <c r="C1069" i="142"/>
  <c r="D883" i="142"/>
  <c r="L899" i="142"/>
  <c r="K179" i="142"/>
  <c r="D367" i="142"/>
  <c r="M478" i="142"/>
  <c r="D1001" i="142"/>
  <c r="K971" i="142"/>
  <c r="K381" i="142"/>
  <c r="G1030" i="142"/>
  <c r="M65" i="142"/>
  <c r="M580" i="142"/>
  <c r="C733" i="142"/>
  <c r="L551" i="142"/>
  <c r="H577" i="142"/>
  <c r="D868" i="142"/>
  <c r="J232" i="142"/>
  <c r="C131" i="142"/>
  <c r="M617" i="142"/>
  <c r="H296" i="142"/>
  <c r="J330" i="142"/>
  <c r="F313" i="142"/>
  <c r="D651" i="142"/>
  <c r="C927" i="142"/>
  <c r="E23" i="142"/>
  <c r="G564" i="142"/>
  <c r="F894" i="142"/>
  <c r="F1103" i="142"/>
  <c r="K683" i="142"/>
  <c r="F386" i="142"/>
  <c r="G25" i="142"/>
  <c r="F282" i="142"/>
  <c r="F391" i="142"/>
  <c r="L592" i="142"/>
  <c r="H429" i="142"/>
  <c r="M73" i="142"/>
  <c r="C15" i="142"/>
  <c r="K499" i="142"/>
  <c r="D416" i="142"/>
  <c r="K253" i="142"/>
  <c r="J878" i="142"/>
  <c r="M112" i="142"/>
  <c r="L6" i="142"/>
  <c r="C624" i="142"/>
  <c r="K31" i="142"/>
  <c r="M860" i="142"/>
  <c r="M87" i="142"/>
  <c r="K924" i="142"/>
  <c r="D274" i="142"/>
  <c r="K285" i="142"/>
  <c r="K490" i="142"/>
  <c r="D99" i="142"/>
  <c r="I535" i="142"/>
  <c r="F315" i="142"/>
  <c r="F763" i="142"/>
  <c r="J388" i="142"/>
  <c r="D65" i="142"/>
  <c r="H12" i="142"/>
  <c r="I199" i="142"/>
  <c r="K359" i="142"/>
  <c r="F724" i="142"/>
  <c r="J239" i="142"/>
  <c r="E86" i="142"/>
  <c r="D303" i="142"/>
  <c r="F425" i="142"/>
  <c r="H324" i="142"/>
  <c r="J623" i="142"/>
  <c r="K571" i="142"/>
  <c r="L169" i="142"/>
  <c r="C777" i="142"/>
  <c r="G493" i="142"/>
  <c r="G587" i="142"/>
  <c r="J18" i="142"/>
  <c r="G568" i="142"/>
  <c r="L142" i="142"/>
  <c r="E82" i="142"/>
  <c r="M194" i="142"/>
  <c r="F797" i="142"/>
  <c r="I137" i="142"/>
  <c r="L825" i="142"/>
  <c r="K286" i="142"/>
  <c r="L641" i="142"/>
  <c r="J96" i="142"/>
  <c r="E280" i="142"/>
  <c r="L756" i="142"/>
  <c r="F776" i="142"/>
  <c r="M668" i="142"/>
  <c r="L257" i="142"/>
  <c r="H223" i="142"/>
  <c r="F509" i="142"/>
  <c r="M416" i="142"/>
  <c r="K407" i="142"/>
  <c r="K1000" i="142"/>
  <c r="L337" i="142"/>
  <c r="E361" i="142"/>
  <c r="F523" i="142"/>
  <c r="G494" i="142"/>
  <c r="J459" i="142"/>
  <c r="F246" i="142"/>
  <c r="M471" i="142"/>
  <c r="H542" i="142"/>
  <c r="H163" i="142"/>
  <c r="D174" i="142"/>
  <c r="M245" i="142"/>
  <c r="M1069" i="142"/>
  <c r="L122" i="142"/>
  <c r="D107" i="142"/>
  <c r="M717" i="142"/>
  <c r="H684" i="142"/>
  <c r="E356" i="142"/>
  <c r="C464" i="142"/>
  <c r="K144" i="142"/>
  <c r="F154" i="142"/>
  <c r="F572" i="142"/>
  <c r="K502" i="142"/>
  <c r="M443" i="142"/>
  <c r="J122" i="142"/>
  <c r="L336" i="142"/>
  <c r="J318" i="142"/>
  <c r="C90" i="142"/>
  <c r="E294" i="142"/>
  <c r="C266" i="142"/>
  <c r="F44" i="142"/>
  <c r="L184" i="142"/>
  <c r="H925" i="142"/>
  <c r="K301" i="142"/>
  <c r="C914" i="142"/>
  <c r="I952" i="142"/>
  <c r="I208" i="142"/>
  <c r="E941" i="142"/>
  <c r="G50" i="142"/>
  <c r="J586" i="142"/>
  <c r="M85" i="142"/>
  <c r="H153" i="142"/>
  <c r="M280" i="142"/>
  <c r="G203" i="142"/>
  <c r="I812" i="142"/>
  <c r="C666" i="142"/>
  <c r="F614" i="142"/>
  <c r="D210" i="142"/>
  <c r="E658" i="142"/>
  <c r="G845" i="142"/>
  <c r="K371" i="142"/>
  <c r="H388" i="142"/>
  <c r="G328" i="142"/>
  <c r="G146" i="142"/>
  <c r="I140" i="142"/>
  <c r="H510" i="142"/>
  <c r="E796" i="142"/>
  <c r="M809" i="142"/>
  <c r="G1082" i="142"/>
  <c r="J219" i="142"/>
  <c r="M578" i="142"/>
  <c r="E239" i="142"/>
  <c r="F562" i="142"/>
  <c r="C126" i="142"/>
  <c r="E370" i="142"/>
  <c r="G963" i="142"/>
  <c r="D820" i="142"/>
  <c r="H664" i="142"/>
  <c r="M447" i="142"/>
  <c r="L599" i="142"/>
  <c r="J709" i="142"/>
  <c r="M963" i="142"/>
  <c r="M639" i="142"/>
  <c r="L859" i="142"/>
  <c r="F453" i="142"/>
  <c r="I939" i="142"/>
  <c r="L1020" i="142"/>
  <c r="D331" i="142"/>
  <c r="D876" i="142"/>
  <c r="F1032" i="142"/>
  <c r="E1103" i="142"/>
  <c r="L139" i="142"/>
  <c r="L214" i="142"/>
  <c r="M767" i="142"/>
  <c r="J333" i="142"/>
  <c r="C499" i="142"/>
  <c r="I644" i="142"/>
  <c r="G941" i="142"/>
  <c r="M411" i="142"/>
  <c r="F138" i="142"/>
  <c r="I444" i="142"/>
  <c r="G133" i="142"/>
  <c r="D212" i="142"/>
  <c r="H230" i="142"/>
  <c r="M737" i="142"/>
  <c r="L401" i="142"/>
  <c r="F997" i="142"/>
  <c r="H425" i="142"/>
  <c r="G428" i="142"/>
  <c r="I729" i="142"/>
  <c r="C17" i="142"/>
  <c r="E168" i="142"/>
  <c r="K612" i="142"/>
  <c r="E523" i="142"/>
  <c r="E424" i="142"/>
  <c r="G259" i="142"/>
  <c r="E1039" i="142"/>
  <c r="M12" i="142"/>
  <c r="L618" i="142"/>
  <c r="E243" i="142"/>
  <c r="C307" i="142"/>
  <c r="C693" i="142"/>
  <c r="E311" i="142"/>
  <c r="I815" i="142"/>
  <c r="J189" i="142"/>
  <c r="L839" i="142"/>
  <c r="I172" i="142"/>
  <c r="K825" i="142"/>
  <c r="L666" i="142"/>
  <c r="G780" i="142"/>
  <c r="G859" i="142"/>
  <c r="C1145" i="142"/>
  <c r="D664" i="142"/>
  <c r="F853" i="142"/>
  <c r="C710" i="142"/>
  <c r="C610" i="142"/>
  <c r="D9" i="142"/>
  <c r="D752" i="142"/>
  <c r="M397" i="142"/>
  <c r="H9" i="142"/>
  <c r="D745" i="142"/>
  <c r="J476" i="142"/>
  <c r="E866" i="142"/>
  <c r="G212" i="142"/>
  <c r="H142" i="142"/>
  <c r="M726" i="142"/>
  <c r="E207" i="142"/>
  <c r="L245" i="142"/>
  <c r="J274" i="142"/>
  <c r="K763" i="142"/>
  <c r="C460" i="142"/>
  <c r="F891" i="142"/>
  <c r="C109" i="142"/>
  <c r="H490" i="142"/>
  <c r="I734" i="142"/>
  <c r="F788" i="142"/>
  <c r="L246" i="142"/>
  <c r="I950" i="142"/>
  <c r="I397" i="142"/>
  <c r="G817" i="142"/>
  <c r="H500" i="142"/>
  <c r="F510" i="142"/>
  <c r="I458" i="142"/>
  <c r="C44" i="142"/>
  <c r="E681" i="142"/>
  <c r="J777" i="142"/>
  <c r="L451" i="142"/>
  <c r="E554" i="142"/>
  <c r="L150" i="142"/>
  <c r="D51" i="142"/>
  <c r="G92" i="142"/>
  <c r="E805" i="142"/>
  <c r="F273" i="142"/>
  <c r="I465" i="142"/>
  <c r="H763" i="142"/>
  <c r="J365" i="142"/>
  <c r="I21" i="142"/>
  <c r="J27" i="142"/>
  <c r="L1016" i="142"/>
  <c r="I749" i="142"/>
  <c r="M949" i="142"/>
  <c r="I476" i="142"/>
  <c r="M105" i="142"/>
  <c r="I941" i="142"/>
  <c r="C585" i="142"/>
  <c r="J47" i="142"/>
  <c r="E261" i="142"/>
  <c r="D481" i="142"/>
  <c r="D875" i="142"/>
  <c r="E431" i="142"/>
  <c r="D327" i="142"/>
  <c r="D62" i="142"/>
  <c r="E584" i="142"/>
  <c r="H669" i="142"/>
  <c r="H337" i="142"/>
  <c r="E297" i="142"/>
  <c r="I583" i="142"/>
  <c r="G313" i="142"/>
  <c r="H838" i="142"/>
  <c r="K713" i="142"/>
  <c r="D283" i="142"/>
  <c r="J259" i="142"/>
  <c r="C329" i="142"/>
  <c r="J22" i="142"/>
  <c r="K415" i="142"/>
  <c r="F78" i="142"/>
  <c r="I611" i="142"/>
  <c r="J312" i="142"/>
  <c r="F8" i="142"/>
  <c r="J1113" i="142"/>
  <c r="I164" i="142"/>
  <c r="E132" i="142"/>
  <c r="H145" i="142"/>
  <c r="F160" i="142"/>
  <c r="H650" i="142"/>
  <c r="J473" i="142"/>
  <c r="M244" i="142"/>
  <c r="H41" i="142"/>
  <c r="G731" i="142"/>
  <c r="G91" i="142"/>
  <c r="E921" i="142"/>
  <c r="F449" i="142"/>
  <c r="G202" i="142"/>
  <c r="C712" i="142"/>
  <c r="E444" i="142"/>
  <c r="M606" i="142"/>
  <c r="I15" i="142"/>
  <c r="I37" i="142"/>
  <c r="I418" i="142"/>
  <c r="D602" i="142"/>
  <c r="C355" i="142"/>
  <c r="K777" i="142"/>
  <c r="I506" i="142"/>
  <c r="M267" i="142"/>
  <c r="G668" i="142"/>
  <c r="M225" i="142"/>
  <c r="J438" i="142"/>
  <c r="C932" i="142"/>
  <c r="M308" i="142"/>
  <c r="C192" i="142"/>
  <c r="F481" i="142"/>
  <c r="F165" i="142"/>
  <c r="M9" i="142"/>
  <c r="K10" i="142"/>
  <c r="H263" i="142"/>
  <c r="M188" i="142"/>
  <c r="F180" i="142"/>
  <c r="D20" i="142"/>
  <c r="I778" i="142"/>
  <c r="K716" i="142"/>
  <c r="C689" i="142"/>
  <c r="G14" i="142"/>
  <c r="E76" i="142"/>
  <c r="E152" i="142"/>
  <c r="K296" i="142"/>
  <c r="E149" i="142"/>
  <c r="E593" i="142"/>
  <c r="D578" i="142"/>
  <c r="G119" i="142"/>
  <c r="L418" i="142"/>
  <c r="M299" i="142"/>
  <c r="K411" i="142"/>
  <c r="D473" i="142"/>
  <c r="H738" i="142"/>
  <c r="C488" i="142"/>
  <c r="D344" i="142"/>
  <c r="K998" i="142"/>
  <c r="E5" i="142"/>
  <c r="D373" i="142"/>
  <c r="C998" i="142"/>
  <c r="I79" i="142"/>
  <c r="C740" i="142"/>
  <c r="K875" i="142"/>
  <c r="C799" i="142"/>
  <c r="G147" i="142"/>
  <c r="K30" i="142"/>
  <c r="J589" i="142"/>
  <c r="I480" i="142"/>
  <c r="M597" i="142"/>
  <c r="D229" i="142"/>
  <c r="M101" i="142"/>
  <c r="J943" i="142"/>
  <c r="F223" i="142"/>
  <c r="C603" i="142"/>
  <c r="L787" i="142"/>
  <c r="E150" i="142"/>
  <c r="H67" i="142"/>
  <c r="J160" i="142"/>
  <c r="J86" i="142"/>
  <c r="D566" i="142"/>
  <c r="J36" i="142"/>
  <c r="M345" i="142"/>
  <c r="E229" i="142"/>
  <c r="I544" i="142"/>
  <c r="C616" i="142"/>
  <c r="J4" i="142"/>
  <c r="M296" i="142"/>
  <c r="M274" i="142"/>
  <c r="J429" i="142"/>
  <c r="M19" i="142"/>
  <c r="G415" i="142"/>
  <c r="K1061" i="142"/>
  <c r="J444" i="142"/>
  <c r="M330" i="142"/>
  <c r="H381" i="142"/>
  <c r="M1095" i="142"/>
  <c r="D266" i="142"/>
  <c r="J701" i="142"/>
  <c r="L375" i="142"/>
  <c r="J626" i="142"/>
  <c r="D290" i="142"/>
  <c r="I275" i="142"/>
  <c r="F435" i="142"/>
  <c r="L258" i="142"/>
  <c r="K508" i="142"/>
  <c r="L311" i="142"/>
  <c r="G381" i="142"/>
  <c r="E17" i="142"/>
  <c r="J914" i="142"/>
  <c r="E557" i="142"/>
  <c r="F570" i="142"/>
  <c r="C97" i="142"/>
  <c r="G82" i="142"/>
  <c r="I477" i="142"/>
  <c r="M361" i="142"/>
  <c r="H585" i="142"/>
  <c r="I332" i="142"/>
  <c r="K182" i="142"/>
  <c r="I154" i="142"/>
  <c r="K65" i="142"/>
  <c r="L244" i="142"/>
  <c r="E479" i="142"/>
  <c r="G1085" i="142"/>
  <c r="F476" i="142"/>
  <c r="C822" i="142"/>
  <c r="D419" i="142"/>
  <c r="H934" i="142"/>
  <c r="E226" i="142"/>
  <c r="E228" i="142"/>
  <c r="E583" i="142"/>
  <c r="H390" i="142"/>
  <c r="I374" i="142"/>
  <c r="C739" i="142"/>
  <c r="L218" i="142"/>
  <c r="K911" i="142"/>
  <c r="M334" i="142"/>
  <c r="F708" i="142"/>
  <c r="K102" i="142"/>
  <c r="I725" i="142"/>
  <c r="E142" i="142"/>
  <c r="E367" i="142"/>
  <c r="C974" i="142"/>
  <c r="G1058" i="142"/>
  <c r="D1059" i="142"/>
  <c r="J576" i="142"/>
  <c r="C907" i="142"/>
  <c r="C840" i="142"/>
  <c r="G407" i="142"/>
  <c r="M176" i="142"/>
  <c r="I147" i="142"/>
  <c r="E687" i="142"/>
  <c r="E334" i="142"/>
  <c r="H610" i="142"/>
  <c r="K549" i="142"/>
  <c r="L420" i="142"/>
  <c r="K416" i="142"/>
  <c r="E389" i="142"/>
  <c r="E471" i="142"/>
  <c r="D206" i="142"/>
  <c r="I359" i="142"/>
  <c r="D350" i="142"/>
  <c r="F966" i="142"/>
  <c r="I539" i="142"/>
  <c r="J220" i="142"/>
  <c r="K1138" i="142"/>
  <c r="I1114" i="142"/>
  <c r="E951" i="142"/>
  <c r="M1125" i="142"/>
  <c r="I343" i="142"/>
  <c r="K327" i="142"/>
  <c r="C642" i="142"/>
  <c r="I321" i="142"/>
  <c r="D223" i="142"/>
  <c r="D728" i="142"/>
  <c r="C525" i="142"/>
  <c r="M753" i="142"/>
  <c r="E296" i="142"/>
  <c r="H334" i="142"/>
  <c r="M609" i="142"/>
  <c r="E481" i="142"/>
  <c r="D841" i="142"/>
  <c r="J291" i="142"/>
  <c r="M482" i="142"/>
  <c r="C521" i="142"/>
  <c r="J383" i="142"/>
  <c r="F88" i="142"/>
  <c r="H387" i="142"/>
  <c r="J751" i="142"/>
  <c r="G793" i="142"/>
  <c r="F383" i="142"/>
  <c r="L164" i="142"/>
  <c r="D121" i="142"/>
  <c r="M740" i="142"/>
  <c r="H128" i="142"/>
  <c r="J173" i="142"/>
  <c r="K536" i="142"/>
  <c r="F149" i="142"/>
  <c r="G687" i="142"/>
  <c r="G214" i="142"/>
  <c r="E26" i="142"/>
  <c r="G65" i="142"/>
  <c r="G220" i="142"/>
  <c r="K72" i="142"/>
  <c r="F875" i="142"/>
  <c r="J549" i="142"/>
  <c r="L529" i="142"/>
  <c r="I185" i="142"/>
  <c r="M438" i="142"/>
  <c r="E137" i="142"/>
  <c r="I527" i="142"/>
  <c r="J94" i="142"/>
  <c r="D836" i="142"/>
  <c r="E497" i="142"/>
  <c r="L1035" i="142"/>
  <c r="D204" i="142"/>
  <c r="I175" i="142"/>
  <c r="H772" i="142"/>
  <c r="E932" i="142"/>
  <c r="H541" i="142"/>
  <c r="E47" i="142"/>
  <c r="D163" i="142"/>
  <c r="F109" i="142"/>
  <c r="C459" i="142"/>
  <c r="J803" i="142"/>
  <c r="E860" i="142"/>
  <c r="L231" i="142"/>
  <c r="E597" i="142"/>
  <c r="M460" i="142"/>
  <c r="G144" i="142"/>
  <c r="K100" i="142"/>
  <c r="C1037" i="142"/>
  <c r="M513" i="142"/>
  <c r="E463" i="142"/>
  <c r="H905" i="142"/>
  <c r="F67" i="142"/>
  <c r="D148" i="142"/>
  <c r="G361" i="142"/>
  <c r="J256" i="142"/>
  <c r="J144" i="142"/>
  <c r="F1053" i="142"/>
  <c r="D637" i="142"/>
  <c r="H656" i="142"/>
  <c r="L64" i="142"/>
  <c r="F45" i="142"/>
  <c r="M510" i="142"/>
  <c r="L435" i="142"/>
  <c r="G370" i="142"/>
  <c r="L530" i="142"/>
  <c r="J353" i="142"/>
  <c r="M694" i="142"/>
  <c r="J84" i="142"/>
  <c r="E89" i="142"/>
  <c r="F176" i="142"/>
  <c r="G334" i="142"/>
  <c r="L260" i="142"/>
  <c r="H356" i="142"/>
  <c r="F239" i="142"/>
  <c r="C207" i="142"/>
  <c r="E675" i="142"/>
  <c r="F298" i="142"/>
  <c r="C787" i="142"/>
  <c r="I123" i="142"/>
  <c r="H46" i="142"/>
  <c r="K788" i="142"/>
  <c r="D636" i="142"/>
  <c r="I318" i="142"/>
  <c r="M550" i="142"/>
  <c r="J303" i="142"/>
  <c r="M253" i="142"/>
  <c r="H291" i="142"/>
  <c r="I492" i="142"/>
  <c r="L342" i="142"/>
  <c r="G562" i="142"/>
  <c r="E936" i="142"/>
  <c r="I280" i="142"/>
  <c r="C665" i="142"/>
  <c r="H11" i="142"/>
  <c r="J501" i="142"/>
  <c r="J65" i="142"/>
  <c r="I655" i="142"/>
  <c r="K158" i="142"/>
  <c r="J978" i="142"/>
  <c r="F275" i="142"/>
  <c r="H536" i="142"/>
  <c r="L367" i="142"/>
  <c r="L643" i="142"/>
  <c r="F839" i="142"/>
  <c r="G582" i="142"/>
  <c r="K988" i="142"/>
  <c r="F775" i="142"/>
  <c r="G1078" i="142"/>
  <c r="F1095" i="142"/>
  <c r="D59" i="142"/>
  <c r="I395" i="142"/>
  <c r="L86" i="142"/>
  <c r="M489" i="142"/>
  <c r="E543" i="142"/>
  <c r="F22" i="142"/>
  <c r="K449" i="142"/>
  <c r="D712" i="142"/>
  <c r="E62" i="142"/>
  <c r="E704" i="142"/>
  <c r="F543" i="142"/>
  <c r="H707" i="142"/>
  <c r="M387" i="142"/>
  <c r="M295" i="142"/>
  <c r="I495" i="142"/>
  <c r="H109" i="142"/>
  <c r="G454" i="142"/>
  <c r="K315" i="142"/>
  <c r="G150" i="142"/>
  <c r="D86" i="142"/>
  <c r="L619" i="142"/>
  <c r="F284" i="142"/>
  <c r="D97" i="142"/>
  <c r="J923" i="142"/>
  <c r="I188" i="142"/>
  <c r="H10" i="142"/>
  <c r="I274" i="142"/>
  <c r="G812" i="142"/>
  <c r="G163" i="142"/>
  <c r="K431" i="142"/>
  <c r="J504" i="142"/>
  <c r="I706" i="142"/>
  <c r="G616" i="142"/>
  <c r="H814" i="142"/>
  <c r="I499" i="142"/>
  <c r="I349" i="142"/>
  <c r="M542" i="142"/>
  <c r="M104" i="142"/>
  <c r="C456" i="142"/>
  <c r="K693" i="142"/>
  <c r="F252" i="142"/>
  <c r="D332" i="142"/>
  <c r="C891" i="142"/>
  <c r="F108" i="142"/>
  <c r="I400" i="142"/>
  <c r="K142" i="142"/>
  <c r="M306" i="142"/>
  <c r="I835" i="142"/>
  <c r="H62" i="142"/>
  <c r="I384" i="142"/>
  <c r="M587" i="142"/>
  <c r="E351" i="142"/>
  <c r="K322" i="142"/>
  <c r="I308" i="142"/>
  <c r="L20" i="142"/>
  <c r="I322" i="142"/>
  <c r="L660" i="142"/>
  <c r="M1021" i="142"/>
  <c r="L236" i="142"/>
  <c r="G1050" i="142"/>
  <c r="C741" i="142"/>
  <c r="F652" i="142"/>
  <c r="K882" i="142"/>
  <c r="J50" i="142"/>
  <c r="C436" i="142"/>
  <c r="F1063" i="142"/>
  <c r="H506" i="142"/>
  <c r="H891" i="142"/>
  <c r="F374" i="142"/>
  <c r="I221" i="142"/>
  <c r="E595" i="142"/>
  <c r="K116" i="142"/>
  <c r="L133" i="142"/>
  <c r="K519" i="142"/>
  <c r="L116" i="142"/>
  <c r="I136" i="142"/>
  <c r="E46" i="142"/>
  <c r="J827" i="142"/>
  <c r="E321" i="142"/>
  <c r="C168" i="142"/>
  <c r="E314" i="142"/>
  <c r="K292" i="142"/>
  <c r="M558" i="142"/>
  <c r="D964" i="142"/>
  <c r="J127" i="142"/>
  <c r="L176" i="142"/>
  <c r="M27" i="142"/>
  <c r="J596" i="142"/>
  <c r="J125" i="142"/>
  <c r="I311" i="142"/>
  <c r="I518" i="142"/>
  <c r="G195" i="142"/>
  <c r="F46" i="142"/>
  <c r="M434" i="142"/>
  <c r="H454" i="142"/>
  <c r="D582" i="142"/>
  <c r="G660" i="142"/>
  <c r="M186" i="142"/>
  <c r="C368" i="142"/>
  <c r="D325" i="142"/>
  <c r="L208" i="142"/>
  <c r="G419" i="142"/>
  <c r="D417" i="142"/>
  <c r="L823" i="142"/>
  <c r="J779" i="142"/>
  <c r="E25" i="142"/>
  <c r="M657" i="142"/>
  <c r="F92" i="142"/>
  <c r="L764" i="142"/>
  <c r="M58" i="142"/>
  <c r="E382" i="142"/>
  <c r="L504" i="142"/>
  <c r="L765" i="142"/>
  <c r="C999" i="142"/>
  <c r="G304" i="142"/>
  <c r="M535" i="142"/>
  <c r="C330" i="142"/>
  <c r="K426" i="142"/>
  <c r="F377" i="142"/>
  <c r="J989" i="142"/>
  <c r="I26" i="142"/>
  <c r="J721" i="142"/>
  <c r="G294" i="142"/>
  <c r="K520" i="142"/>
  <c r="J51" i="142"/>
  <c r="C572" i="142"/>
  <c r="H966" i="142"/>
  <c r="D898" i="142"/>
  <c r="D1089" i="142"/>
  <c r="J714" i="142"/>
  <c r="L531" i="142"/>
  <c r="D546" i="142"/>
  <c r="K566" i="142"/>
  <c r="E39" i="142"/>
  <c r="G219" i="142"/>
  <c r="G567" i="142"/>
  <c r="D250" i="142"/>
  <c r="G112" i="142"/>
  <c r="M830" i="142"/>
  <c r="H477" i="142"/>
  <c r="G105" i="142"/>
  <c r="D445" i="142"/>
  <c r="D896" i="142"/>
  <c r="C385" i="142"/>
  <c r="D662" i="142"/>
  <c r="M828" i="142"/>
  <c r="J935" i="142"/>
  <c r="G662" i="142"/>
  <c r="E144" i="142"/>
  <c r="G909" i="142"/>
  <c r="J391" i="142"/>
  <c r="H641" i="142"/>
  <c r="F717" i="142"/>
  <c r="I149" i="142"/>
  <c r="G107" i="142"/>
  <c r="C184" i="142"/>
  <c r="L400" i="142"/>
  <c r="I759" i="142"/>
  <c r="I96" i="142"/>
  <c r="F1134" i="142"/>
  <c r="M610" i="142"/>
  <c r="C615" i="142"/>
  <c r="I389" i="142"/>
  <c r="F379" i="142"/>
  <c r="E178" i="142"/>
  <c r="J720" i="142"/>
  <c r="J990" i="142"/>
  <c r="J606" i="142"/>
  <c r="E725" i="142"/>
  <c r="L99" i="142"/>
  <c r="D217" i="142"/>
  <c r="H161" i="142"/>
  <c r="F228" i="142"/>
  <c r="D713" i="142"/>
  <c r="F296" i="142"/>
  <c r="E589" i="142"/>
  <c r="G255" i="142"/>
  <c r="D502" i="142"/>
  <c r="L879" i="142"/>
  <c r="K313" i="142"/>
  <c r="L1033" i="142"/>
  <c r="C313" i="142"/>
  <c r="D409" i="142"/>
  <c r="C513" i="142"/>
  <c r="K489" i="142"/>
  <c r="I315" i="142"/>
  <c r="C82" i="142"/>
  <c r="H596" i="142"/>
  <c r="D539" i="142"/>
  <c r="K632" i="142"/>
  <c r="F214" i="142"/>
  <c r="E852" i="142"/>
  <c r="E352" i="142"/>
  <c r="H550" i="142"/>
  <c r="H996" i="142"/>
  <c r="E344" i="142"/>
  <c r="M623" i="142"/>
  <c r="E65" i="142"/>
  <c r="D67" i="142"/>
  <c r="E547" i="142"/>
  <c r="F440" i="142"/>
  <c r="D139" i="142"/>
  <c r="G950" i="142"/>
  <c r="I881" i="142"/>
  <c r="L614" i="142"/>
  <c r="D645" i="142"/>
  <c r="C105" i="142"/>
  <c r="E820" i="142"/>
  <c r="J531" i="142"/>
  <c r="F134" i="142"/>
  <c r="J418" i="142"/>
  <c r="I609" i="142"/>
  <c r="C851" i="142"/>
  <c r="L26" i="142"/>
  <c r="L889" i="142"/>
  <c r="E824" i="142"/>
  <c r="I860" i="142"/>
  <c r="M352" i="142"/>
  <c r="I151" i="142"/>
  <c r="E8" i="142"/>
  <c r="G617" i="142"/>
  <c r="M100" i="142"/>
  <c r="D770" i="142"/>
  <c r="L388" i="142"/>
  <c r="E253" i="142"/>
  <c r="J999" i="142"/>
  <c r="M1119" i="142"/>
  <c r="D1110" i="142"/>
  <c r="C300" i="142"/>
  <c r="H785" i="142"/>
  <c r="K531" i="142"/>
  <c r="E79" i="142"/>
  <c r="M835" i="142"/>
  <c r="G393" i="142"/>
  <c r="K93" i="142"/>
  <c r="M95" i="142"/>
  <c r="I790" i="142"/>
  <c r="G826" i="142"/>
  <c r="C299" i="142"/>
  <c r="L247" i="142"/>
  <c r="J646" i="142"/>
  <c r="J778" i="142"/>
  <c r="D338" i="142"/>
  <c r="I263" i="142"/>
  <c r="E585" i="142"/>
  <c r="E1063" i="142"/>
  <c r="I174" i="142"/>
  <c r="K755" i="142"/>
  <c r="I304" i="142"/>
  <c r="C28" i="142"/>
  <c r="E531" i="142"/>
  <c r="F711" i="142"/>
  <c r="M663" i="142"/>
  <c r="K335" i="142"/>
  <c r="M516" i="142"/>
  <c r="L405" i="142"/>
  <c r="H330" i="142"/>
  <c r="I289" i="142"/>
  <c r="M243" i="142"/>
  <c r="M605" i="142"/>
  <c r="E316" i="142"/>
  <c r="M424" i="142"/>
  <c r="K506" i="142"/>
  <c r="J739" i="142"/>
  <c r="G103" i="142"/>
  <c r="F144" i="142"/>
  <c r="K684" i="142"/>
  <c r="K579" i="142"/>
  <c r="J1013" i="142"/>
  <c r="F47" i="142"/>
  <c r="I664" i="142"/>
  <c r="M1046" i="142"/>
  <c r="J425" i="142"/>
  <c r="D910" i="142"/>
  <c r="E175" i="142"/>
  <c r="M931" i="142"/>
  <c r="J21" i="142"/>
  <c r="E139" i="142"/>
  <c r="L416" i="142"/>
  <c r="J363" i="142"/>
  <c r="C1117" i="142"/>
  <c r="I1018" i="142"/>
  <c r="C392" i="142"/>
  <c r="G860" i="142"/>
  <c r="C773" i="142"/>
  <c r="F328" i="142"/>
  <c r="K1007" i="142"/>
  <c r="G831" i="142"/>
  <c r="D362" i="142"/>
  <c r="L140" i="142"/>
  <c r="F516" i="142"/>
  <c r="D72" i="142"/>
  <c r="I1119" i="142"/>
  <c r="J547" i="142"/>
  <c r="D78" i="142"/>
  <c r="G221" i="142"/>
  <c r="D183" i="142"/>
  <c r="E52" i="142"/>
  <c r="E125" i="142"/>
  <c r="E507" i="142"/>
  <c r="C915" i="142"/>
  <c r="H694" i="142"/>
  <c r="M33" i="142"/>
  <c r="J490" i="142"/>
  <c r="F119" i="142"/>
  <c r="G26" i="142"/>
  <c r="J316" i="142"/>
  <c r="L313" i="142"/>
  <c r="D313" i="142"/>
  <c r="G1003" i="142"/>
  <c r="M161" i="142"/>
  <c r="F470" i="142"/>
  <c r="D321" i="142"/>
  <c r="K1137" i="142"/>
  <c r="J299" i="142"/>
  <c r="E165" i="142"/>
  <c r="F595" i="142"/>
  <c r="E147" i="142"/>
  <c r="I933" i="142"/>
  <c r="D511" i="142"/>
  <c r="F221" i="142"/>
  <c r="G1114" i="142"/>
  <c r="M749" i="142"/>
  <c r="M868" i="142"/>
  <c r="C548" i="142"/>
  <c r="F80" i="142"/>
  <c r="E535" i="142"/>
  <c r="H74" i="142"/>
  <c r="K53" i="142"/>
  <c r="I375" i="142"/>
  <c r="D992" i="142"/>
  <c r="L123" i="142"/>
  <c r="K298" i="142"/>
  <c r="I247" i="142"/>
  <c r="F694" i="142"/>
  <c r="G411" i="142"/>
  <c r="F714" i="142"/>
  <c r="C649" i="142"/>
  <c r="L550" i="142"/>
  <c r="F111" i="142"/>
  <c r="C492" i="142"/>
  <c r="G658" i="142"/>
  <c r="F524" i="142"/>
  <c r="I90" i="142"/>
  <c r="I777" i="142"/>
  <c r="F1126" i="142"/>
  <c r="K589" i="142"/>
  <c r="J141" i="142"/>
  <c r="J793" i="142"/>
  <c r="H850" i="142"/>
  <c r="H1077" i="142"/>
  <c r="I428" i="142"/>
  <c r="C900" i="142"/>
  <c r="D773" i="142"/>
  <c r="F924" i="142"/>
  <c r="G846" i="142"/>
  <c r="I373" i="142"/>
  <c r="C968" i="142"/>
  <c r="E688" i="142"/>
  <c r="H719" i="142"/>
  <c r="H781" i="142"/>
  <c r="D293" i="142"/>
  <c r="E838" i="142"/>
  <c r="J657" i="142"/>
  <c r="E374" i="142"/>
  <c r="K773" i="142"/>
  <c r="D935" i="142"/>
  <c r="E710" i="142"/>
  <c r="K271" i="142"/>
  <c r="H949" i="142"/>
  <c r="E515" i="142"/>
  <c r="G42" i="142"/>
  <c r="M832" i="142"/>
  <c r="E608" i="142"/>
  <c r="H488" i="142"/>
  <c r="L200" i="142"/>
  <c r="E943" i="142"/>
  <c r="D372" i="142"/>
  <c r="I887" i="142"/>
  <c r="L448" i="142"/>
  <c r="H882" i="142"/>
  <c r="G252" i="142"/>
  <c r="H461" i="142"/>
  <c r="I393" i="142"/>
  <c r="G697" i="142"/>
  <c r="M231" i="142"/>
  <c r="G863" i="142"/>
  <c r="K1120" i="142"/>
  <c r="G201" i="142"/>
  <c r="J361" i="142"/>
  <c r="I50" i="142"/>
  <c r="L110" i="142"/>
  <c r="E714" i="142"/>
  <c r="C269" i="142"/>
  <c r="J1142" i="142"/>
  <c r="K525" i="142"/>
  <c r="M109" i="142"/>
  <c r="M41" i="142"/>
  <c r="K518" i="142"/>
  <c r="M342" i="142"/>
  <c r="J393" i="142"/>
  <c r="C235" i="142"/>
  <c r="E298" i="142"/>
  <c r="I10" i="142"/>
  <c r="F918" i="142"/>
  <c r="C196" i="142"/>
  <c r="L696" i="142"/>
  <c r="G297" i="142"/>
  <c r="C4" i="142"/>
  <c r="C501" i="142"/>
  <c r="H519" i="142"/>
  <c r="K139" i="142"/>
  <c r="G615" i="142"/>
  <c r="I353" i="142"/>
  <c r="G177" i="142"/>
  <c r="J12" i="142"/>
  <c r="E624" i="142"/>
  <c r="D493" i="142"/>
  <c r="E404" i="142"/>
  <c r="C43" i="142"/>
  <c r="L556" i="142"/>
  <c r="M377" i="142"/>
  <c r="D532" i="142"/>
  <c r="M182" i="142"/>
  <c r="D81" i="142"/>
  <c r="I139" i="142"/>
  <c r="H212" i="142"/>
  <c r="G19" i="142"/>
  <c r="D309" i="142"/>
  <c r="F506" i="142"/>
  <c r="F86" i="142"/>
  <c r="K561" i="142"/>
  <c r="F409" i="142"/>
  <c r="E652" i="142"/>
  <c r="C144" i="142"/>
  <c r="J188" i="142"/>
  <c r="K259" i="142"/>
  <c r="L158" i="142"/>
  <c r="J885" i="142"/>
  <c r="E457" i="142"/>
  <c r="K15" i="142"/>
  <c r="D225" i="142"/>
  <c r="H525" i="142"/>
  <c r="F549" i="142"/>
  <c r="I610" i="142"/>
  <c r="G515" i="142"/>
  <c r="I624" i="142"/>
  <c r="I674" i="142"/>
  <c r="M581" i="142"/>
  <c r="K747" i="142"/>
  <c r="D226" i="142"/>
  <c r="C774" i="142"/>
  <c r="K238" i="142"/>
  <c r="K26" i="142"/>
  <c r="L262" i="142"/>
  <c r="E110" i="142"/>
  <c r="G250" i="142"/>
  <c r="J267" i="142"/>
  <c r="L161" i="142"/>
  <c r="J599" i="142"/>
  <c r="D1084" i="142"/>
  <c r="I719" i="142"/>
  <c r="J635" i="142"/>
  <c r="J713" i="142"/>
  <c r="J1074" i="142"/>
  <c r="F387" i="142"/>
  <c r="J672" i="142"/>
  <c r="M568" i="142"/>
  <c r="C593" i="142"/>
  <c r="G283" i="142"/>
  <c r="E181" i="142"/>
  <c r="J579" i="142"/>
  <c r="M615" i="142"/>
  <c r="H1025" i="142"/>
  <c r="J650" i="142"/>
  <c r="G302" i="142"/>
  <c r="F189" i="142"/>
  <c r="E233" i="142"/>
  <c r="C455" i="142"/>
  <c r="K195" i="142"/>
  <c r="K291" i="142"/>
  <c r="L168" i="142"/>
  <c r="C574" i="142"/>
  <c r="M833" i="142"/>
  <c r="M242" i="142"/>
  <c r="I307" i="142"/>
  <c r="C474" i="142"/>
  <c r="F1046" i="142"/>
  <c r="G663" i="142"/>
  <c r="I772" i="142"/>
  <c r="L485" i="142"/>
  <c r="H27" i="142"/>
  <c r="F768" i="142"/>
  <c r="H795" i="142"/>
  <c r="G27" i="142"/>
  <c r="G223" i="142"/>
  <c r="E238" i="142"/>
  <c r="H753" i="142"/>
  <c r="I313" i="142"/>
  <c r="M353" i="142"/>
  <c r="M792" i="142"/>
  <c r="F888" i="142"/>
  <c r="K185" i="142"/>
  <c r="I330" i="142"/>
  <c r="D52" i="142"/>
  <c r="M133" i="142"/>
  <c r="J998" i="142"/>
  <c r="I598" i="142"/>
  <c r="I523" i="142"/>
  <c r="H194" i="142"/>
  <c r="G451" i="142"/>
  <c r="F54" i="142"/>
  <c r="K478" i="142"/>
  <c r="C114" i="142"/>
  <c r="E384" i="142"/>
  <c r="K347" i="142"/>
  <c r="F464" i="142"/>
  <c r="D498" i="142"/>
  <c r="I128" i="142"/>
  <c r="D169" i="142"/>
  <c r="F48" i="142"/>
  <c r="E118" i="142"/>
  <c r="G369" i="142"/>
  <c r="J621" i="142"/>
  <c r="K574" i="142"/>
  <c r="G968" i="142"/>
  <c r="M356" i="142"/>
  <c r="F484" i="142"/>
  <c r="J658" i="142"/>
  <c r="E1030" i="142"/>
  <c r="E937" i="142"/>
  <c r="F625" i="142"/>
  <c r="D329" i="142"/>
  <c r="C370" i="142"/>
  <c r="I270" i="142"/>
  <c r="M81" i="142"/>
  <c r="H511" i="142"/>
  <c r="C695" i="142"/>
  <c r="E208" i="142"/>
  <c r="F569" i="142"/>
  <c r="D635" i="142"/>
  <c r="M658" i="142"/>
  <c r="K213" i="142"/>
  <c r="I909" i="142"/>
  <c r="C65" i="142"/>
  <c r="I1076" i="142"/>
  <c r="M326" i="142"/>
  <c r="G193" i="142"/>
  <c r="I296" i="142"/>
  <c r="L298" i="142"/>
  <c r="E718" i="142"/>
  <c r="K175" i="142"/>
  <c r="I448" i="142"/>
  <c r="G529" i="142"/>
  <c r="H95" i="142"/>
  <c r="M441" i="142"/>
  <c r="I338" i="142"/>
  <c r="L708" i="142"/>
  <c r="E460" i="142"/>
  <c r="E172" i="142"/>
  <c r="L670" i="142"/>
  <c r="K670" i="142"/>
  <c r="M555" i="142"/>
  <c r="L1040" i="142"/>
  <c r="F913" i="142"/>
  <c r="F538" i="142"/>
  <c r="F142" i="142"/>
  <c r="H442" i="142"/>
  <c r="I402" i="142"/>
  <c r="C391" i="142"/>
  <c r="G810" i="142"/>
  <c r="J557" i="142"/>
  <c r="M40" i="142"/>
  <c r="D383" i="142"/>
  <c r="D623" i="142"/>
  <c r="C283" i="142"/>
  <c r="H595" i="142"/>
  <c r="F87" i="142"/>
  <c r="G215" i="142"/>
  <c r="K513" i="142"/>
  <c r="M622" i="142"/>
  <c r="J1030" i="142"/>
  <c r="G1016" i="142"/>
  <c r="K1081" i="142"/>
  <c r="J135" i="142"/>
  <c r="J206" i="142"/>
  <c r="H874" i="142"/>
  <c r="I144" i="142"/>
  <c r="I1115" i="142"/>
  <c r="K636" i="142"/>
  <c r="G337" i="142"/>
  <c r="F366" i="142"/>
  <c r="D69" i="142"/>
  <c r="D613" i="142"/>
  <c r="G409" i="142"/>
  <c r="F254" i="142"/>
  <c r="D315" i="142"/>
  <c r="H494" i="142"/>
  <c r="F827" i="142"/>
  <c r="E53" i="142"/>
  <c r="L941" i="142"/>
  <c r="J815" i="142"/>
  <c r="I537" i="142"/>
  <c r="G37" i="142"/>
  <c r="I763" i="142"/>
  <c r="J897" i="142"/>
  <c r="H628" i="142"/>
  <c r="J264" i="142"/>
  <c r="K522" i="142"/>
  <c r="J889" i="142"/>
  <c r="J338" i="142"/>
  <c r="D485" i="142"/>
  <c r="I426" i="142"/>
  <c r="I670" i="142"/>
  <c r="D761" i="142"/>
  <c r="L314" i="142"/>
  <c r="H341" i="142"/>
  <c r="F648" i="142"/>
  <c r="J332" i="142"/>
  <c r="J819" i="142"/>
  <c r="G320" i="142"/>
  <c r="H798" i="142"/>
  <c r="D833" i="142"/>
  <c r="H286" i="142"/>
  <c r="I524" i="142"/>
  <c r="H57" i="142"/>
  <c r="C705" i="142"/>
  <c r="G63" i="142"/>
  <c r="J566" i="142"/>
  <c r="H83" i="142"/>
  <c r="I646" i="142"/>
  <c r="G264" i="142"/>
  <c r="E141" i="142"/>
  <c r="C523" i="142"/>
  <c r="E400" i="142"/>
  <c r="L1117" i="142"/>
  <c r="E120" i="142"/>
  <c r="F355" i="142"/>
  <c r="F790" i="142"/>
  <c r="D1029" i="142"/>
  <c r="F504" i="142"/>
  <c r="D222" i="142"/>
  <c r="E325" i="142"/>
  <c r="C205" i="142"/>
  <c r="H180" i="142"/>
  <c r="M755" i="142"/>
  <c r="L662" i="142"/>
  <c r="I291" i="142"/>
  <c r="H420" i="142"/>
  <c r="K869" i="142"/>
  <c r="G911" i="142"/>
  <c r="D737" i="142"/>
  <c r="H207" i="142"/>
  <c r="C495" i="142"/>
  <c r="G57" i="142"/>
  <c r="J669" i="142"/>
  <c r="C537" i="142"/>
  <c r="J535" i="142"/>
  <c r="C125" i="142"/>
  <c r="J689" i="142"/>
  <c r="D90" i="142"/>
  <c r="H799" i="142"/>
  <c r="C20" i="142"/>
  <c r="H40" i="142"/>
  <c r="E711" i="142"/>
  <c r="M569" i="142"/>
  <c r="L167" i="142"/>
  <c r="I334" i="142"/>
  <c r="M600" i="142"/>
  <c r="H148" i="142"/>
  <c r="L79" i="142"/>
  <c r="H468" i="142"/>
  <c r="F76" i="142"/>
  <c r="G156" i="142"/>
  <c r="I64" i="142"/>
  <c r="D98" i="142"/>
  <c r="C877" i="142"/>
  <c r="K205" i="142"/>
  <c r="J868" i="142"/>
  <c r="K501" i="142"/>
  <c r="H502" i="142"/>
  <c r="D128" i="142"/>
  <c r="I830" i="142"/>
  <c r="E63" i="142"/>
  <c r="E330" i="142"/>
  <c r="I214" i="142"/>
  <c r="H150" i="142"/>
  <c r="H6" i="142"/>
  <c r="L888" i="142"/>
  <c r="J560" i="142"/>
  <c r="C463" i="142"/>
  <c r="L912" i="142"/>
  <c r="L215" i="142"/>
  <c r="G45" i="142"/>
  <c r="L155" i="142"/>
  <c r="D829" i="142"/>
  <c r="D258" i="142"/>
  <c r="E511" i="142"/>
  <c r="J726" i="142"/>
  <c r="L29" i="142"/>
  <c r="F447" i="142"/>
  <c r="I690" i="142"/>
  <c r="G713" i="142"/>
  <c r="F598" i="142"/>
  <c r="K860" i="142"/>
  <c r="D377" i="142"/>
  <c r="E345" i="142"/>
  <c r="G971" i="142"/>
  <c r="L162" i="142"/>
  <c r="E20" i="142"/>
  <c r="I911" i="142"/>
  <c r="D625" i="142"/>
  <c r="C30" i="142"/>
  <c r="I88" i="142"/>
  <c r="E509" i="142"/>
  <c r="F297" i="142"/>
  <c r="H544" i="142"/>
  <c r="D57" i="142"/>
  <c r="F613" i="142"/>
  <c r="C437" i="142"/>
  <c r="F56" i="142"/>
  <c r="K1008" i="142"/>
  <c r="H289" i="142"/>
  <c r="E1091" i="142"/>
  <c r="J176" i="142"/>
  <c r="J162" i="142"/>
  <c r="L53" i="142"/>
  <c r="E307" i="142"/>
  <c r="G108" i="142"/>
  <c r="F311" i="142"/>
  <c r="D376" i="142"/>
  <c r="G943" i="142"/>
  <c r="K687" i="142"/>
  <c r="G599" i="142"/>
  <c r="H37" i="142"/>
  <c r="K57" i="142"/>
  <c r="J297" i="142"/>
  <c r="F393" i="142"/>
  <c r="J617" i="142"/>
  <c r="M659" i="142"/>
  <c r="M553" i="142"/>
  <c r="F527" i="142"/>
  <c r="L653" i="142"/>
  <c r="L203" i="142"/>
  <c r="M355" i="142"/>
  <c r="D778" i="142"/>
  <c r="K37" i="142"/>
  <c r="M261" i="142"/>
  <c r="K55" i="142"/>
  <c r="D901" i="142"/>
  <c r="F705" i="142"/>
  <c r="H205" i="142"/>
  <c r="L470" i="142"/>
  <c r="I505" i="142"/>
  <c r="J134" i="142"/>
  <c r="K898" i="142"/>
  <c r="G331" i="142"/>
  <c r="K6" i="142"/>
  <c r="L354" i="142"/>
  <c r="I358" i="142"/>
  <c r="G788" i="142"/>
  <c r="I20" i="142"/>
  <c r="G745" i="142"/>
  <c r="E490" i="142"/>
  <c r="K668" i="142"/>
  <c r="I635" i="142"/>
  <c r="J773" i="142"/>
  <c r="M669" i="142"/>
  <c r="D454" i="142"/>
  <c r="F212" i="142"/>
  <c r="L127" i="142"/>
  <c r="C22" i="142"/>
  <c r="E492" i="142"/>
  <c r="G217" i="142"/>
  <c r="H762" i="142"/>
  <c r="M338" i="142"/>
  <c r="E320" i="142"/>
  <c r="L31" i="142"/>
  <c r="C223" i="142"/>
  <c r="E642" i="142"/>
  <c r="I342" i="142"/>
  <c r="J963" i="142"/>
  <c r="L733" i="142"/>
  <c r="M576" i="142"/>
  <c r="E1062" i="142"/>
  <c r="M4" i="142"/>
  <c r="C181" i="142"/>
  <c r="I473" i="142"/>
  <c r="M826" i="142"/>
  <c r="H668" i="142"/>
  <c r="H559" i="142"/>
  <c r="G453" i="142"/>
  <c r="L25" i="142"/>
  <c r="M42" i="142"/>
  <c r="D453" i="142"/>
  <c r="I571" i="142"/>
  <c r="L414" i="142"/>
  <c r="M131" i="142"/>
  <c r="M843" i="142"/>
  <c r="M571" i="142"/>
  <c r="K765" i="142"/>
  <c r="M152" i="142"/>
  <c r="I25" i="142"/>
  <c r="J610" i="142"/>
  <c r="C481" i="142"/>
  <c r="M199" i="142"/>
  <c r="J788" i="142"/>
  <c r="C116" i="142"/>
  <c r="J510" i="142"/>
  <c r="J401" i="142"/>
  <c r="C545" i="142"/>
  <c r="D583" i="142"/>
  <c r="G478" i="142"/>
  <c r="G837" i="142"/>
  <c r="C260" i="142"/>
  <c r="L1158" i="142"/>
  <c r="K792" i="142"/>
  <c r="M290" i="142"/>
  <c r="C813" i="142"/>
  <c r="I267" i="142"/>
  <c r="D631" i="142"/>
  <c r="L524" i="142"/>
  <c r="M874" i="142"/>
  <c r="G512" i="142"/>
  <c r="C18" i="142"/>
  <c r="E262" i="142"/>
  <c r="K203" i="142"/>
  <c r="C151" i="142"/>
  <c r="C332" i="142"/>
  <c r="I287" i="142"/>
  <c r="L329" i="142"/>
  <c r="C141" i="142"/>
  <c r="M936" i="142"/>
  <c r="C520" i="142"/>
  <c r="M192" i="142"/>
  <c r="F361" i="142"/>
  <c r="E184" i="142"/>
  <c r="M190" i="142"/>
  <c r="I948" i="142"/>
  <c r="F906" i="142"/>
  <c r="J39" i="142"/>
  <c r="F205" i="142"/>
  <c r="H79" i="142"/>
  <c r="F802" i="142"/>
  <c r="M493" i="142"/>
  <c r="G593" i="142"/>
  <c r="E56" i="142"/>
  <c r="C303" i="142"/>
  <c r="G586" i="142"/>
  <c r="I504" i="142"/>
  <c r="D531" i="142"/>
  <c r="D647" i="142"/>
  <c r="H1084" i="142"/>
  <c r="K154" i="142"/>
  <c r="L584" i="142"/>
  <c r="L94" i="142"/>
  <c r="K768" i="142"/>
  <c r="K547" i="142"/>
  <c r="C288" i="142"/>
  <c r="I331" i="142"/>
  <c r="M75" i="142"/>
  <c r="J187" i="142"/>
  <c r="C407" i="142"/>
  <c r="F299" i="142"/>
  <c r="E114" i="142"/>
  <c r="C292" i="142"/>
  <c r="F161" i="142"/>
  <c r="K307" i="142"/>
  <c r="L870" i="142"/>
  <c r="I47" i="142"/>
  <c r="L141" i="142"/>
  <c r="G149" i="142"/>
  <c r="M432" i="142"/>
  <c r="C884" i="142"/>
  <c r="G140" i="142"/>
  <c r="J334" i="142"/>
  <c r="E660" i="142"/>
  <c r="I493" i="142"/>
  <c r="D1075" i="142"/>
  <c r="L50" i="142"/>
  <c r="F791" i="142"/>
  <c r="I722" i="142"/>
  <c r="F457" i="142"/>
  <c r="F85" i="142"/>
  <c r="C380" i="142"/>
  <c r="G318" i="142"/>
  <c r="D368" i="142"/>
  <c r="E618" i="142"/>
  <c r="I795" i="142"/>
  <c r="J655" i="142"/>
  <c r="C654" i="142"/>
  <c r="K646" i="142"/>
  <c r="M916" i="142"/>
  <c r="J324" i="142"/>
  <c r="M181" i="142"/>
  <c r="I245" i="142"/>
  <c r="E576" i="142"/>
  <c r="I266" i="142"/>
  <c r="H1155" i="142"/>
  <c r="M314" i="142"/>
  <c r="M547" i="142"/>
  <c r="I654" i="142"/>
  <c r="G1066" i="142"/>
  <c r="D77" i="142"/>
  <c r="M60" i="142"/>
  <c r="L526" i="142"/>
  <c r="K712" i="142"/>
  <c r="I522" i="142"/>
  <c r="K500" i="142"/>
  <c r="K418" i="142"/>
  <c r="F564" i="142"/>
  <c r="I371" i="142"/>
  <c r="C692" i="142"/>
  <c r="H219" i="142"/>
  <c r="M538" i="142"/>
  <c r="C320" i="142"/>
  <c r="D125" i="142"/>
  <c r="J801" i="142"/>
  <c r="L166" i="142"/>
  <c r="D715" i="142"/>
  <c r="I293" i="142"/>
  <c r="J390" i="142"/>
  <c r="C992" i="142"/>
  <c r="L644" i="142"/>
  <c r="G392" i="142"/>
  <c r="M151" i="142"/>
  <c r="D262" i="142"/>
  <c r="D680" i="142"/>
  <c r="C527" i="142"/>
  <c r="H315" i="142"/>
  <c r="K50" i="142"/>
  <c r="I38" i="142"/>
  <c r="J1027" i="142"/>
  <c r="M774" i="142"/>
  <c r="M123" i="142"/>
  <c r="K1147" i="142"/>
  <c r="M930" i="142"/>
  <c r="F263" i="142"/>
  <c r="C1104" i="142"/>
  <c r="H201" i="142"/>
  <c r="G710" i="142"/>
  <c r="F343" i="142"/>
  <c r="E64" i="142"/>
  <c r="I532" i="142"/>
  <c r="H302" i="142"/>
  <c r="J695" i="142"/>
  <c r="F226" i="142"/>
  <c r="E128" i="142"/>
  <c r="J106" i="142"/>
  <c r="M838" i="142"/>
  <c r="C154" i="142"/>
  <c r="M15" i="142"/>
  <c r="E596" i="142"/>
  <c r="D268" i="142"/>
  <c r="C1156" i="142"/>
  <c r="M607" i="142"/>
  <c r="F807" i="142"/>
  <c r="E212" i="142"/>
  <c r="D388" i="142"/>
  <c r="H680" i="142"/>
  <c r="L292" i="142"/>
  <c r="G209" i="142"/>
  <c r="L642" i="142"/>
  <c r="F771" i="142"/>
  <c r="E257" i="142"/>
  <c r="I785" i="142"/>
  <c r="J136" i="142"/>
  <c r="L216" i="142"/>
  <c r="C472" i="142"/>
  <c r="D495" i="142"/>
  <c r="G719" i="142"/>
  <c r="E468" i="142"/>
  <c r="M635" i="142"/>
  <c r="C228" i="142"/>
  <c r="F518" i="142"/>
  <c r="D442" i="142"/>
  <c r="D1120" i="142"/>
  <c r="D849" i="142"/>
  <c r="E248" i="142"/>
  <c r="L574" i="142"/>
  <c r="D536" i="142"/>
  <c r="G81" i="142"/>
  <c r="L911" i="142"/>
  <c r="D797" i="142"/>
  <c r="F346" i="142"/>
  <c r="F408" i="142"/>
  <c r="F421" i="142"/>
  <c r="I784" i="142"/>
  <c r="L1032" i="142"/>
  <c r="L386" i="142"/>
  <c r="E517" i="142"/>
  <c r="I638" i="142"/>
  <c r="C211" i="142"/>
  <c r="L368" i="142"/>
  <c r="F1138" i="142"/>
  <c r="I1037" i="142"/>
  <c r="H445" i="142"/>
  <c r="L163" i="142"/>
  <c r="H131" i="142"/>
  <c r="E709" i="142"/>
  <c r="F596" i="142"/>
  <c r="F841" i="142"/>
  <c r="L180" i="142"/>
  <c r="D477" i="142"/>
  <c r="H648" i="142"/>
  <c r="I27" i="142"/>
  <c r="I224" i="142"/>
  <c r="M847" i="142"/>
  <c r="M350" i="142"/>
  <c r="H333" i="142"/>
  <c r="G48" i="142"/>
  <c r="L867" i="142"/>
  <c r="F744" i="142"/>
  <c r="F938" i="142"/>
  <c r="F1045" i="142"/>
  <c r="J464" i="142"/>
  <c r="J352" i="142"/>
  <c r="L37" i="142"/>
  <c r="M287" i="142"/>
  <c r="G308" i="142"/>
  <c r="J776" i="142"/>
  <c r="H73" i="142"/>
  <c r="D243" i="142"/>
  <c r="J707" i="142"/>
  <c r="D277" i="142"/>
  <c r="H173" i="142"/>
  <c r="C785" i="142"/>
  <c r="J103" i="142"/>
  <c r="C38" i="142"/>
  <c r="I52" i="142"/>
  <c r="C247" i="142"/>
  <c r="C613" i="142"/>
  <c r="D1063" i="142"/>
  <c r="F1161" i="142"/>
  <c r="M216" i="142"/>
  <c r="H146" i="142"/>
  <c r="I720" i="142"/>
  <c r="L1052" i="142"/>
  <c r="D199" i="142"/>
  <c r="C268" i="142"/>
  <c r="I319" i="142"/>
  <c r="L647" i="142"/>
  <c r="L1046" i="142"/>
  <c r="K210" i="142"/>
  <c r="D793" i="142"/>
  <c r="E615" i="142"/>
  <c r="J286" i="142"/>
  <c r="J656" i="142"/>
  <c r="K845" i="142"/>
  <c r="F257" i="142"/>
  <c r="H732" i="142"/>
  <c r="D724" i="142"/>
  <c r="J746" i="142"/>
  <c r="K342" i="142"/>
  <c r="I249" i="142"/>
  <c r="H446" i="142"/>
  <c r="I13" i="142"/>
  <c r="J687" i="142"/>
  <c r="F365" i="142"/>
  <c r="J373" i="142"/>
  <c r="L331" i="142"/>
  <c r="E443" i="142"/>
  <c r="C870" i="142"/>
  <c r="K87" i="142"/>
  <c r="I59" i="142"/>
  <c r="E829" i="142"/>
  <c r="H276" i="142"/>
  <c r="E731" i="142"/>
  <c r="I986" i="142"/>
  <c r="C426" i="142"/>
  <c r="H347" i="142"/>
  <c r="E502" i="142"/>
  <c r="M463" i="142"/>
  <c r="C41" i="142"/>
  <c r="L197" i="142"/>
  <c r="L87" i="142"/>
  <c r="J30" i="142"/>
  <c r="M396" i="142"/>
  <c r="L1096" i="142"/>
  <c r="I132" i="142"/>
  <c r="M565" i="142"/>
  <c r="K331" i="142"/>
  <c r="K14" i="142"/>
  <c r="I437" i="142"/>
  <c r="K466" i="142"/>
  <c r="L668" i="142"/>
  <c r="F663" i="142"/>
  <c r="D692" i="142"/>
  <c r="F18" i="142"/>
  <c r="L577" i="142"/>
  <c r="K379" i="142"/>
  <c r="K957" i="142"/>
  <c r="I75" i="142"/>
  <c r="C457" i="142"/>
  <c r="D5" i="142"/>
  <c r="C88" i="142"/>
  <c r="K696" i="142"/>
  <c r="F793" i="142"/>
  <c r="D421" i="142"/>
  <c r="K660" i="142"/>
  <c r="I297" i="142"/>
  <c r="F33" i="142"/>
  <c r="G227" i="142"/>
  <c r="C1034" i="142"/>
  <c r="G372" i="142"/>
  <c r="K399" i="142"/>
  <c r="E1048" i="142"/>
  <c r="J1134" i="142"/>
  <c r="K173" i="142"/>
  <c r="J550" i="142"/>
  <c r="E348" i="142"/>
  <c r="J492" i="142"/>
  <c r="I238" i="142"/>
  <c r="K664" i="142"/>
  <c r="D349" i="142"/>
  <c r="F1048" i="142"/>
  <c r="M440" i="142"/>
  <c r="K156" i="142"/>
  <c r="L228" i="142"/>
  <c r="D236" i="142"/>
  <c r="C233" i="142"/>
  <c r="I486" i="142"/>
  <c r="J584" i="142"/>
  <c r="E92" i="142"/>
  <c r="I925" i="142"/>
  <c r="E281" i="142"/>
  <c r="D665" i="142"/>
  <c r="E254" i="142"/>
  <c r="C232" i="142"/>
  <c r="J344" i="142"/>
  <c r="I72" i="142"/>
  <c r="M141" i="142"/>
  <c r="D444" i="142"/>
  <c r="G821" i="142"/>
  <c r="M293" i="142"/>
  <c r="D789" i="142"/>
  <c r="G41" i="142"/>
  <c r="K654" i="142"/>
  <c r="D221" i="142"/>
  <c r="J540" i="142"/>
  <c r="L379" i="142"/>
  <c r="J121" i="142"/>
  <c r="F909" i="142"/>
  <c r="I711" i="142"/>
  <c r="G199" i="142"/>
  <c r="I464" i="142"/>
  <c r="I534" i="142"/>
  <c r="I530" i="142"/>
  <c r="I212" i="142"/>
  <c r="K21" i="142"/>
  <c r="K403" i="142"/>
  <c r="D979" i="142"/>
  <c r="D529" i="142"/>
  <c r="I434" i="142"/>
  <c r="I173" i="142"/>
  <c r="J874" i="142"/>
  <c r="J67" i="142"/>
  <c r="I478" i="142"/>
  <c r="E396" i="142"/>
  <c r="F61" i="142"/>
  <c r="H329" i="142"/>
  <c r="H780" i="142"/>
  <c r="D300" i="142"/>
  <c r="J310" i="142"/>
  <c r="C641" i="142"/>
  <c r="K663" i="142"/>
  <c r="F428" i="142"/>
  <c r="D1013" i="142"/>
  <c r="I232" i="142"/>
  <c r="E558" i="142"/>
  <c r="C685" i="142"/>
  <c r="E210" i="142"/>
  <c r="K479" i="142"/>
  <c r="L713" i="142"/>
  <c r="L709" i="142"/>
  <c r="E427" i="142"/>
  <c r="D584" i="142"/>
  <c r="G292" i="142"/>
  <c r="D248" i="142"/>
  <c r="E332" i="142"/>
  <c r="G459" i="142"/>
  <c r="F332" i="142"/>
  <c r="I284" i="142"/>
  <c r="C230" i="142"/>
  <c r="C31" i="142"/>
  <c r="C39" i="142"/>
  <c r="H1094" i="142"/>
  <c r="J260" i="142"/>
  <c r="K187" i="142"/>
  <c r="H298" i="142"/>
  <c r="M718" i="142"/>
  <c r="K216" i="142"/>
  <c r="M125" i="142"/>
  <c r="E130" i="142"/>
  <c r="K215" i="142"/>
  <c r="G803" i="142"/>
  <c r="I1002" i="142"/>
  <c r="J1051" i="142"/>
  <c r="L18" i="142"/>
  <c r="L469" i="142"/>
  <c r="D508" i="142"/>
  <c r="E272" i="142"/>
  <c r="L732" i="142"/>
  <c r="M1017" i="142"/>
  <c r="H574" i="142"/>
  <c r="D782" i="142"/>
  <c r="K326" i="142"/>
  <c r="K164" i="142"/>
  <c r="G1111" i="142"/>
  <c r="C566" i="142"/>
  <c r="C552" i="142"/>
  <c r="C724" i="142"/>
  <c r="F341" i="142"/>
  <c r="H36" i="142"/>
  <c r="G450" i="142"/>
  <c r="D608" i="142"/>
  <c r="M294" i="142"/>
  <c r="G470" i="142"/>
  <c r="H30" i="142"/>
  <c r="I623" i="142"/>
  <c r="C349" i="142"/>
  <c r="E893" i="142"/>
  <c r="M973" i="142"/>
  <c r="E12" i="142"/>
  <c r="D75" i="142"/>
  <c r="H43" i="142"/>
  <c r="E143" i="142"/>
  <c r="L381" i="142"/>
  <c r="C282" i="142"/>
  <c r="I405" i="142"/>
  <c r="E542" i="142"/>
  <c r="L429" i="142"/>
  <c r="K639" i="142"/>
  <c r="G155" i="142"/>
  <c r="K485" i="142"/>
  <c r="H987" i="142"/>
  <c r="K227" i="142"/>
  <c r="L355" i="142"/>
  <c r="F582" i="142"/>
  <c r="F162" i="142"/>
  <c r="L773" i="142"/>
  <c r="I550" i="142"/>
  <c r="I146" i="142"/>
  <c r="I677" i="142"/>
  <c r="H586" i="142"/>
  <c r="G237" i="142"/>
  <c r="K39" i="142"/>
  <c r="M262" i="142"/>
  <c r="G897" i="142"/>
  <c r="M258" i="142"/>
  <c r="H426" i="142"/>
  <c r="J101" i="142"/>
  <c r="M747" i="142"/>
  <c r="F292" i="142"/>
  <c r="C428" i="142"/>
  <c r="K111" i="142"/>
  <c r="E480" i="142"/>
  <c r="M562" i="142"/>
  <c r="G563" i="142"/>
  <c r="F115" i="142"/>
  <c r="G757" i="142"/>
  <c r="G682" i="142"/>
  <c r="G916" i="142"/>
  <c r="G857" i="142"/>
  <c r="I62" i="142"/>
  <c r="H613" i="142"/>
  <c r="L464" i="142"/>
  <c r="L334" i="142"/>
  <c r="D1004" i="142"/>
  <c r="M315" i="142"/>
  <c r="M480" i="142"/>
  <c r="F270" i="142"/>
  <c r="H25" i="142"/>
  <c r="H963" i="142"/>
  <c r="E381" i="142"/>
  <c r="E669" i="142"/>
  <c r="G612" i="142"/>
  <c r="D241" i="142"/>
  <c r="K649" i="142"/>
  <c r="M25" i="142"/>
  <c r="G329" i="142"/>
  <c r="C222" i="142"/>
  <c r="C515" i="142"/>
  <c r="J1121" i="142"/>
  <c r="G394" i="142"/>
  <c r="J77" i="142"/>
  <c r="F1153" i="142"/>
  <c r="G581" i="142"/>
  <c r="F778" i="142"/>
  <c r="L459" i="142"/>
  <c r="I381" i="142"/>
  <c r="H489" i="142"/>
  <c r="L934" i="142"/>
  <c r="C371" i="142"/>
  <c r="J593" i="142"/>
  <c r="H1031" i="142"/>
  <c r="I816" i="142"/>
  <c r="C518" i="142"/>
  <c r="G34" i="142"/>
  <c r="J300" i="142"/>
  <c r="G671" i="142"/>
  <c r="D940" i="142"/>
  <c r="L80" i="142"/>
  <c r="G359" i="142"/>
  <c r="L457" i="142"/>
  <c r="J771" i="142"/>
  <c r="G482" i="142"/>
  <c r="C229" i="142"/>
  <c r="E259" i="142"/>
  <c r="J734" i="142"/>
  <c r="F415" i="142"/>
  <c r="L199" i="142"/>
  <c r="C304" i="142"/>
  <c r="H782" i="142"/>
  <c r="L734" i="142"/>
  <c r="F761" i="142"/>
  <c r="M599" i="142"/>
  <c r="K645" i="142"/>
  <c r="I207" i="142"/>
  <c r="E121" i="142"/>
  <c r="L239" i="142"/>
  <c r="I246" i="142"/>
  <c r="J663" i="142"/>
  <c r="F607" i="142"/>
  <c r="J484" i="142"/>
  <c r="L625" i="142"/>
  <c r="H552" i="142"/>
  <c r="F168" i="142"/>
  <c r="M507" i="142"/>
  <c r="H241" i="142"/>
  <c r="D235" i="142"/>
  <c r="E877" i="142"/>
  <c r="L364" i="142"/>
  <c r="H345" i="142"/>
  <c r="D601" i="142"/>
  <c r="K25" i="142"/>
  <c r="E564" i="142"/>
  <c r="C173" i="142"/>
  <c r="F231" i="142"/>
  <c r="G141" i="142"/>
  <c r="F70" i="142"/>
  <c r="M370" i="142"/>
  <c r="M69" i="142"/>
  <c r="G226" i="142"/>
  <c r="E475" i="142"/>
  <c r="K467" i="142"/>
  <c r="D605" i="142"/>
  <c r="G912" i="142"/>
  <c r="K252" i="142"/>
  <c r="L572" i="142"/>
  <c r="D319" i="142"/>
  <c r="L148" i="142"/>
  <c r="J246" i="142"/>
  <c r="C512" i="142"/>
  <c r="L849" i="142"/>
  <c r="F410" i="142"/>
  <c r="D76" i="142"/>
  <c r="C289" i="142"/>
  <c r="E639" i="142"/>
  <c r="G640" i="142"/>
  <c r="F534" i="142"/>
  <c r="J212" i="142"/>
  <c r="G655" i="142"/>
  <c r="F331" i="142"/>
  <c r="C865" i="142"/>
  <c r="M508" i="142"/>
  <c r="E890" i="142"/>
  <c r="J277" i="142"/>
  <c r="I695" i="142"/>
  <c r="L581" i="142"/>
  <c r="J380" i="142"/>
  <c r="E512" i="142"/>
  <c r="G561" i="142"/>
  <c r="G523" i="142"/>
  <c r="M148" i="142"/>
  <c r="G198" i="142"/>
  <c r="J350" i="142"/>
  <c r="K532" i="142"/>
  <c r="I228" i="142"/>
  <c r="I738" i="142"/>
  <c r="K1042" i="142"/>
  <c r="F475" i="142"/>
  <c r="M983" i="142"/>
  <c r="J186" i="142"/>
  <c r="D606" i="142"/>
  <c r="L30" i="142"/>
  <c r="J919" i="142"/>
  <c r="D800" i="142"/>
  <c r="J250" i="142"/>
  <c r="F521" i="142"/>
  <c r="E223" i="142"/>
  <c r="C8" i="142"/>
  <c r="L714" i="142"/>
  <c r="H988" i="142"/>
  <c r="M433" i="142"/>
  <c r="K283" i="142"/>
  <c r="I69" i="142"/>
  <c r="G123" i="142"/>
  <c r="L12" i="142"/>
  <c r="G87" i="142"/>
  <c r="I4" i="142"/>
  <c r="L1019" i="142"/>
  <c r="I929" i="142"/>
  <c r="I176" i="142"/>
  <c r="D264" i="142"/>
  <c r="L395" i="142"/>
  <c r="M223" i="142"/>
  <c r="H203" i="142"/>
  <c r="I181" i="142"/>
  <c r="C338" i="142"/>
  <c r="H224" i="142"/>
  <c r="E568" i="142"/>
  <c r="C171" i="142"/>
  <c r="C422" i="142"/>
  <c r="K197" i="142"/>
  <c r="H136" i="142"/>
  <c r="I265" i="142"/>
  <c r="L532" i="142"/>
  <c r="C284" i="142"/>
  <c r="D650" i="142"/>
  <c r="I155" i="142"/>
  <c r="D324" i="142"/>
  <c r="C800" i="142"/>
  <c r="G913" i="142"/>
  <c r="G185" i="142"/>
  <c r="L24" i="142"/>
  <c r="E306" i="142"/>
  <c r="G85" i="142"/>
  <c r="I593" i="142"/>
  <c r="D402" i="142"/>
  <c r="I202" i="142"/>
  <c r="K369" i="142"/>
  <c r="L482" i="142"/>
  <c r="K367" i="142"/>
  <c r="C598" i="142"/>
  <c r="H723" i="142"/>
  <c r="E37" i="142"/>
  <c r="H1135" i="142"/>
  <c r="C75" i="142"/>
  <c r="L98" i="142"/>
  <c r="E327" i="142"/>
  <c r="J128" i="142"/>
  <c r="L456" i="142"/>
  <c r="E264" i="142"/>
  <c r="M335" i="142"/>
  <c r="G363" i="142"/>
  <c r="G211" i="142"/>
  <c r="K75" i="142"/>
  <c r="G52" i="142"/>
  <c r="M702" i="142"/>
  <c r="G1057" i="142"/>
  <c r="K316" i="142"/>
  <c r="G526" i="142"/>
  <c r="H1019" i="142"/>
  <c r="E224" i="142"/>
  <c r="L565" i="142"/>
  <c r="D817" i="142"/>
  <c r="G425" i="142"/>
  <c r="G88" i="142"/>
  <c r="C500" i="142"/>
  <c r="M842" i="142"/>
  <c r="M178" i="142"/>
  <c r="J359" i="142"/>
  <c r="G305" i="142"/>
  <c r="I84" i="142"/>
  <c r="L227" i="142"/>
  <c r="J242" i="142"/>
  <c r="D501" i="142"/>
  <c r="H715" i="142"/>
  <c r="D406" i="142"/>
  <c r="L988" i="142"/>
  <c r="E117" i="142"/>
  <c r="J155" i="142"/>
  <c r="D155" i="142"/>
  <c r="D594" i="142"/>
  <c r="H350" i="142"/>
  <c r="M229" i="142"/>
  <c r="M281" i="142"/>
  <c r="C1052" i="142"/>
  <c r="G117" i="142"/>
  <c r="L603" i="142"/>
  <c r="F364" i="142"/>
  <c r="J35" i="142"/>
  <c r="I452" i="142"/>
  <c r="J305" i="142"/>
  <c r="G366" i="142"/>
  <c r="J583" i="142"/>
  <c r="F342" i="142"/>
  <c r="K576" i="142"/>
  <c r="F583" i="142"/>
  <c r="K159" i="142"/>
  <c r="D276" i="142"/>
  <c r="H1163" i="142"/>
  <c r="K595" i="142"/>
  <c r="H635" i="142"/>
  <c r="F375" i="142"/>
  <c r="H382" i="142"/>
  <c r="G303" i="142"/>
  <c r="J215" i="142"/>
  <c r="D434" i="142"/>
  <c r="I510" i="142"/>
  <c r="J541" i="142"/>
  <c r="E341" i="142"/>
  <c r="J962" i="142"/>
  <c r="H206" i="142"/>
  <c r="D47" i="142"/>
  <c r="D646" i="142"/>
  <c r="E600" i="142"/>
  <c r="M32" i="142"/>
  <c r="H624" i="142"/>
  <c r="E196" i="142"/>
  <c r="L571" i="142"/>
  <c r="J1108" i="142"/>
  <c r="D828" i="142"/>
  <c r="D466" i="142"/>
  <c r="H427" i="142"/>
  <c r="J555" i="142"/>
  <c r="L8" i="142"/>
  <c r="E16" i="142"/>
  <c r="G876" i="142"/>
  <c r="K655" i="142"/>
  <c r="C758" i="142"/>
  <c r="E101" i="142"/>
  <c r="L131" i="142"/>
  <c r="M514" i="142"/>
  <c r="J129" i="142"/>
  <c r="K505" i="142"/>
  <c r="K498" i="142"/>
  <c r="G532" i="142"/>
  <c r="L14" i="142"/>
  <c r="H165" i="142"/>
  <c r="I666" i="142"/>
  <c r="H463" i="142"/>
  <c r="M117" i="142"/>
  <c r="I709" i="142"/>
  <c r="I841" i="142"/>
  <c r="L704" i="142"/>
  <c r="F503" i="142"/>
  <c r="G789" i="142"/>
  <c r="D1033" i="142"/>
  <c r="E440" i="142"/>
  <c r="K529" i="142"/>
  <c r="J161" i="142"/>
  <c r="I394" i="142"/>
  <c r="J478" i="142"/>
  <c r="D750" i="142"/>
  <c r="E530" i="142"/>
  <c r="E729" i="142"/>
  <c r="D617" i="142"/>
  <c r="I111" i="142"/>
  <c r="I95" i="142"/>
  <c r="F107" i="142"/>
  <c r="I187" i="142"/>
  <c r="G1137" i="142"/>
  <c r="F605" i="142"/>
  <c r="H72" i="142"/>
  <c r="C751" i="142"/>
  <c r="L746" i="142"/>
  <c r="G272" i="142"/>
  <c r="E158" i="142"/>
  <c r="I645" i="142"/>
  <c r="J1103" i="142"/>
  <c r="H239" i="142"/>
  <c r="D676" i="142"/>
  <c r="E854" i="142"/>
  <c r="H634" i="142"/>
  <c r="F329" i="142"/>
  <c r="M348" i="142"/>
  <c r="K588" i="142"/>
  <c r="H580" i="142"/>
  <c r="K199" i="142"/>
  <c r="C352" i="142"/>
  <c r="C830" i="142"/>
  <c r="J727" i="142"/>
  <c r="I48" i="142"/>
  <c r="J315" i="142"/>
  <c r="M546" i="142"/>
  <c r="I774" i="142"/>
  <c r="I710" i="142"/>
  <c r="K459" i="142"/>
  <c r="M1122" i="142"/>
  <c r="C306" i="142"/>
  <c r="F396" i="142"/>
  <c r="G414" i="142"/>
  <c r="F245" i="142"/>
  <c r="C359" i="142"/>
  <c r="I203" i="142"/>
  <c r="G712" i="142"/>
  <c r="K594" i="142"/>
  <c r="H144" i="142"/>
  <c r="G611" i="142"/>
  <c r="L399" i="142"/>
  <c r="E189" i="142"/>
  <c r="C140" i="142"/>
  <c r="G728" i="142"/>
  <c r="I142" i="142"/>
  <c r="M380" i="142"/>
  <c r="K534" i="142"/>
  <c r="J140" i="142"/>
  <c r="L513" i="142"/>
  <c r="E719" i="142"/>
  <c r="I134" i="142"/>
  <c r="L610" i="142"/>
  <c r="G832" i="142"/>
  <c r="E450" i="142"/>
  <c r="F581" i="142"/>
  <c r="D239" i="142"/>
  <c r="H343" i="142"/>
  <c r="I671" i="142"/>
  <c r="L689" i="142"/>
  <c r="F230" i="142"/>
  <c r="H491" i="142"/>
  <c r="C753" i="142"/>
  <c r="K949" i="142"/>
  <c r="C340" i="142"/>
  <c r="E80" i="142"/>
  <c r="D951" i="142"/>
  <c r="D918" i="142"/>
  <c r="K583" i="142"/>
  <c r="K295" i="142"/>
  <c r="L328" i="142"/>
  <c r="D339" i="142"/>
  <c r="C588" i="142"/>
  <c r="C285" i="142"/>
  <c r="I344" i="142"/>
  <c r="C868" i="142"/>
  <c r="J516" i="142"/>
  <c r="K229" i="142"/>
  <c r="D1017" i="142"/>
  <c r="G1156" i="142"/>
  <c r="K217" i="142"/>
  <c r="G200" i="142"/>
  <c r="F164" i="142"/>
  <c r="C938" i="142"/>
  <c r="J871" i="142"/>
  <c r="J154" i="142"/>
  <c r="M584" i="142"/>
  <c r="C96" i="142"/>
  <c r="M83" i="142"/>
  <c r="I1089" i="142"/>
  <c r="D496" i="142"/>
  <c r="E455" i="142"/>
  <c r="D413" i="142"/>
  <c r="I279" i="142"/>
  <c r="C318" i="142"/>
  <c r="D116" i="142"/>
  <c r="H530" i="142"/>
  <c r="J331" i="142"/>
  <c r="E560" i="142"/>
  <c r="D537" i="142"/>
  <c r="M74" i="142"/>
  <c r="L1103" i="142"/>
  <c r="I22" i="142"/>
  <c r="D1066" i="142"/>
  <c r="L590" i="142"/>
  <c r="G503" i="142"/>
  <c r="H292" i="142"/>
  <c r="D3" i="142"/>
  <c r="E740" i="142"/>
  <c r="I560" i="142"/>
  <c r="G701" i="142"/>
  <c r="G79" i="142"/>
  <c r="K17" i="142"/>
  <c r="M654" i="142"/>
  <c r="L153" i="142"/>
  <c r="D480" i="142"/>
  <c r="F103" i="142"/>
  <c r="H631" i="142"/>
  <c r="H1165" i="142"/>
  <c r="M240" i="142"/>
  <c r="H16" i="142"/>
  <c r="D363" i="142"/>
  <c r="C657" i="142"/>
  <c r="H149" i="142"/>
  <c r="J308" i="142"/>
  <c r="L658" i="142"/>
  <c r="G68" i="142"/>
  <c r="L266" i="142"/>
  <c r="L255" i="142"/>
  <c r="F752" i="142"/>
  <c r="G852" i="142"/>
  <c r="L792" i="142"/>
  <c r="L191" i="142"/>
  <c r="M628" i="142"/>
  <c r="I660" i="142"/>
  <c r="C896" i="142"/>
  <c r="G1155" i="142"/>
  <c r="M988" i="142"/>
  <c r="G10" i="142"/>
  <c r="J637" i="142"/>
  <c r="L118" i="142"/>
  <c r="G77" i="142"/>
  <c r="J968" i="142"/>
  <c r="K40" i="142"/>
  <c r="L842" i="142"/>
  <c r="E241" i="142"/>
  <c r="C536" i="142"/>
  <c r="H373" i="142"/>
  <c r="J710" i="142"/>
  <c r="D137" i="142"/>
  <c r="M543" i="142"/>
  <c r="C384" i="142"/>
  <c r="C824" i="142"/>
  <c r="J17" i="142"/>
  <c r="K170" i="142"/>
  <c r="K224" i="142"/>
  <c r="E386" i="142"/>
  <c r="K338" i="142"/>
  <c r="E34" i="142"/>
  <c r="J245" i="142"/>
  <c r="H1009" i="142"/>
  <c r="D599" i="142"/>
  <c r="L560" i="142"/>
  <c r="L652" i="142"/>
  <c r="C817" i="142"/>
  <c r="J151" i="142"/>
  <c r="C46" i="142"/>
  <c r="E780" i="142"/>
  <c r="C415" i="142"/>
  <c r="G840" i="142"/>
  <c r="G376" i="142"/>
  <c r="K555" i="142"/>
  <c r="J647" i="142"/>
  <c r="L271" i="142"/>
  <c r="K641" i="142"/>
  <c r="E422" i="142"/>
  <c r="D616" i="142"/>
  <c r="M165" i="142"/>
  <c r="G528" i="142"/>
  <c r="M653" i="142"/>
  <c r="G534" i="142"/>
  <c r="M372" i="142"/>
  <c r="K86" i="142"/>
  <c r="C645" i="142"/>
  <c r="H1127" i="142"/>
  <c r="D259" i="142"/>
  <c r="H208" i="142"/>
  <c r="E397" i="142"/>
  <c r="F682" i="142"/>
  <c r="G592" i="142"/>
  <c r="L757" i="142"/>
  <c r="F633" i="142"/>
  <c r="K974" i="142"/>
  <c r="J638" i="142"/>
  <c r="M409" i="142"/>
  <c r="J1038" i="142"/>
  <c r="M44" i="142"/>
  <c r="D136" i="142"/>
  <c r="C14" i="142"/>
  <c r="K733" i="142"/>
  <c r="I269" i="142"/>
  <c r="G481" i="142"/>
  <c r="D180" i="142"/>
  <c r="D548" i="142"/>
  <c r="I6" i="142"/>
  <c r="M557" i="142"/>
  <c r="E818" i="142"/>
  <c r="H69" i="142"/>
  <c r="H94" i="142"/>
  <c r="K60" i="142"/>
  <c r="I115" i="142"/>
  <c r="D796" i="142"/>
  <c r="D279" i="142"/>
  <c r="D458" i="142"/>
  <c r="C133" i="142"/>
  <c r="G261" i="142"/>
  <c r="J824" i="142"/>
  <c r="I531" i="142"/>
  <c r="J137" i="142"/>
  <c r="J428" i="142"/>
  <c r="K793" i="142"/>
  <c r="J575" i="142"/>
  <c r="C296" i="142"/>
  <c r="I71" i="142"/>
  <c r="I564" i="142"/>
  <c r="C763" i="142"/>
  <c r="M51" i="142"/>
  <c r="H362" i="142"/>
  <c r="M189" i="142"/>
  <c r="E91" i="142"/>
  <c r="K476" i="142"/>
  <c r="L147" i="142"/>
  <c r="K76" i="142"/>
  <c r="F279" i="142"/>
  <c r="F616" i="142"/>
  <c r="F773" i="142"/>
  <c r="L791" i="142"/>
  <c r="E148" i="142"/>
  <c r="L209" i="142"/>
  <c r="M410" i="142"/>
  <c r="H196" i="142"/>
  <c r="G410" i="142"/>
  <c r="K73" i="142"/>
  <c r="H336" i="142"/>
  <c r="E985" i="142"/>
  <c r="D46" i="142"/>
  <c r="D385" i="142"/>
  <c r="J435" i="142"/>
  <c r="G4" i="142"/>
  <c r="H99" i="142"/>
  <c r="F1069" i="142"/>
  <c r="C317" i="142"/>
  <c r="H308" i="142"/>
  <c r="I218" i="142"/>
  <c r="D392" i="142"/>
  <c r="M752" i="142"/>
  <c r="H101" i="142"/>
  <c r="G124" i="142"/>
  <c r="F644" i="142"/>
  <c r="C189" i="142"/>
  <c r="K619" i="142"/>
  <c r="L34" i="142"/>
  <c r="H117" i="142"/>
  <c r="M359" i="142"/>
  <c r="C128" i="142"/>
  <c r="C119" i="142"/>
  <c r="D528" i="142"/>
  <c r="I168" i="142"/>
  <c r="E959" i="142"/>
  <c r="C526" i="142"/>
  <c r="M30" i="142"/>
  <c r="C411" i="142"/>
  <c r="C547" i="142"/>
  <c r="J279" i="142"/>
  <c r="H619" i="142"/>
  <c r="M404" i="142"/>
  <c r="F340" i="142"/>
  <c r="K552" i="142"/>
  <c r="M366" i="142"/>
  <c r="G340" i="142"/>
  <c r="K35" i="142"/>
  <c r="M1126" i="142"/>
  <c r="C276" i="142"/>
  <c r="F544" i="142"/>
  <c r="G446" i="142"/>
  <c r="D186" i="142"/>
  <c r="D854" i="142"/>
  <c r="I456" i="142"/>
  <c r="D351" i="142"/>
  <c r="J649" i="142"/>
  <c r="C971" i="142"/>
  <c r="E578" i="142"/>
  <c r="D35" i="142"/>
  <c r="I183" i="142"/>
  <c r="M570" i="142"/>
  <c r="I285" i="142"/>
  <c r="C663" i="142"/>
  <c r="C770" i="142"/>
  <c r="H155" i="142"/>
  <c r="E775" i="142"/>
  <c r="E329" i="142"/>
  <c r="E799" i="142"/>
  <c r="J231" i="142"/>
  <c r="H50" i="142"/>
  <c r="K47" i="142"/>
  <c r="G894" i="142"/>
  <c r="I171" i="142"/>
  <c r="D103" i="142"/>
  <c r="F333" i="142"/>
  <c r="M662" i="142"/>
  <c r="M526" i="142"/>
  <c r="G321" i="142"/>
  <c r="I528" i="142"/>
  <c r="F353" i="142"/>
  <c r="L665" i="142"/>
  <c r="D775" i="142"/>
  <c r="C74" i="142"/>
  <c r="L1113" i="142"/>
  <c r="E317" i="142"/>
  <c r="G420" i="142"/>
  <c r="G624" i="142"/>
  <c r="M956" i="142"/>
  <c r="I575" i="142"/>
  <c r="K737" i="142"/>
  <c r="F186" i="142"/>
  <c r="J794" i="142"/>
  <c r="G379" i="142"/>
  <c r="J167" i="142"/>
  <c r="J413" i="142"/>
  <c r="L636" i="142"/>
  <c r="M174" i="142"/>
  <c r="M415" i="142"/>
  <c r="L268" i="142"/>
  <c r="G1008" i="142"/>
  <c r="I697" i="142"/>
  <c r="G626" i="142"/>
  <c r="M633" i="142"/>
  <c r="G499" i="142"/>
  <c r="I411" i="142"/>
  <c r="K734" i="142"/>
  <c r="G594" i="142"/>
  <c r="F511" i="142"/>
  <c r="M888" i="142"/>
  <c r="M316" i="142"/>
  <c r="C807" i="142"/>
  <c r="E200" i="142"/>
  <c r="L385" i="142"/>
  <c r="H727" i="142"/>
  <c r="M301" i="142"/>
  <c r="E14" i="142"/>
  <c r="G479" i="142"/>
  <c r="M781" i="142"/>
  <c r="E310" i="142"/>
  <c r="F141" i="142"/>
  <c r="E1138" i="142"/>
  <c r="I254" i="142"/>
  <c r="D540" i="142"/>
  <c r="E368" i="142"/>
  <c r="E273" i="142"/>
  <c r="J469" i="142"/>
  <c r="J619" i="142"/>
  <c r="E1054" i="142"/>
  <c r="C443" i="142"/>
  <c r="G673" i="142"/>
  <c r="G558" i="142"/>
  <c r="J3" i="142"/>
  <c r="H162" i="142"/>
  <c r="G22" i="142"/>
  <c r="G173" i="142"/>
  <c r="I219" i="142"/>
  <c r="E574" i="142"/>
  <c r="H983" i="142"/>
  <c r="I945" i="142"/>
  <c r="K98" i="142"/>
  <c r="L327" i="142"/>
  <c r="C378" i="142"/>
  <c r="D193" i="142"/>
  <c r="G585" i="142"/>
  <c r="H376" i="142"/>
  <c r="C1015" i="142"/>
  <c r="H300" i="142"/>
  <c r="I1135" i="142"/>
  <c r="D698" i="142"/>
  <c r="G659" i="142"/>
  <c r="J241" i="142"/>
  <c r="I101" i="142"/>
  <c r="M671" i="142"/>
  <c r="D192" i="142"/>
  <c r="D790" i="142"/>
  <c r="H521" i="142"/>
  <c r="F433" i="142"/>
  <c r="G32" i="142"/>
  <c r="M91" i="142"/>
  <c r="F59" i="142"/>
  <c r="F766" i="142"/>
  <c r="K725" i="142"/>
  <c r="M367" i="142"/>
  <c r="L690" i="142"/>
  <c r="G730" i="142"/>
  <c r="E459" i="142"/>
  <c r="D10" i="142"/>
  <c r="M227" i="142"/>
  <c r="G56" i="142"/>
  <c r="F7" i="142"/>
  <c r="H861" i="142"/>
  <c r="M981" i="142"/>
  <c r="C267" i="142"/>
  <c r="I237" i="142"/>
  <c r="J169" i="142"/>
  <c r="G287" i="142"/>
  <c r="M960" i="142"/>
  <c r="D43" i="142"/>
  <c r="F293" i="142"/>
  <c r="H249" i="142"/>
  <c r="L540" i="142"/>
  <c r="K280" i="142"/>
  <c r="G49" i="142"/>
  <c r="K390" i="142"/>
  <c r="F202" i="142"/>
  <c r="C274" i="142"/>
  <c r="F555" i="142"/>
  <c r="G332" i="142"/>
  <c r="F608" i="142"/>
  <c r="E71" i="142"/>
  <c r="C71" i="142"/>
  <c r="F745" i="142"/>
  <c r="H1086" i="142"/>
  <c r="L884" i="142"/>
  <c r="G384" i="142"/>
  <c r="C509" i="142"/>
  <c r="G342" i="142"/>
  <c r="E240" i="142"/>
  <c r="I814" i="142"/>
  <c r="F764" i="142"/>
  <c r="H418" i="142"/>
  <c r="C612" i="142"/>
  <c r="L387" i="142"/>
  <c r="C669" i="142"/>
  <c r="M1070" i="142"/>
  <c r="I113" i="142"/>
  <c r="C433" i="142"/>
  <c r="K724" i="142"/>
  <c r="K573" i="142"/>
  <c r="F79" i="142"/>
  <c r="M220" i="142"/>
  <c r="J1018" i="142"/>
  <c r="C393" i="142"/>
  <c r="J703" i="142"/>
  <c r="E412" i="142"/>
  <c r="C259" i="142"/>
  <c r="M195" i="142"/>
  <c r="C504" i="142"/>
  <c r="J795" i="142"/>
  <c r="I525" i="142"/>
  <c r="E645" i="142"/>
  <c r="I652" i="142"/>
  <c r="G771" i="142"/>
  <c r="F823" i="142"/>
  <c r="L63" i="142"/>
  <c r="H974" i="142"/>
  <c r="K661" i="142"/>
  <c r="H670" i="142"/>
  <c r="K24" i="142"/>
  <c r="G631" i="142"/>
  <c r="J848" i="142"/>
  <c r="C108" i="142"/>
  <c r="M371" i="142"/>
  <c r="M180" i="142"/>
  <c r="M130" i="142"/>
  <c r="J306" i="142"/>
  <c r="L362" i="142"/>
  <c r="L455" i="142"/>
  <c r="I429" i="142"/>
  <c r="L497" i="142"/>
  <c r="D260" i="142"/>
  <c r="K106" i="142"/>
  <c r="G116" i="142"/>
  <c r="C78" i="142"/>
  <c r="G462" i="142"/>
  <c r="K677" i="142"/>
  <c r="C930" i="142"/>
  <c r="E289" i="142"/>
  <c r="H721" i="142"/>
  <c r="C690" i="142"/>
  <c r="D240" i="142"/>
  <c r="F855" i="142"/>
  <c r="G476" i="142"/>
  <c r="L423" i="142"/>
  <c r="D320" i="142"/>
  <c r="E237" i="142"/>
  <c r="E191" i="142"/>
  <c r="E60" i="142"/>
  <c r="I471" i="142"/>
  <c r="C34" i="142"/>
  <c r="K387" i="142"/>
  <c r="K778" i="142"/>
  <c r="F174" i="142"/>
  <c r="E30" i="142"/>
  <c r="G326" i="142"/>
  <c r="F95" i="142"/>
  <c r="F539" i="142"/>
  <c r="L589" i="142"/>
  <c r="K412" i="142"/>
  <c r="G90" i="142"/>
  <c r="L968" i="142"/>
  <c r="E942" i="142"/>
  <c r="H627" i="142"/>
  <c r="M442" i="142"/>
  <c r="H863" i="142"/>
  <c r="I554" i="142"/>
  <c r="E263" i="142"/>
  <c r="K22" i="142"/>
  <c r="K88" i="142"/>
  <c r="F554" i="142"/>
  <c r="L32" i="142"/>
  <c r="J916" i="142"/>
  <c r="E88" i="142"/>
  <c r="J142" i="142"/>
  <c r="D1146" i="142"/>
  <c r="K376" i="142"/>
  <c r="I271" i="142"/>
  <c r="G35" i="142"/>
  <c r="H750" i="142"/>
  <c r="E323" i="142"/>
  <c r="F19" i="142"/>
  <c r="L1043" i="142"/>
  <c r="L52" i="142"/>
  <c r="G120" i="142"/>
  <c r="H233" i="142"/>
  <c r="J462" i="142"/>
  <c r="J559" i="142"/>
  <c r="L70" i="142"/>
  <c r="C179" i="142"/>
  <c r="E399" i="142"/>
  <c r="C659" i="142"/>
  <c r="E326" i="142"/>
  <c r="M212" i="142"/>
  <c r="G531" i="142"/>
  <c r="C643" i="142"/>
  <c r="I538" i="142"/>
  <c r="M517" i="142"/>
  <c r="M708" i="142"/>
  <c r="H100" i="142"/>
  <c r="I290" i="142"/>
  <c r="J156" i="142"/>
  <c r="J627" i="142"/>
  <c r="E36" i="142"/>
  <c r="H653" i="142"/>
  <c r="L370" i="142"/>
  <c r="F338" i="142"/>
  <c r="C906" i="142"/>
  <c r="F734" i="142"/>
  <c r="I828" i="142"/>
  <c r="E40" i="142"/>
  <c r="M537" i="142"/>
  <c r="J422" i="142"/>
  <c r="K121" i="142"/>
  <c r="D396" i="142"/>
  <c r="H568" i="142"/>
  <c r="K43" i="142"/>
  <c r="C341" i="142"/>
  <c r="K1075" i="142"/>
  <c r="L315" i="142"/>
  <c r="C1110" i="142"/>
  <c r="I252" i="142"/>
  <c r="D384" i="142"/>
  <c r="F281" i="142"/>
  <c r="H465" i="142"/>
  <c r="F628" i="142"/>
  <c r="J564" i="142"/>
  <c r="G646" i="142"/>
  <c r="M248" i="142"/>
  <c r="K851" i="142"/>
  <c r="H367" i="142"/>
  <c r="C604" i="142"/>
  <c r="K731" i="142"/>
  <c r="J426" i="142"/>
  <c r="D312" i="142"/>
  <c r="F565" i="142"/>
  <c r="D82" i="142"/>
  <c r="G675" i="142"/>
  <c r="F434" i="142"/>
  <c r="D486" i="142"/>
  <c r="K186" i="142"/>
  <c r="E643" i="142"/>
  <c r="G492" i="142"/>
  <c r="F39" i="142"/>
  <c r="C376" i="142"/>
  <c r="G61" i="142"/>
  <c r="H833" i="142"/>
  <c r="D247" i="142"/>
  <c r="C539" i="142"/>
  <c r="M586" i="142"/>
  <c r="F1144" i="142"/>
  <c r="M224" i="142"/>
  <c r="D6" i="142"/>
  <c r="K1128" i="142"/>
  <c r="M302" i="142"/>
  <c r="F217" i="142"/>
  <c r="H342" i="142"/>
  <c r="F1027" i="142"/>
  <c r="K474" i="142"/>
  <c r="F1071" i="142"/>
  <c r="F463" i="142"/>
  <c r="L278" i="142"/>
  <c r="I352" i="142"/>
  <c r="F480" i="142"/>
  <c r="F842" i="142"/>
  <c r="K293" i="142"/>
  <c r="G205" i="142"/>
  <c r="I665" i="142"/>
  <c r="C806" i="142"/>
  <c r="J146" i="142"/>
  <c r="F416" i="142"/>
  <c r="I561" i="142"/>
  <c r="M739" i="142"/>
  <c r="D394" i="142"/>
  <c r="F261" i="142"/>
  <c r="C194" i="142"/>
  <c r="J456" i="142"/>
  <c r="F1003" i="142"/>
  <c r="K704" i="142"/>
  <c r="I364" i="142"/>
  <c r="L175" i="142"/>
  <c r="J441" i="142"/>
  <c r="H14" i="142"/>
  <c r="F1070" i="142"/>
  <c r="G316" i="142"/>
  <c r="H270" i="142"/>
  <c r="L152" i="142"/>
  <c r="E419" i="142"/>
  <c r="K134" i="142"/>
  <c r="C626" i="142"/>
  <c r="D474" i="142"/>
  <c r="K719" i="142"/>
  <c r="D391" i="142"/>
  <c r="C92" i="142"/>
  <c r="C743" i="142"/>
  <c r="M323" i="142"/>
  <c r="C136" i="142"/>
  <c r="J582" i="142"/>
  <c r="M66" i="142"/>
  <c r="M70" i="142"/>
  <c r="G875" i="142"/>
  <c r="E1021" i="142"/>
  <c r="K204" i="142"/>
  <c r="K395" i="142"/>
  <c r="L583" i="142"/>
  <c r="E789" i="142"/>
  <c r="K363" i="142"/>
  <c r="D40" i="142"/>
  <c r="D130" i="142"/>
  <c r="J407" i="142"/>
  <c r="E638" i="142"/>
  <c r="L487" i="142"/>
  <c r="F60" i="142"/>
  <c r="M34" i="142"/>
  <c r="D114" i="142"/>
  <c r="E305" i="142"/>
  <c r="E1022" i="142"/>
  <c r="H312" i="142"/>
  <c r="C324" i="142"/>
  <c r="G608" i="142"/>
  <c r="D497" i="142"/>
  <c r="F837" i="142"/>
  <c r="K523" i="142"/>
  <c r="K420" i="142"/>
  <c r="D701" i="142"/>
  <c r="L664" i="142"/>
  <c r="D196" i="142"/>
  <c r="C553" i="142"/>
  <c r="H788" i="142"/>
  <c r="F497" i="142"/>
  <c r="M625" i="142"/>
  <c r="F405" i="142"/>
  <c r="F127" i="142"/>
  <c r="G1062" i="142"/>
  <c r="D134" i="142"/>
  <c r="H129" i="142"/>
  <c r="D717" i="142"/>
  <c r="K193" i="142"/>
  <c r="C655" i="142"/>
  <c r="L425" i="142"/>
  <c r="L1064" i="142"/>
  <c r="L747" i="142"/>
  <c r="F977" i="142"/>
  <c r="M310" i="142"/>
  <c r="K318" i="142"/>
  <c r="C290" i="142"/>
  <c r="I432" i="142"/>
  <c r="I888" i="142"/>
  <c r="J820" i="142"/>
  <c r="F58" i="142"/>
  <c r="L16" i="142"/>
  <c r="M627" i="142"/>
  <c r="D490" i="142"/>
  <c r="F1125" i="142"/>
  <c r="K720" i="142"/>
  <c r="C342" i="142"/>
  <c r="J1093" i="142"/>
  <c r="L454" i="142"/>
  <c r="H616" i="142"/>
  <c r="H458" i="142"/>
  <c r="K456" i="142"/>
  <c r="G253" i="142"/>
  <c r="L1000" i="142"/>
  <c r="M52" i="142"/>
  <c r="E339" i="142"/>
  <c r="F545" i="142"/>
  <c r="J181" i="142"/>
  <c r="G613" i="142"/>
  <c r="J85" i="142"/>
  <c r="H118" i="142"/>
  <c r="C62" i="142"/>
  <c r="C91" i="142"/>
  <c r="H179" i="142"/>
  <c r="L83" i="142"/>
  <c r="J457" i="142"/>
  <c r="F609" i="142"/>
  <c r="C280" i="142"/>
  <c r="J631" i="142"/>
  <c r="D25" i="142"/>
  <c r="H504" i="142"/>
  <c r="K219" i="142"/>
  <c r="F499" i="142"/>
  <c r="F357" i="142"/>
  <c r="L906" i="142"/>
  <c r="L562" i="142"/>
  <c r="H501" i="142"/>
  <c r="I231" i="142"/>
  <c r="F207" i="142"/>
  <c r="G576" i="142"/>
  <c r="K241" i="142"/>
  <c r="E570" i="142"/>
  <c r="I32" i="142"/>
  <c r="K634" i="142"/>
  <c r="K657" i="142"/>
  <c r="L474" i="142"/>
  <c r="K570" i="142"/>
  <c r="D8" i="142"/>
  <c r="E335" i="142"/>
  <c r="M602" i="142"/>
  <c r="C361" i="142"/>
  <c r="M501" i="142"/>
  <c r="I5" i="142"/>
  <c r="H691" i="142"/>
  <c r="D580" i="142"/>
  <c r="M707" i="142"/>
  <c r="D462" i="142"/>
  <c r="E277" i="142"/>
  <c r="H495" i="142"/>
  <c r="F53" i="142"/>
  <c r="F547" i="142"/>
  <c r="G39" i="142"/>
  <c r="M13" i="142"/>
  <c r="F419" i="142"/>
  <c r="G541" i="142"/>
  <c r="I19" i="142"/>
  <c r="D254" i="142"/>
  <c r="J696" i="142"/>
  <c r="G808" i="142"/>
  <c r="K934" i="142"/>
  <c r="L805" i="142"/>
  <c r="K829" i="142"/>
  <c r="I1160" i="142"/>
  <c r="K557" i="142"/>
  <c r="F611" i="142"/>
  <c r="K741" i="142"/>
  <c r="C582" i="142"/>
  <c r="L508" i="142"/>
  <c r="H1020" i="142"/>
  <c r="L678" i="142"/>
  <c r="C45" i="142"/>
  <c r="I676" i="142"/>
  <c r="G458" i="142"/>
  <c r="M155" i="142"/>
  <c r="G273" i="142"/>
  <c r="D430" i="142"/>
  <c r="E136" i="142"/>
  <c r="H288" i="142"/>
  <c r="H649" i="142"/>
  <c r="E514" i="142"/>
  <c r="J292" i="142"/>
  <c r="D1085" i="142"/>
  <c r="K373" i="142"/>
  <c r="H282" i="142"/>
  <c r="J369" i="142"/>
  <c r="L39" i="142"/>
  <c r="I255" i="142"/>
  <c r="G286" i="142"/>
  <c r="K254" i="142"/>
  <c r="I744" i="142"/>
  <c r="E157" i="142"/>
  <c r="H471" i="142"/>
  <c r="G1022" i="142"/>
  <c r="C217" i="142"/>
  <c r="D382" i="142"/>
  <c r="L284" i="142"/>
  <c r="M925" i="142"/>
  <c r="D1131" i="142"/>
  <c r="K651" i="142"/>
  <c r="I160" i="142"/>
  <c r="F660" i="142"/>
  <c r="L316" i="142"/>
  <c r="D475" i="142"/>
  <c r="G13" i="142"/>
  <c r="K526" i="142"/>
  <c r="L67" i="142"/>
  <c r="E353" i="142"/>
  <c r="H629" i="142"/>
  <c r="M147" i="142"/>
  <c r="H53" i="142"/>
  <c r="I1074" i="142"/>
  <c r="C3" i="142"/>
  <c r="E246" i="142"/>
  <c r="J271" i="142"/>
  <c r="K58" i="142"/>
  <c r="G696" i="142"/>
  <c r="M16" i="142"/>
  <c r="K587" i="142"/>
  <c r="G38" i="142"/>
  <c r="M349" i="142"/>
  <c r="E107" i="142"/>
  <c r="D336" i="142"/>
  <c r="E536" i="142"/>
  <c r="H322" i="142"/>
  <c r="J568" i="142"/>
  <c r="I341" i="142"/>
  <c r="K337" i="142"/>
  <c r="M523" i="142"/>
  <c r="F256" i="142"/>
  <c r="G888" i="142"/>
  <c r="C404" i="142"/>
  <c r="I74" i="142"/>
  <c r="E220" i="142"/>
  <c r="G216" i="142"/>
  <c r="G364" i="142"/>
  <c r="E119" i="142"/>
  <c r="M373" i="142"/>
  <c r="D740" i="142"/>
  <c r="J255" i="142"/>
  <c r="J313" i="142"/>
  <c r="F542" i="142"/>
  <c r="K233" i="142"/>
  <c r="G174" i="142"/>
  <c r="I779" i="142"/>
  <c r="G653" i="142"/>
  <c r="M275" i="142"/>
  <c r="E647" i="142"/>
  <c r="L1042" i="142"/>
  <c r="F446" i="142"/>
  <c r="G609" i="142"/>
  <c r="K221" i="142"/>
  <c r="L76" i="142"/>
  <c r="D275" i="142"/>
  <c r="M145" i="142"/>
  <c r="K600" i="142"/>
  <c r="M454" i="142"/>
  <c r="H711" i="142"/>
  <c r="E171" i="142"/>
  <c r="C660" i="142"/>
  <c r="F641" i="142"/>
  <c r="K389" i="142"/>
  <c r="D706" i="142"/>
  <c r="I31" i="142"/>
  <c r="G388" i="142"/>
  <c r="M509" i="142"/>
  <c r="E1052" i="142"/>
  <c r="E373" i="142"/>
  <c r="I138" i="142"/>
  <c r="I1064" i="142"/>
  <c r="F93" i="142"/>
  <c r="H531" i="142"/>
  <c r="C627" i="142"/>
  <c r="G139" i="142"/>
  <c r="M577" i="142"/>
  <c r="F14" i="142"/>
  <c r="H879" i="142"/>
  <c r="K256" i="142"/>
  <c r="H422" i="142"/>
  <c r="K512" i="142"/>
  <c r="G421" i="142"/>
  <c r="D189" i="142"/>
  <c r="L576" i="142"/>
  <c r="F90" i="142"/>
  <c r="C234" i="142"/>
  <c r="E398" i="142"/>
  <c r="C221" i="142"/>
  <c r="C29" i="142"/>
  <c r="J126" i="142"/>
  <c r="M784" i="142"/>
  <c r="J376" i="142"/>
  <c r="M167" i="142"/>
  <c r="F182" i="142"/>
  <c r="G461" i="142"/>
  <c r="D215" i="142"/>
  <c r="H358" i="142"/>
  <c r="M867" i="142"/>
  <c r="J608" i="142"/>
  <c r="G509" i="142"/>
  <c r="G535" i="142"/>
  <c r="D1035" i="142"/>
  <c r="H141" i="142"/>
  <c r="C195" i="142"/>
  <c r="H817" i="142"/>
  <c r="M369" i="142"/>
  <c r="L528" i="142"/>
  <c r="L926" i="142"/>
  <c r="M339" i="142"/>
  <c r="F330" i="142"/>
  <c r="C611" i="142"/>
  <c r="C601" i="142"/>
  <c r="E840" i="142"/>
  <c r="C86" i="142"/>
  <c r="D230" i="142"/>
  <c r="D414" i="142"/>
  <c r="C678" i="142"/>
  <c r="K559" i="142"/>
  <c r="C286" i="142"/>
  <c r="C11" i="142"/>
  <c r="C493" i="142"/>
  <c r="M775" i="142"/>
  <c r="K365" i="142"/>
  <c r="E447" i="142"/>
  <c r="I757" i="142"/>
  <c r="C314" i="142"/>
  <c r="M257" i="142"/>
  <c r="J893" i="142"/>
  <c r="J244" i="142"/>
  <c r="H187" i="142"/>
  <c r="L491" i="142"/>
  <c r="E364" i="142"/>
  <c r="E462" i="142"/>
  <c r="G213" i="142"/>
  <c r="F809" i="142"/>
  <c r="D1137" i="142"/>
  <c r="J766" i="142"/>
  <c r="C674" i="142"/>
  <c r="H87" i="142"/>
  <c r="E66" i="142"/>
  <c r="G486" i="142"/>
  <c r="D93" i="142"/>
  <c r="F163" i="142"/>
  <c r="C482" i="142"/>
  <c r="D132" i="142"/>
  <c r="M88" i="142"/>
  <c r="E501" i="142"/>
  <c r="H534" i="142"/>
  <c r="M207" i="142"/>
  <c r="G992" i="142"/>
  <c r="J20" i="142"/>
  <c r="J183" i="142"/>
  <c r="L392" i="142"/>
  <c r="I1059" i="142"/>
  <c r="J168" i="142"/>
  <c r="M706" i="142"/>
  <c r="F125" i="142"/>
  <c r="D753" i="142"/>
  <c r="J120" i="142"/>
  <c r="I413" i="142"/>
  <c r="J454" i="142"/>
  <c r="C122" i="142"/>
  <c r="K391" i="142"/>
  <c r="C182" i="142"/>
  <c r="C963" i="142"/>
  <c r="G262" i="142"/>
  <c r="D412" i="142"/>
  <c r="H689" i="142"/>
  <c r="E112" i="142"/>
  <c r="E193" i="142"/>
  <c r="H421" i="142"/>
  <c r="C843" i="142"/>
  <c r="C432" i="142"/>
  <c r="E837" i="142"/>
  <c r="M1065" i="142"/>
  <c r="G93" i="142"/>
  <c r="I317" i="142"/>
  <c r="I818" i="142"/>
  <c r="C558" i="142"/>
  <c r="G1074" i="142"/>
  <c r="M22" i="142"/>
  <c r="I300" i="142"/>
  <c r="E1042" i="142"/>
  <c r="E621" i="142"/>
  <c r="F173" i="142"/>
  <c r="K400" i="142"/>
  <c r="D245" i="142"/>
  <c r="K658" i="142"/>
  <c r="F222" i="142"/>
  <c r="M363" i="142"/>
  <c r="D161" i="142"/>
  <c r="L15" i="142"/>
  <c r="C356" i="142"/>
  <c r="H524" i="142"/>
  <c r="F23" i="142"/>
  <c r="L144" i="142"/>
  <c r="F932" i="142"/>
  <c r="H234" i="142"/>
  <c r="G121" i="142"/>
  <c r="J116" i="142"/>
  <c r="L515" i="142"/>
  <c r="M164" i="142"/>
  <c r="D297" i="142"/>
  <c r="K597" i="142"/>
  <c r="J221" i="142"/>
  <c r="E1110" i="142"/>
  <c r="L939" i="142"/>
  <c r="L84" i="142"/>
  <c r="D267" i="142"/>
  <c r="D891" i="142"/>
  <c r="G871" i="142"/>
  <c r="M321" i="142"/>
  <c r="K287" i="142"/>
  <c r="J693" i="142"/>
  <c r="D622" i="142"/>
  <c r="H699" i="142"/>
  <c r="D337" i="142"/>
  <c r="L726" i="142"/>
  <c r="D657" i="142"/>
  <c r="D435" i="142"/>
  <c r="K308" i="142"/>
  <c r="I87" i="142"/>
  <c r="M418" i="142"/>
  <c r="G362" i="142"/>
  <c r="G356" i="142"/>
  <c r="G430" i="142"/>
  <c r="C673" i="142"/>
  <c r="I382" i="142"/>
  <c r="K140" i="142"/>
  <c r="D216" i="142"/>
  <c r="J29" i="142"/>
  <c r="F634" i="142"/>
  <c r="K813" i="142"/>
  <c r="E385" i="142"/>
  <c r="I17" i="142"/>
  <c r="K66" i="142"/>
  <c r="E388" i="142"/>
  <c r="D1140" i="142"/>
  <c r="K104" i="142"/>
  <c r="I385" i="142"/>
  <c r="J301" i="142"/>
  <c r="M343" i="142"/>
  <c r="M1031" i="142"/>
  <c r="H678" i="142"/>
  <c r="H33" i="142"/>
  <c r="D457" i="142"/>
  <c r="K282" i="142"/>
  <c r="D284" i="142"/>
  <c r="I896" i="142"/>
  <c r="J375" i="142"/>
  <c r="G439" i="142"/>
  <c r="F349" i="142"/>
  <c r="J207" i="142"/>
  <c r="F201" i="142"/>
  <c r="J138" i="142"/>
  <c r="L602" i="142"/>
  <c r="M841" i="142"/>
  <c r="E537" i="142"/>
  <c r="I436" i="142"/>
  <c r="D233" i="142"/>
  <c r="C336" i="142"/>
  <c r="E292" i="142"/>
  <c r="J367" i="142"/>
  <c r="I368" i="142"/>
  <c r="G530" i="142"/>
  <c r="I1045" i="142"/>
  <c r="J248" i="142"/>
  <c r="L100" i="142"/>
  <c r="G602" i="142"/>
  <c r="D571" i="142"/>
  <c r="K965" i="142"/>
  <c r="J483" i="142"/>
  <c r="H70" i="142"/>
  <c r="E102" i="142"/>
  <c r="D291" i="142"/>
  <c r="K290" i="142"/>
  <c r="I222" i="142"/>
  <c r="D410" i="142"/>
  <c r="J698" i="142"/>
  <c r="C631" i="142"/>
  <c r="C163" i="142"/>
  <c r="D147" i="142"/>
  <c r="F1165" i="142"/>
  <c r="J684" i="142"/>
  <c r="M43" i="142"/>
  <c r="L471" i="142"/>
  <c r="M37" i="142"/>
  <c r="J472" i="142"/>
  <c r="K453" i="142"/>
  <c r="J1136" i="142"/>
  <c r="F465" i="142"/>
  <c r="F69" i="142"/>
  <c r="E324" i="142"/>
  <c r="C427" i="142"/>
  <c r="G618" i="142"/>
  <c r="M467" i="142"/>
  <c r="K603" i="142"/>
  <c r="E997" i="142"/>
  <c r="J446" i="142"/>
  <c r="L220" i="142"/>
  <c r="E648" i="142"/>
  <c r="E190" i="142"/>
  <c r="D478" i="142"/>
  <c r="L120" i="142"/>
  <c r="F100" i="142"/>
  <c r="H830" i="142"/>
  <c r="E513" i="142"/>
  <c r="K236" i="142"/>
  <c r="I581" i="142"/>
  <c r="J302" i="142"/>
  <c r="C231" i="142"/>
  <c r="K226" i="142"/>
  <c r="G12" i="142"/>
  <c r="D630" i="142"/>
  <c r="I43" i="142"/>
  <c r="H509" i="142"/>
  <c r="I701" i="142"/>
  <c r="C158" i="142"/>
  <c r="K581" i="142"/>
  <c r="F485" i="142"/>
  <c r="H411" i="142"/>
  <c r="J177" i="142"/>
  <c r="H518" i="142"/>
  <c r="F102" i="142"/>
  <c r="E418" i="142"/>
  <c r="C403" i="142"/>
  <c r="K838" i="142"/>
  <c r="F431" i="142"/>
  <c r="J16" i="142"/>
  <c r="H405" i="142"/>
  <c r="H1116" i="142"/>
  <c r="F17" i="142"/>
  <c r="K9" i="142"/>
  <c r="I179" i="142"/>
  <c r="E300" i="142"/>
  <c r="J509" i="142"/>
  <c r="G235" i="142"/>
  <c r="J314" i="142"/>
  <c r="D60" i="142"/>
  <c r="D572" i="142"/>
  <c r="J842" i="142"/>
  <c r="H38" i="142"/>
  <c r="K488" i="142"/>
  <c r="F385" i="142"/>
  <c r="L78" i="142"/>
  <c r="K735" i="142"/>
  <c r="E115" i="142"/>
  <c r="G642" i="142"/>
  <c r="I97" i="142"/>
  <c r="C334" i="142"/>
  <c r="I822" i="142"/>
  <c r="E111" i="142"/>
  <c r="I494" i="142"/>
  <c r="C59" i="142"/>
  <c r="M71" i="142"/>
  <c r="C845" i="142"/>
  <c r="M63" i="142"/>
  <c r="G734" i="142"/>
  <c r="I366" i="142"/>
  <c r="K495" i="142"/>
  <c r="M703" i="142"/>
  <c r="C519" i="142"/>
  <c r="F304" i="142"/>
  <c r="F666" i="142"/>
  <c r="E634" i="142"/>
  <c r="H227" i="142"/>
  <c r="L421" i="142"/>
  <c r="K1098" i="142"/>
  <c r="I1090" i="142"/>
  <c r="C532" i="142"/>
  <c r="K340" i="142"/>
  <c r="J786" i="142"/>
  <c r="E282" i="142"/>
  <c r="L383" i="142"/>
  <c r="I902" i="142"/>
  <c r="I227" i="142"/>
  <c r="F25" i="142"/>
  <c r="H256" i="142"/>
  <c r="D89" i="142"/>
  <c r="I916" i="142"/>
  <c r="M160" i="142"/>
  <c r="F615" i="142"/>
  <c r="H527" i="142"/>
  <c r="J590" i="142"/>
  <c r="E417" i="142"/>
  <c r="K169" i="142"/>
  <c r="I672" i="142"/>
  <c r="H855" i="142"/>
  <c r="J179" i="142"/>
  <c r="F301" i="142"/>
  <c r="F359" i="142"/>
  <c r="K659" i="142"/>
  <c r="K976" i="142"/>
  <c r="H357" i="142"/>
  <c r="J515" i="142"/>
  <c r="L38" i="142"/>
  <c r="E167" i="142"/>
  <c r="D131" i="142"/>
  <c r="C178" i="142"/>
  <c r="C607" i="142"/>
  <c r="E312" i="142"/>
  <c r="H236" i="142"/>
  <c r="C976" i="142"/>
  <c r="D126" i="142"/>
  <c r="I827" i="142"/>
  <c r="D644" i="142"/>
  <c r="I145" i="142"/>
  <c r="D366" i="142"/>
  <c r="K591" i="142"/>
  <c r="E429" i="142"/>
  <c r="L103" i="142"/>
  <c r="C929" i="142"/>
  <c r="D805" i="142"/>
  <c r="E188" i="142"/>
  <c r="L82" i="142"/>
  <c r="I454" i="142"/>
  <c r="C494" i="142"/>
  <c r="C224" i="142"/>
  <c r="D108" i="142"/>
  <c r="J814" i="142"/>
  <c r="D34" i="142"/>
  <c r="E138" i="142"/>
  <c r="E640" i="142"/>
  <c r="K305" i="142"/>
  <c r="I324" i="142"/>
  <c r="I742" i="142"/>
  <c r="E270" i="142"/>
  <c r="H547" i="1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tc={37A8AC05-575B-4004-9BFC-775C45E939EA}</author>
    <author>tc={413DE2A9-6A6D-4426-993A-E75BC18BFB67}</author>
    <author>tc={35962336-29D4-4C66-9CBD-6DC81AF739F6}</author>
    <author>tc={75229362-39A8-499A-AB65-FDB29A820DC0}</author>
    <author>Parnia Behbahani (CTR)</author>
    <author>tc={8D7530F2-6E46-4420-9CD6-5535C7591E1A}</author>
    <author>tc={96D0D1A0-84E1-4D62-BF90-06428D4F815E}</author>
    <author>tc={7BDD9662-5624-478A-9DF7-38B1D2F8823B}</author>
    <author>tc={A58C4F26-0242-4086-A8CB-7CA64F7D1724}</author>
  </authors>
  <commentList>
    <comment ref="B32" authorId="0" shapeId="0" xr:uid="{37A8AC05-575B-4004-9BFC-775C45E939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413DE2A9-6A6D-4426-993A-E75BC18BFB6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35962336-29D4-4C66-9CBD-6DC81AF739F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75229362-39A8-499A-AB65-FDB29A820DC0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N41" authorId="4" shapeId="0" xr:uid="{13ECF21E-7523-4355-93BB-2F7E97B9F48A}">
      <text>
        <r>
          <rPr>
            <sz val="11"/>
            <color theme="1"/>
            <rFont val="Aptos Narrow"/>
            <family val="2"/>
            <scheme val="minor"/>
          </rPr>
          <t>Parnia Behbahani (CTR):
the color of supernatant for fist sample is dark.</t>
        </r>
      </text>
    </comment>
    <comment ref="D50" authorId="5" shapeId="0" xr:uid="{8D7530F2-6E46-4420-9CD6-5535C7591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1" authorId="6" shapeId="0" xr:uid="{96D0D1A0-84E1-4D62-BF90-06428D4F815E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  <comment ref="D75" authorId="7" shapeId="0" xr:uid="{7BDD9662-5624-478A-9DF7-38B1D2F882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84" authorId="8" shapeId="0" xr:uid="{A58C4F26-0242-4086-A8CB-7CA64F7D1724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tc={BFC5D63F-905C-4B56-A7B3-8D010BD92365}</author>
    <author>tc={7D53739C-6A5B-4519-A5B4-05F467C7B26E}</author>
    <author>tc={54661109-7212-4378-959E-5C31F4D062B4}</author>
    <author>tc={B2289BA8-A869-4186-8D1C-B5FB84AE8CB3}</author>
    <author>Parnia Behbahani (CTR)</author>
    <author>tc={1958E322-239A-4FFA-B697-84B8CD3ADE8A}</author>
    <author>tc={A14142DE-18C7-4A66-8C7D-5C68FE92748F}</author>
    <author>tc={8D01D1A0-8573-468A-84EB-CB6EC2B4931D}</author>
    <author>tc={CCF5A466-09AA-435B-B130-833631CFEEEC}</author>
  </authors>
  <commentList>
    <comment ref="B32" authorId="0" shapeId="0" xr:uid="{BFC5D63F-905C-4B56-A7B3-8D010BD92365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7D53739C-6A5B-4519-A5B4-05F467C7B26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54661109-7212-4378-959E-5C31F4D062B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B2289BA8-A869-4186-8D1C-B5FB84AE8C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N41" authorId="4" shapeId="0" xr:uid="{2C50DB4E-2985-47ED-881C-E41BD1DB3FE5}">
      <text>
        <r>
          <rPr>
            <sz val="11"/>
            <color theme="1"/>
            <rFont val="Aptos Narrow"/>
            <family val="2"/>
            <scheme val="minor"/>
          </rPr>
          <t>Parnia Behbahani (CTR):
the color of supernatant for fist sample is dark.</t>
        </r>
      </text>
    </comment>
    <comment ref="D50" authorId="5" shapeId="0" xr:uid="{1958E322-239A-4FFA-B697-84B8CD3ADE8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1" authorId="6" shapeId="0" xr:uid="{A14142DE-18C7-4A66-8C7D-5C68FE92748F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  <comment ref="D75" authorId="7" shapeId="0" xr:uid="{8D01D1A0-8573-468A-84EB-CB6EC2B4931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84" authorId="8" shapeId="0" xr:uid="{CCF5A466-09AA-435B-B130-833631CFEEEC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tc={D63A71C3-D0DC-48BC-B8F3-C9B37A37A723}</author>
    <author>tc={0BC5545E-F27C-42A3-A145-E797B0260653}</author>
    <author>tc={74F98B96-4229-48C5-A468-B0FFD9F87B6C}</author>
    <author>tc={359591ED-F9E3-4F8B-AC07-60178109E543}</author>
    <author>tc={DA3499F7-12D1-4315-8A1B-B885F38D890B}</author>
    <author>tc={B5789C9F-7227-465E-8F17-70D59183A8B6}</author>
  </authors>
  <commentList>
    <comment ref="B32" authorId="0" shapeId="0" xr:uid="{D63A71C3-D0DC-48BC-B8F3-C9B37A37A723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0BC5545E-F27C-42A3-A145-E797B026065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74F98B96-4229-48C5-A468-B0FFD9F87B6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359591ED-F9E3-4F8B-AC07-60178109E54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DA3499F7-12D1-4315-8A1B-B885F38D890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B5789C9F-7227-465E-8F17-70D59183A8B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tc={9CBD257E-F308-4B63-9183-DABC96123391}</author>
    <author>tc={BD7956F2-B241-4FFA-B966-61BCBD484D06}</author>
    <author>tc={C486F203-C75F-476D-92F2-5D91A3A5F0DE}</author>
    <author>tc={EEAEA38A-006E-4B20-92A7-522D000CF799}</author>
    <author>tc={8E1D691A-67F6-4AE1-9954-841FBC01993A}</author>
    <author>tc={CA69E9D0-10C7-460A-937B-BF5BAB7B9B21}</author>
  </authors>
  <commentList>
    <comment ref="B32" authorId="0" shapeId="0" xr:uid="{9CBD257E-F308-4B63-9183-DABC96123391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BD7956F2-B241-4FFA-B966-61BCBD484D0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C486F203-C75F-476D-92F2-5D91A3A5F0DE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EEAEA38A-006E-4B20-92A7-522D000CF79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8E1D691A-67F6-4AE1-9954-841FBC01993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CA69E9D0-10C7-460A-937B-BF5BAB7B9B21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tc={C1653695-95EA-4ABF-B5E7-67946FFE1AA8}</author>
    <author>tc={6B35169B-2AB7-4E2F-B949-29B755CD3C55}</author>
    <author>tc={44440CD6-0241-4CF4-B5E2-563F52ADA55E}</author>
    <author>tc={61EF9EAA-E620-4A46-A500-A2D27308F2C4}</author>
    <author>tc={A6BF2A8B-4F08-4DAB-806A-2561BB766FF6}</author>
    <author>tc={DD629C78-E201-41DD-8F75-A5B23DF56801}</author>
  </authors>
  <commentList>
    <comment ref="B32" authorId="0" shapeId="0" xr:uid="{C1653695-95EA-4ABF-B5E7-67946FFE1AA8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6B35169B-2AB7-4E2F-B949-29B755CD3C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44440CD6-0241-4CF4-B5E2-563F52ADA55E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61EF9EAA-E620-4A46-A500-A2D27308F2C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A6BF2A8B-4F08-4DAB-806A-2561BB766F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DD629C78-E201-41DD-8F75-A5B23DF56801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tc={BE8505A2-9196-419D-AA39-AA517EEB10DA}</author>
    <author>tc={E6C340E4-F2A2-46AF-A6E6-131BFA6C455D}</author>
    <author>tc={06149157-A6B7-41A9-9926-18E7716BE99E}</author>
    <author>tc={42B054BF-0EAD-447F-B16F-6813A0A4C1EA}</author>
    <author>tc={0DE714C4-6271-4EB2-A0DD-45CCEB006790}</author>
    <author>tc={1B856DFB-471E-45AA-9A75-26F87332E4A7}</author>
  </authors>
  <commentList>
    <comment ref="B32" authorId="0" shapeId="0" xr:uid="{BE8505A2-9196-419D-AA39-AA517EEB10DA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highlighted value comes from plant data conversion table</t>
      </text>
    </comment>
    <comment ref="D32" authorId="1" shapeId="0" xr:uid="{E6C340E4-F2A2-46AF-A6E6-131BFA6C455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Sub-sample weight 
</t>
      </text>
    </comment>
    <comment ref="D40" authorId="2" shapeId="0" xr:uid="{06149157-A6B7-41A9-9926-18E7716BE99E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readings</t>
      </text>
    </comment>
    <comment ref="I40" authorId="3" shapeId="0" xr:uid="{42B054BF-0EAD-447F-B16F-6813A0A4C1E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 min 3 reading
Extra slots are given for outliers</t>
      </text>
    </comment>
    <comment ref="D49" authorId="4" shapeId="0" xr:uid="{0DE714C4-6271-4EB2-A0DD-45CCEB00679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Sample volume will remain same unless need to change due to thickness of filtrate </t>
      </text>
    </comment>
    <comment ref="D60" authorId="5" shapeId="0" xr:uid="{1B856DFB-471E-45AA-9A75-26F87332E4A7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+ Tray weight &gt;= 5g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<sst xmlns="http://schemas.openxmlformats.org/spreadsheetml/2006/main" count="1402" uniqueCount="313">
  <si>
    <t>Bench Scale Dewatering Test helps to find Optimum Polymer Dose (OPD) and Economical Polymer Dose (EPD)​</t>
  </si>
  <si>
    <r>
      <t xml:space="preserve">Optimum Polymer Dose​: </t>
    </r>
    <r>
      <rPr>
        <sz val="11"/>
        <color theme="1"/>
        <rFont val="Calibri"/>
        <family val="2"/>
      </rPr>
      <t xml:space="preserve">It’s a Polymer dose, based on Capillary Suction time, When CST line starts getting flat </t>
    </r>
  </si>
  <si>
    <r>
      <rPr>
        <b/>
        <sz val="12"/>
        <color rgb="FF000000"/>
        <rFont val="Calibri"/>
        <family val="2"/>
      </rPr>
      <t>Economical Polymer Dose</t>
    </r>
    <r>
      <rPr>
        <sz val="12"/>
        <color rgb="FF000000"/>
        <rFont val="Calibri"/>
        <family val="2"/>
      </rPr>
      <t>: Its based on Cake TS and Filterate TSS, point where we have Highest Case TS% and Filtereate TSS under 1 (g/L)</t>
    </r>
  </si>
  <si>
    <t>General guidelines:</t>
  </si>
  <si>
    <t xml:space="preserve"> fill in blue cells</t>
  </si>
  <si>
    <t>other cells are calculated</t>
  </si>
  <si>
    <t>Plant Data Conversion</t>
  </si>
  <si>
    <t>Summary Table</t>
  </si>
  <si>
    <t>Shampling time</t>
  </si>
  <si>
    <t>batch testing</t>
  </si>
  <si>
    <t>Belt No.</t>
  </si>
  <si>
    <t>Poly Loading (lb)</t>
  </si>
  <si>
    <t>Poly Ratio</t>
  </si>
  <si>
    <t>Floc Poly Flow (gpm)</t>
  </si>
  <si>
    <t>unit</t>
  </si>
  <si>
    <t>Plant</t>
  </si>
  <si>
    <t>OPD</t>
  </si>
  <si>
    <t>EPD</t>
  </si>
  <si>
    <t>Sludge Flow (gpm)</t>
  </si>
  <si>
    <t>Poly Floc Flow (mgd)</t>
  </si>
  <si>
    <t>BFP TS</t>
  </si>
  <si>
    <t>%TS</t>
  </si>
  <si>
    <t>Test Details</t>
  </si>
  <si>
    <t>Target table</t>
  </si>
  <si>
    <t xml:space="preserve">Polymer sol. </t>
  </si>
  <si>
    <t>Sludge Flow(mgd)</t>
  </si>
  <si>
    <t>Polymer ratio setting</t>
  </si>
  <si>
    <t>-</t>
  </si>
  <si>
    <t>SBT3 TS % LAB_TSPCT_J04</t>
  </si>
  <si>
    <t>Calculated BFP TS (%)</t>
  </si>
  <si>
    <t>Polymer dose</t>
  </si>
  <si>
    <t>lb/tonTS</t>
  </si>
  <si>
    <t>Filtrate TS</t>
  </si>
  <si>
    <t>BFP TS %</t>
  </si>
  <si>
    <t>BFP Sludge Loading (dtpd)</t>
  </si>
  <si>
    <t>Cake TS</t>
  </si>
  <si>
    <t xml:space="preserve">Sampling time </t>
  </si>
  <si>
    <t>Unit</t>
  </si>
  <si>
    <t>%</t>
  </si>
  <si>
    <t>mg TSS/L</t>
  </si>
  <si>
    <t>DIG SLDG FLOW  FROM SBT (gpm)</t>
  </si>
  <si>
    <t>Plant Polydose (Ib/ton) - method 1</t>
  </si>
  <si>
    <t>Filtrate TSS</t>
  </si>
  <si>
    <t xml:space="preserve">Analyzer </t>
  </si>
  <si>
    <t>3 - 3.9</t>
  </si>
  <si>
    <t>&lt;= 1000</t>
  </si>
  <si>
    <t>DIL WTR FLOW TO BFP (gpm)</t>
  </si>
  <si>
    <t>Plant Polydose (Ib/ton) - method 2</t>
  </si>
  <si>
    <t xml:space="preserve">Assumptions and Constants: </t>
  </si>
  <si>
    <t>Details</t>
  </si>
  <si>
    <t>1 g =</t>
  </si>
  <si>
    <t>lb</t>
  </si>
  <si>
    <t>ton</t>
  </si>
  <si>
    <t>Cup Diameter</t>
  </si>
  <si>
    <t>inches</t>
  </si>
  <si>
    <t xml:space="preserve">Cup Area: </t>
  </si>
  <si>
    <r>
      <t>m</t>
    </r>
    <r>
      <rPr>
        <vertAlign val="superscript"/>
        <sz val="12"/>
        <color theme="1"/>
        <rFont val="Aptos Narrow"/>
        <family val="2"/>
        <scheme val="minor"/>
      </rPr>
      <t>2</t>
    </r>
  </si>
  <si>
    <t>vol/vol</t>
  </si>
  <si>
    <r>
      <t>Aiming for 0.80 kg of DS per m</t>
    </r>
    <r>
      <rPr>
        <vertAlign val="superscript"/>
        <sz val="12"/>
        <color theme="1"/>
        <rFont val="Aptos Narrow"/>
        <family val="2"/>
        <scheme val="minor"/>
      </rPr>
      <t>2</t>
    </r>
    <r>
      <rPr>
        <sz val="12"/>
        <color theme="1"/>
        <rFont val="Aptos Narrow"/>
        <family val="2"/>
        <scheme val="minor"/>
      </rPr>
      <t xml:space="preserve"> of cup area</t>
    </r>
  </si>
  <si>
    <t>Cup Loading</t>
  </si>
  <si>
    <t>grams of DS</t>
  </si>
  <si>
    <t>Assuming</t>
  </si>
  <si>
    <t>TS in sludge</t>
  </si>
  <si>
    <t>Assuming 100% Capture in free drainage</t>
  </si>
  <si>
    <t>Polymer Solution</t>
  </si>
  <si>
    <t>Plains Target DS</t>
  </si>
  <si>
    <t>4 to 7</t>
  </si>
  <si>
    <t>kg DS/m</t>
  </si>
  <si>
    <t>Calculation</t>
  </si>
  <si>
    <t>Sample #</t>
  </si>
  <si>
    <t>Polymer Dose
 (lb polymer/
ton sludge)</t>
  </si>
  <si>
    <t>Actual Belt Filter Press before PD TS (%)</t>
  </si>
  <si>
    <t>Sludge Weight
 (g)</t>
  </si>
  <si>
    <t>Calculation Polymer Added(g)</t>
  </si>
  <si>
    <t>Polymer Before (g)</t>
  </si>
  <si>
    <t>Poymer after
(g)</t>
  </si>
  <si>
    <t>Actual Polymer Added (g)</t>
  </si>
  <si>
    <t>Actual Polymer Added (lb/ton)</t>
  </si>
  <si>
    <t>Sieve 
Weight (g)</t>
  </si>
  <si>
    <t>Bucket Weight (g)</t>
  </si>
  <si>
    <t>Sieve + Wet Solids Weight (g)</t>
  </si>
  <si>
    <t>Bucket + Filtrate (g)</t>
  </si>
  <si>
    <t>Capture Efficiency (%)</t>
  </si>
  <si>
    <t>Filtered Solids (g)</t>
  </si>
  <si>
    <t>Filtrate (g)</t>
  </si>
  <si>
    <t>Estimated TS% of Wet Solids on frabic</t>
  </si>
  <si>
    <t>Target WS in Cup (g)</t>
  </si>
  <si>
    <t>CST Table</t>
  </si>
  <si>
    <t>CST  Sludge (Avrg)</t>
  </si>
  <si>
    <t>CST  Supernatant (Avrg)</t>
  </si>
  <si>
    <t xml:space="preserve">CST Sludge </t>
  </si>
  <si>
    <t>CST Supernatant</t>
  </si>
  <si>
    <t>TSS - VSS</t>
  </si>
  <si>
    <t>Sample ID/#</t>
  </si>
  <si>
    <t>Foil Tray+Filter Weight (g ) #1</t>
  </si>
  <si>
    <t>Foil Tray+Filter Weight (g ) #2</t>
  </si>
  <si>
    <t>Sample Volume (ml) #1</t>
  </si>
  <si>
    <t>Sample Volume (ml) #2</t>
  </si>
  <si>
    <t>After 103 °C #1</t>
  </si>
  <si>
    <t>After 103 °C #2</t>
  </si>
  <si>
    <t>Dilution Factor</t>
  </si>
  <si>
    <t>TSS-1</t>
  </si>
  <si>
    <t>TSS-2</t>
  </si>
  <si>
    <t>TSS (g TSS/L)</t>
  </si>
  <si>
    <t>After 550 °C #1</t>
  </si>
  <si>
    <t>After 550 °C #2</t>
  </si>
  <si>
    <t>VSS-1 (%)</t>
  </si>
  <si>
    <t>VSS-2 (%)</t>
  </si>
  <si>
    <t>VSS (%)</t>
  </si>
  <si>
    <t>Plant Filterate</t>
  </si>
  <si>
    <t>.</t>
  </si>
  <si>
    <t xml:space="preserve"> </t>
  </si>
  <si>
    <t>TS - VS</t>
  </si>
  <si>
    <t>Foil Tray  (g) #1</t>
  </si>
  <si>
    <t>Foil Tray (g) #2</t>
  </si>
  <si>
    <t>Tray +Sample (g) #1</t>
  </si>
  <si>
    <t>Tray + Sample (g) #2</t>
  </si>
  <si>
    <t>TS-1 (%)</t>
  </si>
  <si>
    <t>TS-2 (%)</t>
  </si>
  <si>
    <t>TS (%)</t>
  </si>
  <si>
    <t>VS-1 (%)</t>
  </si>
  <si>
    <t>VS-2 (%)</t>
  </si>
  <si>
    <t>VS (%)</t>
  </si>
  <si>
    <t>Plant Cake</t>
  </si>
  <si>
    <t>Sludge</t>
  </si>
  <si>
    <t>CST Supernatant (second)</t>
  </si>
  <si>
    <t>CST Sludge
(second)</t>
  </si>
  <si>
    <t>Lab Cake TS
(%)</t>
  </si>
  <si>
    <t>Lab Filtrate TSS
(mg TSS/L)</t>
  </si>
  <si>
    <t>Ave</t>
  </si>
  <si>
    <t>Diff</t>
  </si>
  <si>
    <t>Tolerance
(%)</t>
  </si>
  <si>
    <t>1 or 2</t>
  </si>
  <si>
    <t>OPD
(lb/ton)</t>
  </si>
  <si>
    <t>OPD Cake TS
(%)</t>
  </si>
  <si>
    <t>OPD Filtrate TSS
(mg TSS/L)</t>
  </si>
  <si>
    <t>Manual check</t>
  </si>
  <si>
    <t>Note:
Based on Supernatant</t>
  </si>
  <si>
    <t>EOPD Checked with Cake TS
(lb/ton)</t>
  </si>
  <si>
    <t>EOPD Cake TS
(%)</t>
  </si>
  <si>
    <t>EOPD Filtrate TSS
(mg TSS/L)</t>
  </si>
  <si>
    <t>Target
 Fiftrate TSS
(mg TSS/L)</t>
  </si>
  <si>
    <t>EOPD checked with Filtrate TSS 
(lb/ton)</t>
  </si>
  <si>
    <t>Check filtrate condition</t>
  </si>
  <si>
    <t xml:space="preserve">1 or 2
</t>
  </si>
  <si>
    <t>Manual check (yes/No)</t>
  </si>
  <si>
    <t>Note</t>
  </si>
  <si>
    <t>Grab Plant PD
(lb/Ton)</t>
  </si>
  <si>
    <t>Plant Cake TS
(%)</t>
  </si>
  <si>
    <t>Plant Filtrate
(mg TSS/L)</t>
  </si>
  <si>
    <t>Lab DW Feed TS (%)</t>
  </si>
  <si>
    <t>OPD Manual checked</t>
  </si>
  <si>
    <t>EPD Manual checked</t>
  </si>
  <si>
    <t>`</t>
  </si>
  <si>
    <t>Date</t>
  </si>
  <si>
    <t>SUMMARY OF SETTLING PARAMETERS OVER TIME</t>
  </si>
  <si>
    <t>BFP TS (%)</t>
  </si>
  <si>
    <t>Plant Polymer ratio setting (vol/vol)</t>
  </si>
  <si>
    <t>Plant Polymer dose (lb/tonTS)</t>
  </si>
  <si>
    <t>Plant Filtrate TSS (mg TSS/L)</t>
  </si>
  <si>
    <t>OPD Polymer dose (lb/tonTS)</t>
  </si>
  <si>
    <t>OPD Cake TS (%)</t>
  </si>
  <si>
    <t>OPD Filtrate TSS (mg TSS/L)</t>
  </si>
  <si>
    <t>EPD Polymer dose (lb/tonTS)</t>
  </si>
  <si>
    <t>EPD Cake TS (%)</t>
  </si>
  <si>
    <t>EPD Filtrate TSS (mg TSS/L)</t>
  </si>
  <si>
    <t>09_17_2021</t>
  </si>
  <si>
    <t>11_03_2021</t>
  </si>
  <si>
    <t>11_10_2021</t>
  </si>
  <si>
    <t>11_17_2021</t>
  </si>
  <si>
    <t>11_24_2021</t>
  </si>
  <si>
    <t>12_01_2021</t>
  </si>
  <si>
    <t>12_08_2021</t>
  </si>
  <si>
    <t>12_17_2021</t>
  </si>
  <si>
    <t>12_22_2021</t>
  </si>
  <si>
    <t>01_06_2022</t>
  </si>
  <si>
    <t>01_24_2022</t>
  </si>
  <si>
    <t>01_31_2022</t>
  </si>
  <si>
    <t>02_11_2022</t>
  </si>
  <si>
    <t>02_14_2022</t>
  </si>
  <si>
    <t>02_25_2022</t>
  </si>
  <si>
    <t>02_28_2022</t>
  </si>
  <si>
    <t>03_07_2022</t>
  </si>
  <si>
    <t>03_14_2022</t>
  </si>
  <si>
    <t>04_04_2022</t>
  </si>
  <si>
    <t>04_11_2022</t>
  </si>
  <si>
    <t>04_27_2022</t>
  </si>
  <si>
    <t>05_26_2022</t>
  </si>
  <si>
    <t>06_02_2022</t>
  </si>
  <si>
    <t>06_09_2022</t>
  </si>
  <si>
    <t>06_16_2022</t>
  </si>
  <si>
    <t>06_23_2022</t>
  </si>
  <si>
    <t>06_28_2022</t>
  </si>
  <si>
    <t>07_06_2022</t>
  </si>
  <si>
    <t>07_13_2022</t>
  </si>
  <si>
    <t>07_21_2022</t>
  </si>
  <si>
    <t>08_04_2022</t>
  </si>
  <si>
    <t>08_12_2022</t>
  </si>
  <si>
    <t>08_15_2022</t>
  </si>
  <si>
    <t>08_26_2022</t>
  </si>
  <si>
    <t>09_02_2022</t>
  </si>
  <si>
    <t>09_09_2022</t>
  </si>
  <si>
    <t>09_16_2022</t>
  </si>
  <si>
    <t>09_23_2022</t>
  </si>
  <si>
    <t>10_07_2022</t>
  </si>
  <si>
    <t>10_14_2022</t>
  </si>
  <si>
    <t>10_21_2022</t>
  </si>
  <si>
    <t>10_28_2022</t>
  </si>
  <si>
    <t>11_04_2022</t>
  </si>
  <si>
    <t>11_10_2022</t>
  </si>
  <si>
    <t>11_17_2022</t>
  </si>
  <si>
    <t>11_25_2022</t>
  </si>
  <si>
    <t>12_02_2022</t>
  </si>
  <si>
    <t>12_09_2022</t>
  </si>
  <si>
    <t>12_16_2022</t>
  </si>
  <si>
    <t>12_22_2022</t>
  </si>
  <si>
    <t>12_30_2022</t>
  </si>
  <si>
    <t>03_09_2023</t>
  </si>
  <si>
    <t>03_16_2023</t>
  </si>
  <si>
    <t>03_23_2023</t>
  </si>
  <si>
    <t>04_04_2023</t>
  </si>
  <si>
    <t>05_17_2023</t>
  </si>
  <si>
    <t>05_25_2023</t>
  </si>
  <si>
    <t>05_26_2023</t>
  </si>
  <si>
    <t>06_01_2023</t>
  </si>
  <si>
    <t>06_05_2023</t>
  </si>
  <si>
    <t>06_16_2023</t>
  </si>
  <si>
    <t>06_22_2023</t>
  </si>
  <si>
    <t>06_28_2023</t>
  </si>
  <si>
    <t>07_12_2023</t>
  </si>
  <si>
    <t>07_19_2023</t>
  </si>
  <si>
    <t>07_24_2023</t>
  </si>
  <si>
    <t>07_31_2023</t>
  </si>
  <si>
    <t>09_18_2023</t>
  </si>
  <si>
    <t>09_25_2023</t>
  </si>
  <si>
    <t>10_02_2023</t>
  </si>
  <si>
    <t>10_12_2023</t>
  </si>
  <si>
    <t>10_16_2023</t>
  </si>
  <si>
    <t>10_26_2023</t>
  </si>
  <si>
    <t>11_01_2023</t>
  </si>
  <si>
    <t>11_07_2023</t>
  </si>
  <si>
    <t>11_14_2023</t>
  </si>
  <si>
    <t>11_21_2023</t>
  </si>
  <si>
    <t>11_29_2023</t>
  </si>
  <si>
    <t>12_06_2023</t>
  </si>
  <si>
    <t>12_13_2023</t>
  </si>
  <si>
    <t>12_19_2023</t>
  </si>
  <si>
    <t>12_28_2023</t>
  </si>
  <si>
    <t>01_04_2024</t>
  </si>
  <si>
    <t>01_09_2024</t>
  </si>
  <si>
    <t>01_18_2024</t>
  </si>
  <si>
    <t>01_22_2024</t>
  </si>
  <si>
    <t>01_29_2024</t>
  </si>
  <si>
    <t>02_05_2024</t>
  </si>
  <si>
    <t>02_15_2024</t>
  </si>
  <si>
    <t>02_16_2024</t>
  </si>
  <si>
    <t>02_23_2024</t>
  </si>
  <si>
    <t>03_01_2024</t>
  </si>
  <si>
    <t>03_08_2024</t>
  </si>
  <si>
    <t>03_15_2024</t>
  </si>
  <si>
    <t>03_25_2024</t>
  </si>
  <si>
    <t>03_29_2024</t>
  </si>
  <si>
    <t>04_02_2024</t>
  </si>
  <si>
    <t>04_16_2024</t>
  </si>
  <si>
    <t>04_09_2024</t>
  </si>
  <si>
    <t>04_23_2024</t>
  </si>
  <si>
    <t>05_03_2024</t>
  </si>
  <si>
    <t>05_10_2024</t>
  </si>
  <si>
    <t>05_15_2024</t>
  </si>
  <si>
    <t>05_21_2024</t>
  </si>
  <si>
    <t>05_28_2024</t>
  </si>
  <si>
    <t>06_11_2024</t>
  </si>
  <si>
    <t>Sheet name</t>
  </si>
  <si>
    <t>Plant  Cake TS (%)</t>
  </si>
  <si>
    <t>09_18_2021</t>
  </si>
  <si>
    <t>09_19_2021</t>
  </si>
  <si>
    <t>10_27_2021</t>
  </si>
  <si>
    <t>03_30_2023</t>
  </si>
  <si>
    <t>04_17_2023</t>
  </si>
  <si>
    <t>07_28_2023</t>
  </si>
  <si>
    <t>08_18_2023</t>
  </si>
  <si>
    <t>03_23_2024</t>
  </si>
  <si>
    <t>05_05_2024</t>
  </si>
  <si>
    <t>06_03_2024_0.1</t>
  </si>
  <si>
    <t>06_05_2024_0.15</t>
  </si>
  <si>
    <t>06_05_2024_0.2</t>
  </si>
  <si>
    <t>06_10_2024_0.1</t>
  </si>
  <si>
    <t>06_10_2024_0.15</t>
  </si>
  <si>
    <t>06_12_2024_0.2</t>
  </si>
  <si>
    <t>rap</t>
  </si>
  <si>
    <t>Bench Scale Dewatering test Summary - 10/16/2024</t>
  </si>
  <si>
    <t>Parnia</t>
  </si>
  <si>
    <t>Remarks:</t>
  </si>
  <si>
    <t>EPD&lt;PD&lt;OPD</t>
  </si>
  <si>
    <t>We have a room to save polymer, from EPD to  PD 3.07 lb/ton .</t>
  </si>
  <si>
    <t>Additional experiement</t>
  </si>
  <si>
    <t>Foil Tray+Filter Weight (g ) #3</t>
  </si>
  <si>
    <t>After 103 °C #3</t>
  </si>
  <si>
    <t>Foil Tray  (g) #3</t>
  </si>
  <si>
    <t>Tray +Sample (g) #3</t>
  </si>
  <si>
    <t>Bench Scale Dewatering test Summary - 1/10/2025</t>
  </si>
  <si>
    <t>A3</t>
  </si>
  <si>
    <t>EPD&lt;OPD&lt;PD</t>
  </si>
  <si>
    <t>We have a room to save polymer, from EPD to  PD 4.13 lb/ton .</t>
  </si>
  <si>
    <t>1..1637</t>
  </si>
  <si>
    <t>A4</t>
  </si>
  <si>
    <t>Bench Scale Dewatering test Summary - 05/28/2024</t>
  </si>
  <si>
    <t>Summary - 05 - 03 - 2024</t>
  </si>
  <si>
    <t>Trend over time</t>
  </si>
  <si>
    <t>&lt;= 812</t>
  </si>
  <si>
    <t>Note:
Based on Sludge</t>
  </si>
  <si>
    <t>yes</t>
  </si>
  <si>
    <t>Bench Scale Dewatering test Summary - 05/21/2024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</si>
</sst>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#,##0.0000"/>
    <numFmt numFmtId="165" formatCode="0.0"/>
    <numFmt numFmtId="166" formatCode="0.0000"/>
    <numFmt numFmtId="167" formatCode="0.000"/>
    <numFmt numFmtId="168" formatCode="m/d/yy;@"/>
    <numFmt numFmtId="169" formatCode="h:mm;@"/>
  </numFmts>
  <fonts count="38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4"/>
      <name val="Aptos Narrow"/>
      <family val="2"/>
      <scheme val="minor"/>
    </font>
    <font>
      <sz val="12"/>
      <color rgb="FFFF0000"/>
      <name val="Aptos Narrow"/>
      <family val="2"/>
      <scheme val="minor"/>
    </font>
    <font>
      <vertAlign val="superscript"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Times New Roman"/>
      <family val="1"/>
    </font>
    <font>
      <b/>
      <sz val="12"/>
      <color theme="5" tint="-0.249977111117893"/>
      <name val="Aptos Narrow"/>
      <family val="2"/>
      <scheme val="minor"/>
    </font>
    <font>
      <sz val="12"/>
      <name val="Calibri"/>
      <family val="2"/>
    </font>
    <font>
      <sz val="12"/>
      <name val="Times New Roman"/>
      <family val="1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2"/>
      <color rgb="FFFF0000"/>
      <name val="Times New Roman"/>
      <family val="1"/>
    </font>
    <font>
      <b/>
      <sz val="18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b/>
      <sz val="14"/>
      <color theme="0"/>
      <name val="Aptos Narrow"/>
      <family val="2"/>
      <scheme val="minor"/>
    </font>
    <font>
      <b/>
      <sz val="12"/>
      <color rgb="FFFF00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C79FF"/>
        <bgColor indexed="64"/>
      </patternFill>
    </fill>
    <fill>
      <patternFill patternType="solid">
        <fgColor rgb="FFFDEADA"/>
        <bgColor rgb="FFFDEADA"/>
      </patternFill>
    </fill>
    <fill>
      <patternFill patternType="solid">
        <fgColor rgb="FF31FFFA"/>
        <bgColor rgb="FF00B0F0"/>
      </patternFill>
    </fill>
    <fill>
      <patternFill patternType="solid">
        <fgColor rgb="FFFF9831"/>
        <bgColor rgb="FF00B0F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rgb="FFFDEADA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4DCF8"/>
        <bgColor rgb="FF000000"/>
      </patternFill>
    </fill>
  </fills>
  <borders count="7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20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71">
    <xf numFmtId="0" fontId="0" fillId="0" borderId="0" xfId="0"/>
    <xf numFmtId="0" fontId="5" fillId="2" borderId="0" xfId="0" applyFont="1" applyFill="1"/>
    <xf numFmtId="0" fontId="7" fillId="0" borderId="9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 wrapText="1"/>
    </xf>
    <xf numFmtId="2" fontId="8" fillId="0" borderId="7" xfId="0" applyNumberFormat="1" applyFont="1" applyBorder="1" applyAlignment="1">
      <alignment horizontal="center" vertical="center"/>
    </xf>
    <xf numFmtId="2" fontId="12" fillId="0" borderId="7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164" fontId="12" fillId="4" borderId="21" xfId="0" applyNumberFormat="1" applyFont="1" applyFill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2" fontId="12" fillId="0" borderId="22" xfId="0" applyNumberFormat="1" applyFont="1" applyBorder="1" applyAlignment="1">
      <alignment horizontal="center" vertical="center"/>
    </xf>
    <xf numFmtId="2" fontId="11" fillId="0" borderId="10" xfId="0" applyNumberFormat="1" applyFont="1" applyBorder="1" applyAlignment="1">
      <alignment horizontal="center" vertical="center"/>
    </xf>
    <xf numFmtId="2" fontId="11" fillId="4" borderId="10" xfId="0" applyNumberFormat="1" applyFont="1" applyFill="1" applyBorder="1" applyAlignment="1">
      <alignment horizontal="center" vertical="center"/>
    </xf>
    <xf numFmtId="2" fontId="11" fillId="0" borderId="21" xfId="0" applyNumberFormat="1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2" fontId="11" fillId="0" borderId="13" xfId="0" applyNumberFormat="1" applyFont="1" applyBorder="1" applyAlignment="1">
      <alignment horizontal="center" vertical="center"/>
    </xf>
    <xf numFmtId="2" fontId="11" fillId="4" borderId="13" xfId="0" applyNumberFormat="1" applyFont="1" applyFill="1" applyBorder="1" applyAlignment="1">
      <alignment horizontal="center" vertical="center"/>
    </xf>
    <xf numFmtId="2" fontId="11" fillId="0" borderId="28" xfId="0" applyNumberFormat="1" applyFont="1" applyBorder="1" applyAlignment="1">
      <alignment horizontal="center" vertical="center"/>
    </xf>
    <xf numFmtId="2" fontId="11" fillId="0" borderId="29" xfId="0" applyNumberFormat="1" applyFont="1" applyBorder="1" applyAlignment="1">
      <alignment horizontal="center" vertical="center"/>
    </xf>
    <xf numFmtId="0" fontId="11" fillId="6" borderId="33" xfId="0" applyFont="1" applyFill="1" applyBorder="1" applyAlignment="1">
      <alignment horizontal="center" vertical="center" wrapText="1"/>
    </xf>
    <xf numFmtId="0" fontId="4" fillId="11" borderId="0" xfId="0" applyFont="1" applyFill="1"/>
    <xf numFmtId="0" fontId="10" fillId="2" borderId="0" xfId="0" applyFont="1" applyFill="1" applyAlignment="1">
      <alignment horizontal="center"/>
    </xf>
    <xf numFmtId="0" fontId="11" fillId="1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18" fillId="12" borderId="27" xfId="0" applyFont="1" applyFill="1" applyBorder="1" applyAlignment="1">
      <alignment horizontal="center"/>
    </xf>
    <xf numFmtId="0" fontId="11" fillId="12" borderId="10" xfId="0" applyFont="1" applyFill="1" applyBorder="1" applyAlignment="1">
      <alignment horizontal="center"/>
    </xf>
    <xf numFmtId="0" fontId="11" fillId="12" borderId="13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 vertical="center"/>
    </xf>
    <xf numFmtId="0" fontId="19" fillId="14" borderId="21" xfId="0" applyFont="1" applyFill="1" applyBorder="1" applyAlignment="1">
      <alignment horizontal="center" vertical="center"/>
    </xf>
    <xf numFmtId="0" fontId="19" fillId="12" borderId="21" xfId="0" applyFont="1" applyFill="1" applyBorder="1" applyAlignment="1">
      <alignment horizontal="center" vertical="center"/>
    </xf>
    <xf numFmtId="2" fontId="19" fillId="14" borderId="21" xfId="0" applyNumberFormat="1" applyFont="1" applyFill="1" applyBorder="1" applyAlignment="1">
      <alignment horizontal="center" vertical="center"/>
    </xf>
    <xf numFmtId="2" fontId="19" fillId="12" borderId="21" xfId="0" applyNumberFormat="1" applyFont="1" applyFill="1" applyBorder="1" applyAlignment="1">
      <alignment horizontal="center" vertical="center"/>
    </xf>
    <xf numFmtId="165" fontId="4" fillId="11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/>
    <xf numFmtId="0" fontId="20" fillId="0" borderId="0" xfId="0" applyFont="1"/>
    <xf numFmtId="0" fontId="23" fillId="0" borderId="0" xfId="0" applyFont="1"/>
    <xf numFmtId="0" fontId="18" fillId="0" borderId="0" xfId="0" applyFont="1"/>
    <xf numFmtId="0" fontId="21" fillId="0" borderId="0" xfId="0" applyFont="1" applyAlignment="1">
      <alignment horizontal="center"/>
    </xf>
    <xf numFmtId="2" fontId="6" fillId="10" borderId="14" xfId="0" applyNumberFormat="1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1" fillId="10" borderId="10" xfId="0" applyFont="1" applyFill="1" applyBorder="1" applyAlignment="1">
      <alignment horizontal="center"/>
    </xf>
    <xf numFmtId="2" fontId="11" fillId="12" borderId="10" xfId="0" applyNumberFormat="1" applyFont="1" applyFill="1" applyBorder="1" applyAlignment="1">
      <alignment horizontal="center"/>
    </xf>
    <xf numFmtId="166" fontId="11" fillId="4" borderId="26" xfId="0" applyNumberFormat="1" applyFont="1" applyFill="1" applyBorder="1" applyAlignment="1">
      <alignment horizontal="center" vertical="center"/>
    </xf>
    <xf numFmtId="166" fontId="11" fillId="4" borderId="20" xfId="0" applyNumberFormat="1" applyFont="1" applyFill="1" applyBorder="1" applyAlignment="1">
      <alignment horizontal="center" vertical="center"/>
    </xf>
    <xf numFmtId="166" fontId="11" fillId="4" borderId="21" xfId="0" applyNumberFormat="1" applyFont="1" applyFill="1" applyBorder="1" applyAlignment="1">
      <alignment horizontal="center" vertical="center"/>
    </xf>
    <xf numFmtId="166" fontId="11" fillId="4" borderId="25" xfId="0" applyNumberFormat="1" applyFont="1" applyFill="1" applyBorder="1" applyAlignment="1">
      <alignment horizontal="center" vertical="center"/>
    </xf>
    <xf numFmtId="166" fontId="11" fillId="4" borderId="24" xfId="0" applyNumberFormat="1" applyFont="1" applyFill="1" applyBorder="1" applyAlignment="1">
      <alignment horizontal="center" vertical="center"/>
    </xf>
    <xf numFmtId="166" fontId="11" fillId="4" borderId="28" xfId="0" applyNumberFormat="1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wrapText="1"/>
    </xf>
    <xf numFmtId="0" fontId="6" fillId="0" borderId="41" xfId="0" applyFont="1" applyBorder="1" applyAlignment="1">
      <alignment horizontal="center" wrapText="1"/>
    </xf>
    <xf numFmtId="0" fontId="6" fillId="0" borderId="42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2" borderId="41" xfId="0" applyFont="1" applyFill="1" applyBorder="1" applyAlignment="1">
      <alignment horizontal="center" wrapText="1"/>
    </xf>
    <xf numFmtId="0" fontId="16" fillId="0" borderId="40" xfId="0" applyFont="1" applyBorder="1" applyAlignment="1">
      <alignment horizontal="center" wrapText="1"/>
    </xf>
    <xf numFmtId="0" fontId="16" fillId="0" borderId="41" xfId="0" applyFont="1" applyBorder="1" applyAlignment="1">
      <alignment horizontal="center" wrapText="1"/>
    </xf>
    <xf numFmtId="0" fontId="6" fillId="0" borderId="42" xfId="0" applyFont="1" applyBorder="1" applyAlignment="1">
      <alignment horizontal="center" wrapText="1"/>
    </xf>
    <xf numFmtId="2" fontId="11" fillId="0" borderId="7" xfId="0" applyNumberFormat="1" applyFont="1" applyBorder="1" applyAlignment="1">
      <alignment horizontal="center" vertical="center"/>
    </xf>
    <xf numFmtId="0" fontId="27" fillId="0" borderId="44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7" fillId="0" borderId="45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5" fillId="3" borderId="30" xfId="0" applyFont="1" applyFill="1" applyBorder="1" applyAlignment="1">
      <alignment horizontal="center"/>
    </xf>
    <xf numFmtId="0" fontId="15" fillId="3" borderId="31" xfId="0" applyFont="1" applyFill="1" applyBorder="1" applyAlignment="1">
      <alignment horizontal="center"/>
    </xf>
    <xf numFmtId="0" fontId="27" fillId="0" borderId="4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165" fontId="27" fillId="0" borderId="32" xfId="0" applyNumberFormat="1" applyFont="1" applyBorder="1" applyAlignment="1">
      <alignment horizontal="center" vertical="center"/>
    </xf>
    <xf numFmtId="2" fontId="27" fillId="0" borderId="32" xfId="0" applyNumberFormat="1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167" fontId="27" fillId="0" borderId="32" xfId="0" applyNumberFormat="1" applyFont="1" applyBorder="1" applyAlignment="1">
      <alignment horizontal="center" vertical="center"/>
    </xf>
    <xf numFmtId="0" fontId="15" fillId="3" borderId="10" xfId="0" applyFont="1" applyFill="1" applyBorder="1" applyAlignment="1">
      <alignment horizontal="center"/>
    </xf>
    <xf numFmtId="0" fontId="27" fillId="0" borderId="10" xfId="0" applyFont="1" applyBorder="1" applyAlignment="1">
      <alignment vertical="center"/>
    </xf>
    <xf numFmtId="0" fontId="27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2" fontId="28" fillId="0" borderId="10" xfId="0" applyNumberFormat="1" applyFont="1" applyBorder="1" applyAlignment="1">
      <alignment horizontal="center" vertical="center"/>
    </xf>
    <xf numFmtId="2" fontId="27" fillId="0" borderId="10" xfId="0" applyNumberFormat="1" applyFont="1" applyBorder="1" applyAlignment="1">
      <alignment horizontal="center" vertical="center"/>
    </xf>
    <xf numFmtId="167" fontId="27" fillId="0" borderId="10" xfId="0" applyNumberFormat="1" applyFont="1" applyBorder="1" applyAlignment="1">
      <alignment horizontal="center" vertical="center"/>
    </xf>
    <xf numFmtId="165" fontId="27" fillId="0" borderId="10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vertical="center"/>
    </xf>
    <xf numFmtId="0" fontId="27" fillId="0" borderId="1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2" fontId="27" fillId="0" borderId="11" xfId="0" applyNumberFormat="1" applyFont="1" applyBorder="1" applyAlignment="1">
      <alignment horizontal="center" vertical="center"/>
    </xf>
    <xf numFmtId="167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165" fontId="27" fillId="0" borderId="13" xfId="0" applyNumberFormat="1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0" fontId="25" fillId="10" borderId="49" xfId="0" applyFont="1" applyFill="1" applyBorder="1"/>
    <xf numFmtId="0" fontId="11" fillId="4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2" fontId="19" fillId="12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12" fillId="4" borderId="0" xfId="0" applyNumberFormat="1" applyFont="1" applyFill="1" applyAlignment="1">
      <alignment horizontal="center" vertical="center"/>
    </xf>
    <xf numFmtId="0" fontId="11" fillId="0" borderId="58" xfId="0" applyFont="1" applyBorder="1" applyAlignment="1">
      <alignment horizontal="center"/>
    </xf>
    <xf numFmtId="0" fontId="31" fillId="14" borderId="21" xfId="0" applyFont="1" applyFill="1" applyBorder="1" applyAlignment="1">
      <alignment horizontal="center" vertical="center"/>
    </xf>
    <xf numFmtId="0" fontId="6" fillId="16" borderId="41" xfId="0" applyFont="1" applyFill="1" applyBorder="1" applyAlignment="1">
      <alignment horizontal="center" wrapText="1"/>
    </xf>
    <xf numFmtId="0" fontId="17" fillId="16" borderId="41" xfId="0" applyFont="1" applyFill="1" applyBorder="1" applyAlignment="1">
      <alignment horizontal="center" wrapText="1"/>
    </xf>
    <xf numFmtId="0" fontId="17" fillId="16" borderId="42" xfId="0" applyFont="1" applyFill="1" applyBorder="1" applyAlignment="1">
      <alignment horizontal="center" wrapText="1"/>
    </xf>
    <xf numFmtId="0" fontId="6" fillId="9" borderId="40" xfId="0" applyFont="1" applyFill="1" applyBorder="1" applyAlignment="1">
      <alignment horizontal="center" wrapText="1"/>
    </xf>
    <xf numFmtId="0" fontId="6" fillId="9" borderId="41" xfId="0" applyFont="1" applyFill="1" applyBorder="1" applyAlignment="1">
      <alignment horizontal="center"/>
    </xf>
    <xf numFmtId="0" fontId="6" fillId="9" borderId="41" xfId="0" applyFont="1" applyFill="1" applyBorder="1" applyAlignment="1">
      <alignment horizontal="center" wrapText="1"/>
    </xf>
    <xf numFmtId="0" fontId="17" fillId="9" borderId="41" xfId="0" applyFont="1" applyFill="1" applyBorder="1" applyAlignment="1">
      <alignment horizontal="center" wrapText="1"/>
    </xf>
    <xf numFmtId="0" fontId="17" fillId="9" borderId="42" xfId="0" applyFont="1" applyFill="1" applyBorder="1" applyAlignment="1">
      <alignment horizontal="center" wrapText="1"/>
    </xf>
    <xf numFmtId="2" fontId="32" fillId="10" borderId="14" xfId="0" applyNumberFormat="1" applyFont="1" applyFill="1" applyBorder="1" applyAlignment="1">
      <alignment horizontal="center"/>
    </xf>
    <xf numFmtId="0" fontId="17" fillId="9" borderId="59" xfId="0" applyFont="1" applyFill="1" applyBorder="1" applyAlignment="1">
      <alignment horizontal="center" wrapText="1"/>
    </xf>
    <xf numFmtId="0" fontId="12" fillId="4" borderId="21" xfId="0" applyFont="1" applyFill="1" applyBorder="1" applyAlignment="1">
      <alignment horizontal="center" vertical="center"/>
    </xf>
    <xf numFmtId="0" fontId="19" fillId="14" borderId="22" xfId="0" applyFont="1" applyFill="1" applyBorder="1" applyAlignment="1">
      <alignment horizontal="center" vertical="center"/>
    </xf>
    <xf numFmtId="0" fontId="19" fillId="12" borderId="22" xfId="0" applyFont="1" applyFill="1" applyBorder="1" applyAlignment="1">
      <alignment horizontal="center" vertical="center"/>
    </xf>
    <xf numFmtId="0" fontId="11" fillId="6" borderId="39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168" fontId="0" fillId="0" borderId="21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2" fillId="11" borderId="0" xfId="0" applyNumberFormat="1" applyFont="1" applyFill="1" applyAlignment="1">
      <alignment horizontal="center"/>
    </xf>
    <xf numFmtId="0" fontId="25" fillId="10" borderId="0" xfId="0" applyFont="1" applyFill="1"/>
    <xf numFmtId="165" fontId="33" fillId="10" borderId="14" xfId="0" applyNumberFormat="1" applyFont="1" applyFill="1" applyBorder="1" applyAlignment="1">
      <alignment horizontal="center" vertical="center"/>
    </xf>
    <xf numFmtId="165" fontId="33" fillId="10" borderId="13" xfId="0" applyNumberFormat="1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34" fillId="10" borderId="0" xfId="0" applyFont="1" applyFill="1"/>
    <xf numFmtId="165" fontId="33" fillId="10" borderId="11" xfId="0" applyNumberFormat="1" applyFont="1" applyFill="1" applyBorder="1" applyAlignment="1">
      <alignment horizontal="center" vertical="center"/>
    </xf>
    <xf numFmtId="165" fontId="33" fillId="10" borderId="10" xfId="0" applyNumberFormat="1" applyFont="1" applyFill="1" applyBorder="1" applyAlignment="1">
      <alignment horizontal="center" vertical="center"/>
    </xf>
    <xf numFmtId="2" fontId="33" fillId="10" borderId="10" xfId="0" applyNumberFormat="1" applyFont="1" applyFill="1" applyBorder="1" applyAlignment="1">
      <alignment horizontal="center" vertical="center"/>
    </xf>
    <xf numFmtId="0" fontId="33" fillId="10" borderId="10" xfId="0" applyFont="1" applyFill="1" applyBorder="1" applyAlignment="1">
      <alignment horizontal="center" vertical="center"/>
    </xf>
    <xf numFmtId="2" fontId="34" fillId="10" borderId="11" xfId="0" applyNumberFormat="1" applyFont="1" applyFill="1" applyBorder="1" applyAlignment="1">
      <alignment horizontal="center"/>
    </xf>
    <xf numFmtId="2" fontId="34" fillId="10" borderId="10" xfId="0" applyNumberFormat="1" applyFont="1" applyFill="1" applyBorder="1" applyAlignment="1">
      <alignment horizontal="center"/>
    </xf>
    <xf numFmtId="167" fontId="33" fillId="10" borderId="11" xfId="0" applyNumberFormat="1" applyFont="1" applyFill="1" applyBorder="1" applyAlignment="1">
      <alignment horizontal="center" vertical="center"/>
    </xf>
    <xf numFmtId="167" fontId="33" fillId="10" borderId="10" xfId="0" applyNumberFormat="1" applyFont="1" applyFill="1" applyBorder="1" applyAlignment="1">
      <alignment horizontal="center" vertical="center"/>
    </xf>
    <xf numFmtId="2" fontId="33" fillId="10" borderId="11" xfId="0" applyNumberFormat="1" applyFont="1" applyFill="1" applyBorder="1" applyAlignment="1">
      <alignment horizontal="center" vertical="center"/>
    </xf>
    <xf numFmtId="2" fontId="35" fillId="10" borderId="10" xfId="0" applyNumberFormat="1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27" xfId="0" applyFont="1" applyFill="1" applyBorder="1" applyAlignment="1">
      <alignment horizontal="center" vertical="center"/>
    </xf>
    <xf numFmtId="0" fontId="33" fillId="10" borderId="42" xfId="0" applyFont="1" applyFill="1" applyBorder="1" applyAlignment="1">
      <alignment horizontal="center" vertical="center"/>
    </xf>
    <xf numFmtId="0" fontId="33" fillId="10" borderId="41" xfId="0" applyFont="1" applyFill="1" applyBorder="1" applyAlignment="1">
      <alignment horizontal="center" vertical="center"/>
    </xf>
    <xf numFmtId="0" fontId="33" fillId="10" borderId="41" xfId="0" applyFont="1" applyFill="1" applyBorder="1" applyAlignment="1">
      <alignment vertical="center"/>
    </xf>
    <xf numFmtId="0" fontId="33" fillId="10" borderId="37" xfId="0" applyFont="1" applyFill="1" applyBorder="1" applyAlignment="1">
      <alignment vertical="center"/>
    </xf>
    <xf numFmtId="0" fontId="34" fillId="10" borderId="14" xfId="0" applyFont="1" applyFill="1" applyBorder="1" applyAlignment="1">
      <alignment horizontal="center"/>
    </xf>
    <xf numFmtId="0" fontId="34" fillId="10" borderId="13" xfId="0" applyFont="1" applyFill="1" applyBorder="1" applyAlignment="1">
      <alignment horizontal="center"/>
    </xf>
    <xf numFmtId="0" fontId="34" fillId="10" borderId="12" xfId="0" applyFont="1" applyFill="1" applyBorder="1" applyAlignment="1">
      <alignment horizontal="center"/>
    </xf>
    <xf numFmtId="0" fontId="34" fillId="10" borderId="62" xfId="0" applyFont="1" applyFill="1" applyBorder="1" applyAlignment="1">
      <alignment horizontal="center"/>
    </xf>
    <xf numFmtId="0" fontId="10" fillId="10" borderId="8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0" fontId="10" fillId="10" borderId="18" xfId="0" applyFont="1" applyFill="1" applyBorder="1" applyAlignment="1">
      <alignment horizontal="center"/>
    </xf>
    <xf numFmtId="18" fontId="34" fillId="10" borderId="64" xfId="0" applyNumberFormat="1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6" fillId="3" borderId="12" xfId="0" applyFont="1" applyFill="1" applyBorder="1" applyAlignment="1">
      <alignment horizontal="center"/>
    </xf>
    <xf numFmtId="0" fontId="36" fillId="3" borderId="38" xfId="0" applyFont="1" applyFill="1" applyBorder="1" applyAlignment="1">
      <alignment horizontal="center"/>
    </xf>
    <xf numFmtId="0" fontId="36" fillId="3" borderId="0" xfId="0" applyFont="1" applyFill="1" applyAlignment="1">
      <alignment horizontal="center"/>
    </xf>
    <xf numFmtId="0" fontId="36" fillId="3" borderId="3" xfId="0" applyFont="1" applyFill="1" applyBorder="1" applyAlignment="1">
      <alignment horizontal="center"/>
    </xf>
    <xf numFmtId="0" fontId="28" fillId="0" borderId="45" xfId="0" applyFont="1" applyBorder="1" applyAlignment="1">
      <alignment horizontal="center" vertical="center"/>
    </xf>
    <xf numFmtId="0" fontId="6" fillId="17" borderId="41" xfId="0" applyFont="1" applyFill="1" applyBorder="1" applyAlignment="1">
      <alignment horizontal="center" wrapText="1"/>
    </xf>
    <xf numFmtId="20" fontId="18" fillId="12" borderId="2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7" xfId="0" applyFont="1" applyBorder="1" applyAlignment="1">
      <alignment horizontal="center" vertical="center" wrapText="1"/>
    </xf>
    <xf numFmtId="165" fontId="1" fillId="10" borderId="8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10" borderId="0" xfId="0" applyFont="1" applyFill="1"/>
    <xf numFmtId="0" fontId="1" fillId="0" borderId="10" xfId="0" applyFont="1" applyBorder="1" applyAlignment="1">
      <alignment horizontal="center" vertical="center" wrapText="1"/>
    </xf>
    <xf numFmtId="2" fontId="1" fillId="10" borderId="11" xfId="0" applyNumberFormat="1" applyFont="1" applyFill="1" applyBorder="1" applyAlignment="1">
      <alignment horizontal="center"/>
    </xf>
    <xf numFmtId="166" fontId="1" fillId="10" borderId="11" xfId="0" applyNumberFormat="1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0" borderId="1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1" fontId="1" fillId="0" borderId="10" xfId="0" applyNumberFormat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11" borderId="0" xfId="0" applyFont="1" applyFill="1"/>
    <xf numFmtId="0" fontId="1" fillId="0" borderId="12" xfId="0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50" xfId="0" applyNumberFormat="1" applyFont="1" applyBorder="1" applyAlignment="1">
      <alignment horizontal="center" vertical="center"/>
    </xf>
    <xf numFmtId="2" fontId="1" fillId="0" borderId="34" xfId="0" applyNumberFormat="1" applyFont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/>
    </xf>
    <xf numFmtId="0" fontId="1" fillId="4" borderId="10" xfId="0" applyFont="1" applyFill="1" applyBorder="1" applyAlignment="1">
      <alignment horizontal="center" vertical="center"/>
    </xf>
    <xf numFmtId="2" fontId="1" fillId="10" borderId="10" xfId="0" applyNumberFormat="1" applyFont="1" applyFill="1" applyBorder="1" applyAlignment="1">
      <alignment horizontal="center" vertical="center"/>
    </xf>
    <xf numFmtId="2" fontId="1" fillId="10" borderId="33" xfId="0" applyNumberFormat="1" applyFont="1" applyFill="1" applyBorder="1" applyAlignment="1">
      <alignment horizontal="center" vertical="center"/>
    </xf>
    <xf numFmtId="2" fontId="1" fillId="4" borderId="41" xfId="0" applyNumberFormat="1" applyFont="1" applyFill="1" applyBorder="1" applyAlignment="1">
      <alignment horizontal="center" vertical="center"/>
    </xf>
    <xf numFmtId="2" fontId="1" fillId="4" borderId="42" xfId="0" applyNumberFormat="1" applyFont="1" applyFill="1" applyBorder="1" applyAlignment="1">
      <alignment horizontal="center" vertical="center"/>
    </xf>
    <xf numFmtId="2" fontId="1" fillId="4" borderId="10" xfId="0" applyNumberFormat="1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2" fontId="1" fillId="4" borderId="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66" fontId="1" fillId="4" borderId="10" xfId="0" applyNumberFormat="1" applyFont="1" applyFill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 vertical="center"/>
    </xf>
    <xf numFmtId="2" fontId="1" fillId="0" borderId="21" xfId="0" applyNumberFormat="1" applyFont="1" applyBorder="1" applyAlignment="1">
      <alignment horizontal="center" vertical="center"/>
    </xf>
    <xf numFmtId="2" fontId="1" fillId="0" borderId="23" xfId="0" applyNumberFormat="1" applyFont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166" fontId="1" fillId="4" borderId="3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166" fontId="1" fillId="4" borderId="13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/>
    <xf numFmtId="0" fontId="1" fillId="0" borderId="9" xfId="0" applyFont="1" applyBorder="1" applyAlignment="1">
      <alignment horizontal="center"/>
    </xf>
    <xf numFmtId="165" fontId="1" fillId="16" borderId="10" xfId="0" applyNumberFormat="1" applyFont="1" applyFill="1" applyBorder="1" applyAlignment="1">
      <alignment horizontal="center"/>
    </xf>
    <xf numFmtId="2" fontId="1" fillId="11" borderId="9" xfId="0" applyNumberFormat="1" applyFont="1" applyFill="1" applyBorder="1" applyAlignment="1">
      <alignment horizontal="center"/>
    </xf>
    <xf numFmtId="165" fontId="1" fillId="11" borderId="10" xfId="0" applyNumberFormat="1" applyFont="1" applyFill="1" applyBorder="1" applyAlignment="1">
      <alignment horizontal="center"/>
    </xf>
    <xf numFmtId="165" fontId="1" fillId="11" borderId="11" xfId="0" applyNumberFormat="1" applyFont="1" applyFill="1" applyBorder="1" applyAlignment="1">
      <alignment horizontal="center"/>
    </xf>
    <xf numFmtId="165" fontId="1" fillId="11" borderId="9" xfId="0" applyNumberFormat="1" applyFont="1" applyFill="1" applyBorder="1" applyAlignment="1">
      <alignment horizontal="center"/>
    </xf>
    <xf numFmtId="165" fontId="1" fillId="16" borderId="11" xfId="0" applyNumberFormat="1" applyFont="1" applyFill="1" applyBorder="1" applyAlignment="1">
      <alignment horizontal="center"/>
    </xf>
    <xf numFmtId="165" fontId="1" fillId="9" borderId="9" xfId="0" applyNumberFormat="1" applyFont="1" applyFill="1" applyBorder="1" applyAlignment="1">
      <alignment horizontal="center"/>
    </xf>
    <xf numFmtId="165" fontId="1" fillId="9" borderId="10" xfId="0" applyNumberFormat="1" applyFont="1" applyFill="1" applyBorder="1" applyAlignment="1">
      <alignment horizontal="center"/>
    </xf>
    <xf numFmtId="165" fontId="1" fillId="11" borderId="10" xfId="0" applyNumberFormat="1" applyFont="1" applyFill="1" applyBorder="1" applyAlignment="1">
      <alignment horizontal="center" wrapText="1"/>
    </xf>
    <xf numFmtId="165" fontId="1" fillId="11" borderId="0" xfId="0" applyNumberFormat="1" applyFont="1" applyFill="1" applyAlignment="1">
      <alignment horizontal="center"/>
    </xf>
    <xf numFmtId="165" fontId="1" fillId="16" borderId="0" xfId="0" applyNumberFormat="1" applyFont="1" applyFill="1" applyAlignment="1">
      <alignment horizontal="center"/>
    </xf>
    <xf numFmtId="165" fontId="1" fillId="9" borderId="11" xfId="0" applyNumberFormat="1" applyFont="1" applyFill="1" applyBorder="1" applyAlignment="1">
      <alignment horizontal="center"/>
    </xf>
    <xf numFmtId="165" fontId="1" fillId="9" borderId="33" xfId="0" applyNumberFormat="1" applyFont="1" applyFill="1" applyBorder="1" applyAlignment="1">
      <alignment horizontal="center"/>
    </xf>
    <xf numFmtId="2" fontId="1" fillId="4" borderId="40" xfId="0" applyNumberFormat="1" applyFont="1" applyFill="1" applyBorder="1" applyAlignment="1">
      <alignment horizontal="center" vertical="center"/>
    </xf>
    <xf numFmtId="0" fontId="1" fillId="10" borderId="51" xfId="0" applyFont="1" applyFill="1" applyBorder="1"/>
    <xf numFmtId="0" fontId="1" fillId="10" borderId="2" xfId="0" applyFont="1" applyFill="1" applyBorder="1"/>
    <xf numFmtId="0" fontId="1" fillId="10" borderId="57" xfId="0" applyFont="1" applyFill="1" applyBorder="1"/>
    <xf numFmtId="0" fontId="1" fillId="10" borderId="52" xfId="0" applyFont="1" applyFill="1" applyBorder="1"/>
    <xf numFmtId="0" fontId="1" fillId="10" borderId="55" xfId="0" applyFont="1" applyFill="1" applyBorder="1"/>
    <xf numFmtId="0" fontId="1" fillId="10" borderId="31" xfId="0" applyFont="1" applyFill="1" applyBorder="1"/>
    <xf numFmtId="0" fontId="1" fillId="10" borderId="53" xfId="0" applyFont="1" applyFill="1" applyBorder="1"/>
    <xf numFmtId="0" fontId="1" fillId="10" borderId="38" xfId="0" applyFont="1" applyFill="1" applyBorder="1"/>
    <xf numFmtId="0" fontId="1" fillId="10" borderId="5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2" fontId="1" fillId="10" borderId="10" xfId="0" applyNumberFormat="1" applyFont="1" applyFill="1" applyBorder="1" applyAlignment="1">
      <alignment horizontal="center"/>
    </xf>
    <xf numFmtId="0" fontId="1" fillId="10" borderId="34" xfId="0" applyFont="1" applyFill="1" applyBorder="1"/>
    <xf numFmtId="0" fontId="1" fillId="10" borderId="49" xfId="0" applyFont="1" applyFill="1" applyBorder="1"/>
    <xf numFmtId="0" fontId="1" fillId="10" borderId="54" xfId="0" applyFont="1" applyFill="1" applyBorder="1"/>
    <xf numFmtId="0" fontId="1" fillId="10" borderId="50" xfId="0" applyFont="1" applyFill="1" applyBorder="1"/>
    <xf numFmtId="2" fontId="1" fillId="0" borderId="0" xfId="0" applyNumberFormat="1" applyFont="1" applyAlignment="1">
      <alignment horizontal="center" vertical="center"/>
    </xf>
    <xf numFmtId="2" fontId="1" fillId="4" borderId="39" xfId="0" applyNumberFormat="1" applyFont="1" applyFill="1" applyBorder="1" applyAlignment="1">
      <alignment horizontal="center" vertical="center"/>
    </xf>
    <xf numFmtId="2" fontId="1" fillId="4" borderId="13" xfId="0" applyNumberFormat="1" applyFont="1" applyFill="1" applyBorder="1" applyAlignment="1">
      <alignment horizontal="center" vertical="center"/>
    </xf>
    <xf numFmtId="0" fontId="6" fillId="9" borderId="21" xfId="0" applyFont="1" applyFill="1" applyBorder="1" applyAlignment="1">
      <alignment horizontal="center" wrapText="1"/>
    </xf>
    <xf numFmtId="165" fontId="1" fillId="9" borderId="21" xfId="0" applyNumberFormat="1" applyFont="1" applyFill="1" applyBorder="1" applyAlignment="1">
      <alignment horizontal="center"/>
    </xf>
    <xf numFmtId="165" fontId="1" fillId="18" borderId="21" xfId="0" applyNumberFormat="1" applyFont="1" applyFill="1" applyBorder="1" applyAlignment="1">
      <alignment horizontal="center"/>
    </xf>
    <xf numFmtId="165" fontId="1" fillId="11" borderId="21" xfId="0" applyNumberFormat="1" applyFont="1" applyFill="1" applyBorder="1" applyAlignment="1">
      <alignment horizontal="center"/>
    </xf>
    <xf numFmtId="165" fontId="1" fillId="16" borderId="33" xfId="0" applyNumberFormat="1" applyFont="1" applyFill="1" applyBorder="1" applyAlignment="1">
      <alignment horizontal="center"/>
    </xf>
    <xf numFmtId="165" fontId="1" fillId="9" borderId="67" xfId="0" applyNumberFormat="1" applyFont="1" applyFill="1" applyBorder="1" applyAlignment="1">
      <alignment horizontal="center"/>
    </xf>
    <xf numFmtId="165" fontId="1" fillId="11" borderId="68" xfId="0" applyNumberFormat="1" applyFont="1" applyFill="1" applyBorder="1" applyAlignment="1">
      <alignment horizontal="center"/>
    </xf>
    <xf numFmtId="165" fontId="1" fillId="9" borderId="22" xfId="0" applyNumberFormat="1" applyFont="1" applyFill="1" applyBorder="1" applyAlignment="1">
      <alignment horizontal="center"/>
    </xf>
    <xf numFmtId="165" fontId="1" fillId="11" borderId="67" xfId="0" applyNumberFormat="1" applyFont="1" applyFill="1" applyBorder="1" applyAlignment="1">
      <alignment horizontal="center"/>
    </xf>
    <xf numFmtId="165" fontId="1" fillId="11" borderId="22" xfId="0" applyNumberFormat="1" applyFont="1" applyFill="1" applyBorder="1" applyAlignment="1">
      <alignment horizontal="center"/>
    </xf>
    <xf numFmtId="165" fontId="0" fillId="0" borderId="67" xfId="0" applyNumberFormat="1" applyBorder="1"/>
    <xf numFmtId="165" fontId="0" fillId="0" borderId="68" xfId="0" applyNumberFormat="1" applyBorder="1"/>
    <xf numFmtId="165" fontId="0" fillId="0" borderId="65" xfId="0" applyNumberFormat="1" applyBorder="1"/>
    <xf numFmtId="165" fontId="0" fillId="0" borderId="66" xfId="0" applyNumberFormat="1" applyBorder="1"/>
    <xf numFmtId="165" fontId="1" fillId="11" borderId="21" xfId="0" applyNumberFormat="1" applyFont="1" applyFill="1" applyBorder="1" applyAlignment="1">
      <alignment horizontal="center" wrapText="1"/>
    </xf>
    <xf numFmtId="165" fontId="1" fillId="11" borderId="20" xfId="0" applyNumberFormat="1" applyFont="1" applyFill="1" applyBorder="1" applyAlignment="1">
      <alignment horizontal="center"/>
    </xf>
    <xf numFmtId="0" fontId="11" fillId="4" borderId="21" xfId="0" applyFont="1" applyFill="1" applyBorder="1" applyAlignment="1">
      <alignment horizontal="center" vertical="center"/>
    </xf>
    <xf numFmtId="0" fontId="11" fillId="6" borderId="58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11" fillId="6" borderId="46" xfId="0" applyFont="1" applyFill="1" applyBorder="1" applyAlignment="1">
      <alignment horizontal="center" vertical="center" wrapText="1"/>
    </xf>
    <xf numFmtId="0" fontId="6" fillId="10" borderId="0" xfId="0" applyFont="1" applyFill="1"/>
    <xf numFmtId="2" fontId="19" fillId="10" borderId="20" xfId="0" applyNumberFormat="1" applyFont="1" applyFill="1" applyBorder="1" applyAlignment="1">
      <alignment horizontal="center" vertical="center"/>
    </xf>
    <xf numFmtId="0" fontId="11" fillId="6" borderId="60" xfId="0" applyFont="1" applyFill="1" applyBorder="1" applyAlignment="1">
      <alignment horizontal="center" vertical="center" wrapText="1"/>
    </xf>
    <xf numFmtId="0" fontId="1" fillId="10" borderId="0" xfId="0" quotePrefix="1" applyFont="1" applyFill="1" applyAlignment="1">
      <alignment vertical="top"/>
    </xf>
    <xf numFmtId="0" fontId="8" fillId="4" borderId="21" xfId="0" applyFont="1" applyFill="1" applyBorder="1" applyAlignment="1">
      <alignment horizontal="center" vertical="center"/>
    </xf>
    <xf numFmtId="0" fontId="12" fillId="20" borderId="24" xfId="0" applyFont="1" applyFill="1" applyBorder="1" applyAlignment="1">
      <alignment horizontal="center" vertical="center"/>
    </xf>
    <xf numFmtId="0" fontId="12" fillId="20" borderId="21" xfId="0" applyFont="1" applyFill="1" applyBorder="1" applyAlignment="1">
      <alignment horizontal="center" vertical="center"/>
    </xf>
    <xf numFmtId="0" fontId="12" fillId="20" borderId="10" xfId="0" applyFont="1" applyFill="1" applyBorder="1" applyAlignment="1">
      <alignment horizontal="center" vertical="center"/>
    </xf>
    <xf numFmtId="0" fontId="1" fillId="19" borderId="0" xfId="0" applyFont="1" applyFill="1"/>
    <xf numFmtId="0" fontId="37" fillId="19" borderId="0" xfId="0" applyFont="1" applyFill="1"/>
    <xf numFmtId="2" fontId="11" fillId="10" borderId="10" xfId="0" applyNumberFormat="1" applyFont="1" applyFill="1" applyBorder="1" applyAlignment="1">
      <alignment horizontal="center"/>
    </xf>
    <xf numFmtId="169" fontId="27" fillId="0" borderId="45" xfId="0" applyNumberFormat="1" applyFont="1" applyBorder="1" applyAlignment="1">
      <alignment horizontal="center" vertical="center"/>
    </xf>
    <xf numFmtId="165" fontId="8" fillId="9" borderId="22" xfId="0" applyNumberFormat="1" applyFont="1" applyFill="1" applyBorder="1" applyAlignment="1">
      <alignment horizontal="center"/>
    </xf>
    <xf numFmtId="165" fontId="8" fillId="11" borderId="21" xfId="0" applyNumberFormat="1" applyFont="1" applyFill="1" applyBorder="1" applyAlignment="1">
      <alignment horizontal="center"/>
    </xf>
    <xf numFmtId="0" fontId="3" fillId="9" borderId="2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1" fillId="6" borderId="19" xfId="0" applyFont="1" applyFill="1" applyBorder="1" applyAlignment="1">
      <alignment horizontal="center" vertical="center" wrapText="1"/>
    </xf>
    <xf numFmtId="0" fontId="11" fillId="6" borderId="69" xfId="0" applyFont="1" applyFill="1" applyBorder="1" applyAlignment="1">
      <alignment horizontal="center" vertical="center" wrapText="1"/>
    </xf>
    <xf numFmtId="0" fontId="11" fillId="6" borderId="70" xfId="0" applyFont="1" applyFill="1" applyBorder="1" applyAlignment="1">
      <alignment horizontal="center" vertical="center" wrapText="1"/>
    </xf>
    <xf numFmtId="0" fontId="11" fillId="6" borderId="71" xfId="0" applyFont="1" applyFill="1" applyBorder="1" applyAlignment="1">
      <alignment horizontal="center" vertical="center" wrapText="1"/>
    </xf>
    <xf numFmtId="0" fontId="13" fillId="7" borderId="35" xfId="0" applyFont="1" applyFill="1" applyBorder="1" applyAlignment="1">
      <alignment horizontal="center" vertical="center"/>
    </xf>
    <xf numFmtId="0" fontId="13" fillId="7" borderId="36" xfId="0" applyFont="1" applyFill="1" applyBorder="1" applyAlignment="1">
      <alignment horizontal="center" vertical="center"/>
    </xf>
    <xf numFmtId="0" fontId="13" fillId="8" borderId="35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/>
    </xf>
    <xf numFmtId="0" fontId="10" fillId="5" borderId="36" xfId="0" applyFont="1" applyFill="1" applyBorder="1" applyAlignment="1">
      <alignment horizontal="center"/>
    </xf>
    <xf numFmtId="0" fontId="10" fillId="10" borderId="12" xfId="0" applyFont="1" applyFill="1" applyBorder="1" applyAlignment="1">
      <alignment horizontal="center"/>
    </xf>
    <xf numFmtId="0" fontId="10" fillId="10" borderId="63" xfId="0" applyFont="1" applyFill="1" applyBorder="1" applyAlignment="1">
      <alignment horizontal="center"/>
    </xf>
    <xf numFmtId="0" fontId="30" fillId="3" borderId="0" xfId="0" applyFont="1" applyFill="1" applyAlignment="1">
      <alignment horizontal="center" vertical="center"/>
    </xf>
    <xf numFmtId="0" fontId="30" fillId="3" borderId="31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0" fontId="1" fillId="10" borderId="57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55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50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33" fillId="10" borderId="9" xfId="0" applyFont="1" applyFill="1" applyBorder="1" applyAlignment="1">
      <alignment horizontal="center" vertical="center"/>
    </xf>
    <xf numFmtId="0" fontId="33" fillId="10" borderId="1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10" fillId="10" borderId="40" xfId="0" applyFont="1" applyFill="1" applyBorder="1" applyAlignment="1">
      <alignment horizontal="center"/>
    </xf>
    <xf numFmtId="0" fontId="10" fillId="10" borderId="59" xfId="0" applyFont="1" applyFill="1" applyBorder="1" applyAlignment="1">
      <alignment horizont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2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4" fillId="12" borderId="55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30" xfId="0" applyFont="1" applyFill="1" applyBorder="1" applyAlignment="1">
      <alignment horizontal="center"/>
    </xf>
    <xf numFmtId="0" fontId="15" fillId="3" borderId="3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9" xfId="0" applyFont="1" applyFill="1" applyBorder="1" applyAlignment="1">
      <alignment horizontal="center" vertical="center"/>
    </xf>
    <xf numFmtId="0" fontId="30" fillId="3" borderId="3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40" xfId="0" applyFont="1" applyFill="1" applyBorder="1" applyAlignment="1">
      <alignment horizontal="center" vertical="center"/>
    </xf>
    <xf numFmtId="0" fontId="30" fillId="3" borderId="41" xfId="0" applyFont="1" applyFill="1" applyBorder="1" applyAlignment="1">
      <alignment horizontal="center" vertical="center"/>
    </xf>
    <xf numFmtId="0" fontId="30" fillId="3" borderId="42" xfId="0" applyFont="1" applyFill="1" applyBorder="1" applyAlignment="1">
      <alignment horizontal="center" vertical="center"/>
    </xf>
    <xf numFmtId="0" fontId="30" fillId="3" borderId="9" xfId="0" applyFont="1" applyFill="1" applyBorder="1" applyAlignment="1">
      <alignment horizontal="center" vertical="center"/>
    </xf>
    <xf numFmtId="0" fontId="30" fillId="3" borderId="10" xfId="0" applyFont="1" applyFill="1" applyBorder="1" applyAlignment="1">
      <alignment horizontal="center" vertical="center"/>
    </xf>
    <xf numFmtId="0" fontId="30" fillId="3" borderId="11" xfId="0" applyFont="1" applyFill="1" applyBorder="1" applyAlignment="1">
      <alignment horizontal="center" vertical="center"/>
    </xf>
    <xf numFmtId="0" fontId="15" fillId="3" borderId="40" xfId="0" applyFont="1" applyFill="1" applyBorder="1" applyAlignment="1">
      <alignment horizontal="center"/>
    </xf>
    <xf numFmtId="0" fontId="15" fillId="3" borderId="41" xfId="0" applyFont="1" applyFill="1" applyBorder="1" applyAlignment="1">
      <alignment horizontal="center"/>
    </xf>
    <xf numFmtId="0" fontId="15" fillId="3" borderId="42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 wrapText="1"/>
    </xf>
    <xf numFmtId="0" fontId="11" fillId="6" borderId="41" xfId="0" applyFont="1" applyFill="1" applyBorder="1" applyAlignment="1">
      <alignment horizontal="center" vertical="center" wrapText="1"/>
    </xf>
    <xf numFmtId="0" fontId="11" fillId="6" borderId="42" xfId="0" applyFont="1" applyFill="1" applyBorder="1" applyAlignment="1">
      <alignment horizontal="center" vertical="center" wrapText="1"/>
    </xf>
    <xf numFmtId="0" fontId="29" fillId="15" borderId="46" xfId="0" applyFont="1" applyFill="1" applyBorder="1" applyAlignment="1">
      <alignment horizontal="center" vertical="center"/>
    </xf>
    <xf numFmtId="0" fontId="29" fillId="15" borderId="47" xfId="0" applyFont="1" applyFill="1" applyBorder="1" applyAlignment="1">
      <alignment horizontal="center" vertical="center"/>
    </xf>
    <xf numFmtId="0" fontId="29" fillId="15" borderId="48" xfId="0" applyFont="1" applyFill="1" applyBorder="1" applyAlignment="1">
      <alignment horizontal="center" vertical="center"/>
    </xf>
    <xf numFmtId="0" fontId="29" fillId="15" borderId="34" xfId="0" applyFont="1" applyFill="1" applyBorder="1" applyAlignment="1">
      <alignment horizontal="center" vertical="center"/>
    </xf>
    <xf numFmtId="0" fontId="29" fillId="15" borderId="49" xfId="0" applyFont="1" applyFill="1" applyBorder="1" applyAlignment="1">
      <alignment horizontal="center" vertical="center"/>
    </xf>
    <xf numFmtId="0" fontId="29" fillId="15" borderId="50" xfId="0" applyFont="1" applyFill="1" applyBorder="1" applyAlignment="1">
      <alignment horizontal="center" vertical="center"/>
    </xf>
    <xf numFmtId="0" fontId="29" fillId="15" borderId="51" xfId="0" applyFont="1" applyFill="1" applyBorder="1" applyAlignment="1">
      <alignment horizontal="center" vertical="center"/>
    </xf>
    <xf numFmtId="0" fontId="29" fillId="15" borderId="2" xfId="0" applyFont="1" applyFill="1" applyBorder="1" applyAlignment="1">
      <alignment horizontal="center" vertical="center"/>
    </xf>
    <xf numFmtId="0" fontId="29" fillId="15" borderId="57" xfId="0" applyFont="1" applyFill="1" applyBorder="1" applyAlignment="1">
      <alignment horizontal="center" vertical="center"/>
    </xf>
    <xf numFmtId="0" fontId="15" fillId="3" borderId="33" xfId="0" applyFont="1" applyFill="1" applyBorder="1" applyAlignment="1">
      <alignment horizontal="center"/>
    </xf>
    <xf numFmtId="0" fontId="15" fillId="3" borderId="43" xfId="0" applyFont="1" applyFill="1" applyBorder="1" applyAlignment="1">
      <alignment horizontal="center"/>
    </xf>
    <xf numFmtId="0" fontId="15" fillId="3" borderId="27" xfId="0" applyFont="1" applyFill="1" applyBorder="1" applyAlignment="1">
      <alignment horizontal="center"/>
    </xf>
    <xf numFmtId="0" fontId="14" fillId="12" borderId="56" xfId="0" applyFont="1" applyFill="1" applyBorder="1" applyAlignment="1">
      <alignment horizontal="center"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53" xfId="0" applyFont="1" applyFill="1" applyBorder="1" applyAlignment="1">
      <alignment horizontal="center" vertical="center"/>
    </xf>
  </cellXfs>
  <cellStyles count="5">
    <cellStyle name="Comma 2" xfId="3" xr:uid="{278A0A5F-3268-40D6-B1C6-A01658B73131}"/>
    <cellStyle name="Normal" xfId="0" builtinId="0"/>
    <cellStyle name="Normal 2" xfId="1" xr:uid="{A68261B3-8930-47C3-A970-ACE095D6C966}"/>
    <cellStyle name="Normal 3" xfId="2" xr:uid="{AD005E15-CDA8-4CDB-90A5-C38B460532F1}"/>
    <cellStyle name="Percent 2" xfId="4" xr:uid="{A77BC327-EF8D-4079-A4A3-6ACCE3D59DDC}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EB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</a:t>
            </a:r>
            <a:r>
              <a:rPr lang="en-US" baseline="0"/>
              <a:t> Overtime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'Timeline graph'!$H$2</c:f>
              <c:strCache>
                <c:ptCount val="1"/>
                <c:pt idx="0">
                  <c:v>OPD Polymer dose (lb/tonTS)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'Timeline graph'!$A$80:$A$106</c:f>
              <c:strCache>
                <c:ptCount val="27"/>
                <c:pt idx="0">
                  <c:v>12/3/21</c:v>
                </c:pt>
                <c:pt idx="1">
                  <c:v>12/4/21</c:v>
                </c:pt>
                <c:pt idx="2">
                  <c:v>12/5/21</c:v>
                </c:pt>
                <c:pt idx="3">
                  <c:v>12/6/21</c:v>
                </c:pt>
                <c:pt idx="4">
                  <c:v>12/7/21</c:v>
                </c:pt>
                <c:pt idx="5">
                  <c:v>12_08_2021</c:v>
                </c:pt>
                <c:pt idx="6">
                  <c:v>12/9/21</c:v>
                </c:pt>
                <c:pt idx="7">
                  <c:v>12/10/21</c:v>
                </c:pt>
                <c:pt idx="8">
                  <c:v>12/11/21</c:v>
                </c:pt>
                <c:pt idx="9">
                  <c:v>12/12/21</c:v>
                </c:pt>
                <c:pt idx="10">
                  <c:v>12/13/21</c:v>
                </c:pt>
                <c:pt idx="11">
                  <c:v>12/14/21</c:v>
                </c:pt>
                <c:pt idx="12">
                  <c:v>12/15/21</c:v>
                </c:pt>
                <c:pt idx="13">
                  <c:v>12/16/21</c:v>
                </c:pt>
                <c:pt idx="14">
                  <c:v>12_17_2021</c:v>
                </c:pt>
                <c:pt idx="15">
                  <c:v>12/18/21</c:v>
                </c:pt>
                <c:pt idx="16">
                  <c:v>12/19/21</c:v>
                </c:pt>
                <c:pt idx="17">
                  <c:v>12/20/21</c:v>
                </c:pt>
                <c:pt idx="18">
                  <c:v>12/21/21</c:v>
                </c:pt>
                <c:pt idx="19">
                  <c:v>12_22_2021</c:v>
                </c:pt>
                <c:pt idx="20">
                  <c:v>12/23/21</c:v>
                </c:pt>
                <c:pt idx="21">
                  <c:v>12/24/21</c:v>
                </c:pt>
                <c:pt idx="22">
                  <c:v>12/25/21</c:v>
                </c:pt>
                <c:pt idx="23">
                  <c:v>12/26/21</c:v>
                </c:pt>
                <c:pt idx="24">
                  <c:v>12/27/21</c:v>
                </c:pt>
                <c:pt idx="25">
                  <c:v>12/28/21</c:v>
                </c:pt>
                <c:pt idx="26">
                  <c:v>12/29/21</c:v>
                </c:pt>
              </c:strCache>
            </c:strRef>
          </c:xVal>
          <c:yVal>
            <c:numRef>
              <c:f>'Timeline graph'!$H$80:$H$106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37-471D-AEDD-DD3EA7512313}"/>
            </c:ext>
          </c:extLst>
        </c:ser>
        <c:ser>
          <c:idx val="1"/>
          <c:order val="1"/>
          <c:tx>
            <c:strRef>
              <c:f>'Timeline graph'!$K$2</c:f>
              <c:strCache>
                <c:ptCount val="1"/>
                <c:pt idx="0">
                  <c:v>EPD Polymer dose (lb/tonTS)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'Timeline graph'!$A$80:$A$106</c:f>
              <c:strCache>
                <c:ptCount val="27"/>
                <c:pt idx="0">
                  <c:v>12/3/21</c:v>
                </c:pt>
                <c:pt idx="1">
                  <c:v>12/4/21</c:v>
                </c:pt>
                <c:pt idx="2">
                  <c:v>12/5/21</c:v>
                </c:pt>
                <c:pt idx="3">
                  <c:v>12/6/21</c:v>
                </c:pt>
                <c:pt idx="4">
                  <c:v>12/7/21</c:v>
                </c:pt>
                <c:pt idx="5">
                  <c:v>12_08_2021</c:v>
                </c:pt>
                <c:pt idx="6">
                  <c:v>12/9/21</c:v>
                </c:pt>
                <c:pt idx="7">
                  <c:v>12/10/21</c:v>
                </c:pt>
                <c:pt idx="8">
                  <c:v>12/11/21</c:v>
                </c:pt>
                <c:pt idx="9">
                  <c:v>12/12/21</c:v>
                </c:pt>
                <c:pt idx="10">
                  <c:v>12/13/21</c:v>
                </c:pt>
                <c:pt idx="11">
                  <c:v>12/14/21</c:v>
                </c:pt>
                <c:pt idx="12">
                  <c:v>12/15/21</c:v>
                </c:pt>
                <c:pt idx="13">
                  <c:v>12/16/21</c:v>
                </c:pt>
                <c:pt idx="14">
                  <c:v>12_17_2021</c:v>
                </c:pt>
                <c:pt idx="15">
                  <c:v>12/18/21</c:v>
                </c:pt>
                <c:pt idx="16">
                  <c:v>12/19/21</c:v>
                </c:pt>
                <c:pt idx="17">
                  <c:v>12/20/21</c:v>
                </c:pt>
                <c:pt idx="18">
                  <c:v>12/21/21</c:v>
                </c:pt>
                <c:pt idx="19">
                  <c:v>12_22_2021</c:v>
                </c:pt>
                <c:pt idx="20">
                  <c:v>12/23/21</c:v>
                </c:pt>
                <c:pt idx="21">
                  <c:v>12/24/21</c:v>
                </c:pt>
                <c:pt idx="22">
                  <c:v>12/25/21</c:v>
                </c:pt>
                <c:pt idx="23">
                  <c:v>12/26/21</c:v>
                </c:pt>
                <c:pt idx="24">
                  <c:v>12/27/21</c:v>
                </c:pt>
                <c:pt idx="25">
                  <c:v>12/28/21</c:v>
                </c:pt>
                <c:pt idx="26">
                  <c:v>12/29/21</c:v>
                </c:pt>
              </c:strCache>
            </c:strRef>
          </c:xVal>
          <c:yVal>
            <c:numRef>
              <c:f>'Timeline graph'!$K$80:$K$106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37-471D-AEDD-DD3EA7512313}"/>
            </c:ext>
          </c:extLst>
        </c:ser>
        <c:ser>
          <c:idx val="2"/>
          <c:order val="2"/>
          <c:tx>
            <c:strRef>
              <c:f>'Timeline graph'!$E$2</c:f>
              <c:strCache>
                <c:ptCount val="1"/>
                <c:pt idx="0">
                  <c:v>Plant Polymer dose (lb/tonTS)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'Timeline graph'!$A$80:$A$106</c:f>
              <c:strCache>
                <c:ptCount val="27"/>
                <c:pt idx="0">
                  <c:v>12/3/21</c:v>
                </c:pt>
                <c:pt idx="1">
                  <c:v>12/4/21</c:v>
                </c:pt>
                <c:pt idx="2">
                  <c:v>12/5/21</c:v>
                </c:pt>
                <c:pt idx="3">
                  <c:v>12/6/21</c:v>
                </c:pt>
                <c:pt idx="4">
                  <c:v>12/7/21</c:v>
                </c:pt>
                <c:pt idx="5">
                  <c:v>12_08_2021</c:v>
                </c:pt>
                <c:pt idx="6">
                  <c:v>12/9/21</c:v>
                </c:pt>
                <c:pt idx="7">
                  <c:v>12/10/21</c:v>
                </c:pt>
                <c:pt idx="8">
                  <c:v>12/11/21</c:v>
                </c:pt>
                <c:pt idx="9">
                  <c:v>12/12/21</c:v>
                </c:pt>
                <c:pt idx="10">
                  <c:v>12/13/21</c:v>
                </c:pt>
                <c:pt idx="11">
                  <c:v>12/14/21</c:v>
                </c:pt>
                <c:pt idx="12">
                  <c:v>12/15/21</c:v>
                </c:pt>
                <c:pt idx="13">
                  <c:v>12/16/21</c:v>
                </c:pt>
                <c:pt idx="14">
                  <c:v>12_17_2021</c:v>
                </c:pt>
                <c:pt idx="15">
                  <c:v>12/18/21</c:v>
                </c:pt>
                <c:pt idx="16">
                  <c:v>12/19/21</c:v>
                </c:pt>
                <c:pt idx="17">
                  <c:v>12/20/21</c:v>
                </c:pt>
                <c:pt idx="18">
                  <c:v>12/21/21</c:v>
                </c:pt>
                <c:pt idx="19">
                  <c:v>12_22_2021</c:v>
                </c:pt>
                <c:pt idx="20">
                  <c:v>12/23/21</c:v>
                </c:pt>
                <c:pt idx="21">
                  <c:v>12/24/21</c:v>
                </c:pt>
                <c:pt idx="22">
                  <c:v>12/25/21</c:v>
                </c:pt>
                <c:pt idx="23">
                  <c:v>12/26/21</c:v>
                </c:pt>
                <c:pt idx="24">
                  <c:v>12/27/21</c:v>
                </c:pt>
                <c:pt idx="25">
                  <c:v>12/28/21</c:v>
                </c:pt>
                <c:pt idx="26">
                  <c:v>12/29/21</c:v>
                </c:pt>
              </c:strCache>
            </c:strRef>
          </c:xVal>
          <c:yVal>
            <c:numRef>
              <c:f>'Timeline graph'!$E$80:$E$106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37-471D-AEDD-DD3EA7512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249024"/>
        <c:axId val="1908255744"/>
      </c:scatterChart>
      <c:val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crossBetween val="midCat"/>
      </c:valAx>
      <c:valAx>
        <c:axId val="190825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'Timeline graph'!$H$2</c:f>
              <c:strCache>
                <c:ptCount val="1"/>
                <c:pt idx="0">
                  <c:v>OPD Polymer dose (lb/tonTS)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'Timeline graph'!$A$107:$A$110</c:f>
              <c:numCache>
                <c:formatCode>m/d/yy;@</c:formatCode>
                <c:ptCount val="4"/>
                <c:pt idx="0">
                  <c:v>44560</c:v>
                </c:pt>
                <c:pt idx="1">
                  <c:v>44561</c:v>
                </c:pt>
                <c:pt idx="2">
                  <c:v>44562</c:v>
                </c:pt>
                <c:pt idx="3">
                  <c:v>44563</c:v>
                </c:pt>
              </c:numCache>
            </c:numRef>
          </c:cat>
          <c:val>
            <c:numRef>
              <c:f>'Timeline graph'!$H$107:$H$110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CF-481C-B7B1-873BB5F4A0F7}"/>
            </c:ext>
          </c:extLst>
        </c:ser>
        <c:ser>
          <c:idx val="1"/>
          <c:order val="1"/>
          <c:tx>
            <c:strRef>
              <c:f>'Timeline graph'!$K$2</c:f>
              <c:strCache>
                <c:ptCount val="1"/>
                <c:pt idx="0">
                  <c:v>EPD Polymer dose (lb/tonTS)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'Timeline graph'!$A$107:$A$110</c:f>
              <c:numCache>
                <c:formatCode>m/d/yy;@</c:formatCode>
                <c:ptCount val="4"/>
                <c:pt idx="0">
                  <c:v>44560</c:v>
                </c:pt>
                <c:pt idx="1">
                  <c:v>44561</c:v>
                </c:pt>
                <c:pt idx="2">
                  <c:v>44562</c:v>
                </c:pt>
                <c:pt idx="3">
                  <c:v>44563</c:v>
                </c:pt>
              </c:numCache>
            </c:numRef>
          </c:cat>
          <c:val>
            <c:numRef>
              <c:f>'Timeline graph'!$K$107:$K$110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CF-481C-B7B1-873BB5F4A0F7}"/>
            </c:ext>
          </c:extLst>
        </c:ser>
        <c:ser>
          <c:idx val="2"/>
          <c:order val="2"/>
          <c:tx>
            <c:strRef>
              <c:f>'Timeline graph'!$E$2</c:f>
              <c:strCache>
                <c:ptCount val="1"/>
                <c:pt idx="0">
                  <c:v>Plant Polymer dose (lb/tonTS)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'Timeline graph'!$A$107:$A$110</c:f>
              <c:numCache>
                <c:formatCode>m/d/yy;@</c:formatCode>
                <c:ptCount val="4"/>
                <c:pt idx="0">
                  <c:v>44560</c:v>
                </c:pt>
                <c:pt idx="1">
                  <c:v>44561</c:v>
                </c:pt>
                <c:pt idx="2">
                  <c:v>44562</c:v>
                </c:pt>
                <c:pt idx="3">
                  <c:v>44563</c:v>
                </c:pt>
              </c:numCache>
            </c:numRef>
          </c:cat>
          <c:val>
            <c:numRef>
              <c:f>'Timeline graph'!$E$107:$E$110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CF-481C-B7B1-873BB5F4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date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Offset val="100"/>
        <c:baseTimeUnit val="days"/>
      </c:dateAx>
      <c:valAx>
        <c:axId val="190825574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Polymer Dose (lb/Ton)</a:t>
            </a:r>
            <a:r>
              <a:rPr lang="en-US" baseline="0">
                <a:solidFill>
                  <a:sysClr val="windowText" lastClr="000000"/>
                </a:solidFill>
              </a:rPr>
              <a:t> (overall plant data)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914-4428-B2CB-6273DD2397E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914-4428-B2CB-6273DD2397E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914-4428-B2CB-6273DD2397E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FB3-49A3-974E-FF369FA7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348383"/>
        <c:axId val="2109521663"/>
        <c:extLst/>
      </c:lineChart>
      <c:dateAx>
        <c:axId val="2109348383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1663"/>
        <c:crosses val="autoZero"/>
        <c:auto val="0"/>
        <c:lblOffset val="100"/>
        <c:baseTimeUnit val="days"/>
      </c:dateAx>
      <c:valAx>
        <c:axId val="21095216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Cake</a:t>
            </a:r>
            <a:r>
              <a:rPr lang="en-US" baseline="0">
                <a:solidFill>
                  <a:sysClr val="windowText" lastClr="000000"/>
                </a:solidFill>
              </a:rPr>
              <a:t> TS </a:t>
            </a:r>
            <a:r>
              <a:rPr lang="en-US">
                <a:solidFill>
                  <a:sysClr val="windowText" lastClr="000000"/>
                </a:solidFill>
              </a:rPr>
              <a:t>(%)</a:t>
            </a:r>
            <a:r>
              <a:rPr lang="en-US" baseline="0">
                <a:solidFill>
                  <a:sysClr val="windowText" lastClr="000000"/>
                </a:solidFill>
              </a:rPr>
              <a:t> (overall plant data)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4DD-407F-858C-F3C69E5EB67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4DD-407F-858C-F3C69E5EB67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4DD-407F-858C-F3C69E5EB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348383"/>
        <c:axId val="2109521663"/>
      </c:lineChart>
      <c:dateAx>
        <c:axId val="2109348383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1663"/>
        <c:crosses val="autoZero"/>
        <c:auto val="0"/>
        <c:lblOffset val="100"/>
        <c:baseTimeUnit val="days"/>
      </c:dateAx>
      <c:valAx>
        <c:axId val="2109521663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Filtrate (mg TSS/L)</a:t>
            </a:r>
            <a:r>
              <a:rPr lang="en-US" baseline="0">
                <a:solidFill>
                  <a:sysClr val="windowText" lastClr="000000"/>
                </a:solidFill>
              </a:rPr>
              <a:t> (overall plant data)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295-457D-A46E-39618BE61D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295-457D-A46E-39618BE61D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295-457D-A46E-39618BE61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348383"/>
        <c:axId val="2109521663"/>
      </c:lineChart>
      <c:dateAx>
        <c:axId val="2109348383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1663"/>
        <c:crosses val="autoZero"/>
        <c:auto val="0"/>
        <c:lblOffset val="100"/>
        <c:baseTimeUnit val="days"/>
      </c:dateAx>
      <c:valAx>
        <c:axId val="2109521663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Polymer</a:t>
            </a:r>
            <a:r>
              <a:rPr lang="en-US" b="1" baseline="0"/>
              <a:t> Dose (lb/Ton) (overall plant data)</a:t>
            </a:r>
            <a:endParaRPr lang="en-US" b="1"/>
          </a:p>
        </c:rich>
      </c:tx>
      <c:layout>
        <c:manualLayout>
          <c:xMode val="edge"/>
          <c:yMode val="edge"/>
          <c:x val="0.43784395356085104"/>
          <c:y val="4.2059954190375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59254572505002E-2"/>
          <c:y val="0.21472145554464098"/>
          <c:w val="0.90946586137393082"/>
          <c:h val="0.5808578892177485"/>
        </c:manualLayout>
      </c:layout>
      <c:lineChart>
        <c:grouping val="standard"/>
        <c:varyColors val="0"/>
        <c:ser>
          <c:idx val="0"/>
          <c:order val="0"/>
          <c:tx>
            <c:v>Plant Polymer Dose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EAE-44CC-AE6B-5BFEAD464A6E}"/>
            </c:ext>
          </c:extLst>
        </c:ser>
        <c:ser>
          <c:idx val="1"/>
          <c:order val="1"/>
          <c:tx>
            <c:v>Optimal Polymer Dose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F0">
                    <a:alpha val="61000"/>
                  </a:srgb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EAE-44CC-AE6B-5BFEAD464A6E}"/>
            </c:ext>
          </c:extLst>
        </c:ser>
        <c:ser>
          <c:idx val="2"/>
          <c:order val="2"/>
          <c:tx>
            <c:v>Eco optimal polymer dose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EAE-44CC-AE6B-5BFEAD464A6E}"/>
            </c:ext>
          </c:extLst>
        </c:ser>
        <c:ser>
          <c:idx val="3"/>
          <c:order val="3"/>
          <c:tx>
            <c:v>Grab Plant PD (lb/Ton)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EEB5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D93-42B6-B121-6C53008C6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524704"/>
        <c:axId val="765523616"/>
      </c:lineChart>
      <c:catAx>
        <c:axId val="765524704"/>
        <c:scaling>
          <c:orientation val="minMax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3616"/>
        <c:crosses val="autoZero"/>
        <c:auto val="1"/>
        <c:lblAlgn val="ctr"/>
        <c:lblOffset val="100"/>
        <c:noMultiLvlLbl val="1"/>
      </c:catAx>
      <c:valAx>
        <c:axId val="765523616"/>
        <c:scaling>
          <c:orientation val="minMax"/>
          <c:max val="4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47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1.5083780064556152E-3"/>
          <c:w val="0.99616799864619565"/>
          <c:h val="0.326449463532402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Cake TS %</a:t>
            </a:r>
            <a:r>
              <a:rPr lang="en-US" b="1" baseline="0"/>
              <a:t> (overall plant data)</a:t>
            </a:r>
            <a:endParaRPr lang="en-US" b="1"/>
          </a:p>
        </c:rich>
      </c:tx>
      <c:layout>
        <c:manualLayout>
          <c:xMode val="edge"/>
          <c:yMode val="edge"/>
          <c:x val="0.43784395356085104"/>
          <c:y val="4.2059954190375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59195087927807E-2"/>
          <c:y val="0.21941008225351688"/>
          <c:w val="0.90946586137393082"/>
          <c:h val="0.5808578892177485"/>
        </c:manualLayout>
      </c:layout>
      <c:lineChart>
        <c:grouping val="standard"/>
        <c:varyColors val="0"/>
        <c:ser>
          <c:idx val="0"/>
          <c:order val="0"/>
          <c:tx>
            <c:v>Plant Polymer Dose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EAE-44CC-AE6B-5BFEAD464A6E}"/>
            </c:ext>
          </c:extLst>
        </c:ser>
        <c:ser>
          <c:idx val="1"/>
          <c:order val="1"/>
          <c:tx>
            <c:v>Optimal Polymer Dose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EAE-44CC-AE6B-5BFEAD464A6E}"/>
            </c:ext>
          </c:extLst>
        </c:ser>
        <c:ser>
          <c:idx val="2"/>
          <c:order val="2"/>
          <c:tx>
            <c:v>Eco optimal polymer dose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EAE-44CC-AE6B-5BFEAD464A6E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EEB5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D93-42B6-B121-6C53008C6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524704"/>
        <c:axId val="765523616"/>
      </c:lineChart>
      <c:catAx>
        <c:axId val="765524704"/>
        <c:scaling>
          <c:orientation val="minMax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3616"/>
        <c:crosses val="autoZero"/>
        <c:auto val="1"/>
        <c:lblAlgn val="ctr"/>
        <c:lblOffset val="100"/>
        <c:noMultiLvlLbl val="1"/>
      </c:catAx>
      <c:valAx>
        <c:axId val="7655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47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2163320419651297E-4"/>
          <c:y val="8.134130320251147E-2"/>
          <c:w val="0.98753978239000495"/>
          <c:h val="0.322506642360852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Polymer</a:t>
            </a:r>
            <a:r>
              <a:rPr lang="en-US" baseline="0"/>
              <a:t> Dose (lb/Ton) (overall plant data)</a:t>
            </a:r>
            <a:endParaRPr lang="en-US"/>
          </a:p>
        </c:rich>
      </c:tx>
      <c:layout>
        <c:manualLayout>
          <c:xMode val="edge"/>
          <c:yMode val="edge"/>
          <c:x val="0.33893265643056986"/>
          <c:y val="2.11908434931072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59195087927807E-2"/>
          <c:y val="0.21941008225351688"/>
          <c:w val="0.90946586137393082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1">
                <c:v>25.680770138399645</c:v>
              </c:pt>
              <c:pt idx="2">
                <c:v>17.017224247807626</c:v>
              </c:pt>
              <c:pt idx="3">
                <c:v>25.39770007566835</c:v>
              </c:pt>
              <c:pt idx="4">
                <c:v>25.239094520520268</c:v>
              </c:pt>
              <c:pt idx="6">
                <c:v>21.363286087424296</c:v>
              </c:pt>
              <c:pt idx="11">
                <c:v>20.562982002922038</c:v>
              </c:pt>
              <c:pt idx="12">
                <c:v>19.641378721945539</c:v>
              </c:pt>
              <c:pt idx="15">
                <c:v>21.856519436003097</c:v>
              </c:pt>
              <c:pt idx="16">
                <c:v>21.94001127060211</c:v>
              </c:pt>
              <c:pt idx="17">
                <c:v>24.755591426824676</c:v>
              </c:pt>
              <c:pt idx="18">
                <c:v>21.897297202359322</c:v>
              </c:pt>
              <c:pt idx="19">
                <c:v>21.962592121546866</c:v>
              </c:pt>
              <c:pt idx="20">
                <c:v>21.939521718858341</c:v>
              </c:pt>
              <c:pt idx="21">
                <c:v>21.896652140628341</c:v>
              </c:pt>
              <c:pt idx="22">
                <c:v>21.699680918714179</c:v>
              </c:pt>
              <c:pt idx="23">
                <c:v>21.335855349454881</c:v>
              </c:pt>
              <c:pt idx="24">
                <c:v>21.492523976053693</c:v>
              </c:pt>
              <c:pt idx="25">
                <c:v>22.064619586006962</c:v>
              </c:pt>
              <c:pt idx="27">
                <c:v>21.257941310456182</c:v>
              </c:pt>
              <c:pt idx="28">
                <c:v>21.336615625451721</c:v>
              </c:pt>
              <c:pt idx="29">
                <c:v>21.163975915151795</c:v>
              </c:pt>
              <c:pt idx="30">
                <c:v>22.145039041487401</c:v>
              </c:pt>
              <c:pt idx="34">
                <c:v>22.597234150862992</c:v>
              </c:pt>
              <c:pt idx="35">
                <c:v>22.974415608802047</c:v>
              </c:pt>
              <c:pt idx="39">
                <c:v>25.197477684633064</c:v>
              </c:pt>
              <c:pt idx="40">
                <c:v>22.466205240418365</c:v>
              </c:pt>
              <c:pt idx="47">
                <c:v>24.739588789108126</c:v>
              </c:pt>
              <c:pt idx="48">
                <c:v>23.361244623208627</c:v>
              </c:pt>
              <c:pt idx="49">
                <c:v>27.615934797726815</c:v>
              </c:pt>
              <c:pt idx="50">
                <c:v>17.330138570793668</c:v>
              </c:pt>
              <c:pt idx="51">
                <c:v>19.677245057370801</c:v>
              </c:pt>
              <c:pt idx="52">
                <c:v>22.074589077287229</c:v>
              </c:pt>
              <c:pt idx="54">
                <c:v>18.792377188247983</c:v>
              </c:pt>
              <c:pt idx="56">
                <c:v>28.304720416058608</c:v>
              </c:pt>
              <c:pt idx="57">
                <c:v>22.39824445497495</c:v>
              </c:pt>
              <c:pt idx="63">
                <c:v>24.689884404769813</c:v>
              </c:pt>
              <c:pt idx="67">
                <c:v>22.367185488698706</c:v>
              </c:pt>
              <c:pt idx="68">
                <c:v>16.558433467790977</c:v>
              </c:pt>
              <c:pt idx="69">
                <c:v>22.591335260876154</c:v>
              </c:pt>
              <c:pt idx="70">
                <c:v>29.924656623422791</c:v>
              </c:pt>
              <c:pt idx="72">
                <c:v>28.948410850428019</c:v>
              </c:pt>
              <c:pt idx="74">
                <c:v>26.828955385266809</c:v>
              </c:pt>
              <c:pt idx="75">
                <c:v>27.580928990490033</c:v>
              </c:pt>
              <c:pt idx="78">
                <c:v>22.340729493103531</c:v>
              </c:pt>
              <c:pt idx="80">
                <c:v>33.150203143075849</c:v>
              </c:pt>
              <c:pt idx="82">
                <c:v>23.394957117810456</c:v>
              </c:pt>
              <c:pt idx="83">
                <c:v>24.956440812840992</c:v>
              </c:pt>
              <c:pt idx="84">
                <c:v>25.314365581421654</c:v>
              </c:pt>
              <c:pt idx="90">
                <c:v>26.761389586258368</c:v>
              </c:pt>
              <c:pt idx="91">
                <c:v>26.425602655267927</c:v>
              </c:pt>
              <c:pt idx="96">
                <c:v>28.111685908578682</c:v>
              </c:pt>
              <c:pt idx="102">
                <c:v>26.78511322130602</c:v>
              </c:pt>
              <c:pt idx="104">
                <c:v>24.228833528807698</c:v>
              </c:pt>
              <c:pt idx="106">
                <c:v>25.545527835036008</c:v>
              </c:pt>
              <c:pt idx="107">
                <c:v>25.840252758746757</c:v>
              </c:pt>
              <c:pt idx="108">
                <c:v>26.756009942413453</c:v>
              </c:pt>
              <c:pt idx="110">
                <c:v>24.845223899938922</c:v>
              </c:pt>
              <c:pt idx="111">
                <c:v>24.47708869665653</c:v>
              </c:pt>
              <c:pt idx="112">
                <c:v>25.188224704968523</c:v>
              </c:pt>
              <c:pt idx="113">
                <c:v>25.329979283551033</c:v>
              </c:pt>
              <c:pt idx="114">
                <c:v>25.951535801913526</c:v>
              </c:pt>
              <c:pt idx="116">
                <c:v>26.184920370357769</c:v>
              </c:pt>
              <c:pt idx="118">
                <c:v>35.527970571879941</c:v>
              </c:pt>
              <c:pt idx="119">
                <c:v>24.168736512816132</c:v>
              </c:pt>
              <c:pt idx="120">
                <c:v>23.448037824223377</c:v>
              </c:pt>
              <c:pt idx="121">
                <c:v>24.658640961637555</c:v>
              </c:pt>
              <c:pt idx="122">
                <c:v>23.843847730475989</c:v>
              </c:pt>
              <c:pt idx="124">
                <c:v>24.463634537119152</c:v>
              </c:pt>
              <c:pt idx="127">
                <c:v>26.080862880330656</c:v>
              </c:pt>
              <c:pt idx="128">
                <c:v>24.938813432629434</c:v>
              </c:pt>
              <c:pt idx="129">
                <c:v>23.023334780246863</c:v>
              </c:pt>
              <c:pt idx="130">
                <c:v>24.454129850660518</c:v>
              </c:pt>
              <c:pt idx="131">
                <c:v>24.598450052328509</c:v>
              </c:pt>
              <c:pt idx="132">
                <c:v>25.495317641711196</c:v>
              </c:pt>
              <c:pt idx="133">
                <c:v>24.225740398426105</c:v>
              </c:pt>
              <c:pt idx="134">
                <c:v>23.673608925538094</c:v>
              </c:pt>
              <c:pt idx="135">
                <c:v>23.597799545971455</c:v>
              </c:pt>
              <c:pt idx="136">
                <c:v>23.807105800040294</c:v>
              </c:pt>
              <c:pt idx="138">
                <c:v>24.25336264604395</c:v>
              </c:pt>
              <c:pt idx="139">
                <c:v>22.722071329944129</c:v>
              </c:pt>
              <c:pt idx="140">
                <c:v>24.916356563021488</c:v>
              </c:pt>
              <c:pt idx="141">
                <c:v>24.571123870254958</c:v>
              </c:pt>
              <c:pt idx="143">
                <c:v>24.420114690259982</c:v>
              </c:pt>
              <c:pt idx="144">
                <c:v>24.903088966688518</c:v>
              </c:pt>
              <c:pt idx="146">
                <c:v>23.853455837555344</c:v>
              </c:pt>
              <c:pt idx="147">
                <c:v>19.019121664437442</c:v>
              </c:pt>
              <c:pt idx="151">
                <c:v>12.478572042770869</c:v>
              </c:pt>
              <c:pt idx="152">
                <c:v>12.891065931546088</c:v>
              </c:pt>
              <c:pt idx="153">
                <c:v>12.877741573469438</c:v>
              </c:pt>
              <c:pt idx="155">
                <c:v>11.083527632336258</c:v>
              </c:pt>
              <c:pt idx="158">
                <c:v>11.701028971492452</c:v>
              </c:pt>
              <c:pt idx="159">
                <c:v>15.288812100602907</c:v>
              </c:pt>
              <c:pt idx="160">
                <c:v>12.213100898618771</c:v>
              </c:pt>
              <c:pt idx="163">
                <c:v>12.65347257345568</c:v>
              </c:pt>
              <c:pt idx="164">
                <c:v>11.925598531779428</c:v>
              </c:pt>
              <c:pt idx="165">
                <c:v>14.800583455629827</c:v>
              </c:pt>
              <c:pt idx="166">
                <c:v>12.720739694297153</c:v>
              </c:pt>
              <c:pt idx="167">
                <c:v>10.459780163692226</c:v>
              </c:pt>
              <c:pt idx="168">
                <c:v>12.379936657803672</c:v>
              </c:pt>
              <c:pt idx="169">
                <c:v>10.773617661858859</c:v>
              </c:pt>
              <c:pt idx="171">
                <c:v>15.355801966766121</c:v>
              </c:pt>
              <c:pt idx="174">
                <c:v>11.709818157664554</c:v>
              </c:pt>
              <c:pt idx="175">
                <c:v>10.482975307793996</c:v>
              </c:pt>
              <c:pt idx="184">
                <c:v>14.358579503438101</c:v>
              </c:pt>
              <c:pt idx="185">
                <c:v>12.013780129789639</c:v>
              </c:pt>
              <c:pt idx="186">
                <c:v>10.935522169392712</c:v>
              </c:pt>
              <c:pt idx="190">
                <c:v>12.52979510229331</c:v>
              </c:pt>
              <c:pt idx="192">
                <c:v>10.597127741941099</c:v>
              </c:pt>
              <c:pt idx="193">
                <c:v>10.67083078000417</c:v>
              </c:pt>
              <c:pt idx="194">
                <c:v>11.240050022643146</c:v>
              </c:pt>
              <c:pt idx="195">
                <c:v>11.95633743165916</c:v>
              </c:pt>
              <c:pt idx="197">
                <c:v>11.199788332101004</c:v>
              </c:pt>
              <c:pt idx="199">
                <c:v>12.389642094918532</c:v>
              </c:pt>
              <c:pt idx="200">
                <c:v>12.767553488209213</c:v>
              </c:pt>
              <c:pt idx="201">
                <c:v>11.563183807803401</c:v>
              </c:pt>
              <c:pt idx="202">
                <c:v>10.873058632037123</c:v>
              </c:pt>
              <c:pt idx="203">
                <c:v>11.357166278574224</c:v>
              </c:pt>
              <c:pt idx="218">
                <c:v>9.9341549337075765</c:v>
              </c:pt>
              <c:pt idx="219">
                <c:v>11.114107785239947</c:v>
              </c:pt>
              <c:pt idx="220">
                <c:v>10.862598491167851</c:v>
              </c:pt>
              <c:pt idx="221">
                <c:v>10.089422740586974</c:v>
              </c:pt>
              <c:pt idx="222">
                <c:v>12.663695472192282</c:v>
              </c:pt>
              <c:pt idx="223">
                <c:v>10.246322326018978</c:v>
              </c:pt>
              <c:pt idx="224">
                <c:v>12.597527390426801</c:v>
              </c:pt>
              <c:pt idx="225">
                <c:v>10.190037708580791</c:v>
              </c:pt>
              <c:pt idx="226">
                <c:v>10.182413045968636</c:v>
              </c:pt>
              <c:pt idx="228">
                <c:v>10.893222436987596</c:v>
              </c:pt>
              <c:pt idx="229">
                <c:v>10.312125079522158</c:v>
              </c:pt>
              <c:pt idx="237">
                <c:v>12.266522209418154</c:v>
              </c:pt>
              <c:pt idx="238">
                <c:v>17.220942023863465</c:v>
              </c:pt>
              <c:pt idx="242">
                <c:v>13.55962734753386</c:v>
              </c:pt>
              <c:pt idx="245">
                <c:v>13.831590372942589</c:v>
              </c:pt>
              <c:pt idx="247">
                <c:v>13.181473124434396</c:v>
              </c:pt>
              <c:pt idx="248">
                <c:v>14.275538151226158</c:v>
              </c:pt>
              <c:pt idx="249">
                <c:v>14.979961417011712</c:v>
              </c:pt>
              <c:pt idx="250">
                <c:v>13.945869931183788</c:v>
              </c:pt>
              <c:pt idx="251">
                <c:v>12.470008876238776</c:v>
              </c:pt>
              <c:pt idx="252">
                <c:v>12.989149906848489</c:v>
              </c:pt>
              <c:pt idx="253">
                <c:v>13.748167207496868</c:v>
              </c:pt>
              <c:pt idx="255">
                <c:v>13.932414339439953</c:v>
              </c:pt>
              <c:pt idx="257">
                <c:v>14.659092690965466</c:v>
              </c:pt>
              <c:pt idx="258">
                <c:v>14.848952426720876</c:v>
              </c:pt>
              <c:pt idx="259">
                <c:v>19.459141023776773</c:v>
              </c:pt>
              <c:pt idx="262">
                <c:v>23.471069802532789</c:v>
              </c:pt>
              <c:pt idx="263">
                <c:v>22.298278380359015</c:v>
              </c:pt>
              <c:pt idx="264">
                <c:v>22.528328433374053</c:v>
              </c:pt>
              <c:pt idx="269">
                <c:v>22.972780934564376</c:v>
              </c:pt>
              <c:pt idx="270">
                <c:v>21.910947294317875</c:v>
              </c:pt>
              <c:pt idx="271">
                <c:v>22.086045870719353</c:v>
              </c:pt>
              <c:pt idx="272">
                <c:v>22.354115137859207</c:v>
              </c:pt>
              <c:pt idx="273">
                <c:v>22.886277102597184</c:v>
              </c:pt>
              <c:pt idx="274">
                <c:v>18.57035880004053</c:v>
              </c:pt>
              <c:pt idx="275">
                <c:v>13.776977677854244</c:v>
              </c:pt>
              <c:pt idx="276">
                <c:v>14.082184108487811</c:v>
              </c:pt>
              <c:pt idx="278">
                <c:v>13.631628541648395</c:v>
              </c:pt>
              <c:pt idx="279">
                <c:v>14.5140947417618</c:v>
              </c:pt>
              <c:pt idx="280">
                <c:v>20.844690822985193</c:v>
              </c:pt>
              <c:pt idx="282">
                <c:v>21.062198259297691</c:v>
              </c:pt>
              <c:pt idx="285">
                <c:v>20.646129131969357</c:v>
              </c:pt>
              <c:pt idx="286">
                <c:v>20.489224745205188</c:v>
              </c:pt>
              <c:pt idx="288">
                <c:v>19.617233840520921</c:v>
              </c:pt>
              <c:pt idx="289">
                <c:v>20.420241632832266</c:v>
              </c:pt>
              <c:pt idx="290">
                <c:v>20.308199972746753</c:v>
              </c:pt>
              <c:pt idx="292">
                <c:v>21.284507058000973</c:v>
              </c:pt>
              <c:pt idx="293">
                <c:v>18.921292187422686</c:v>
              </c:pt>
              <c:pt idx="294">
                <c:v>19.688227410594628</c:v>
              </c:pt>
              <c:pt idx="299">
                <c:v>19.481992739391401</c:v>
              </c:pt>
              <c:pt idx="302">
                <c:v>20.900146159547575</c:v>
              </c:pt>
              <c:pt idx="303">
                <c:v>19.259665172773534</c:v>
              </c:pt>
              <c:pt idx="304">
                <c:v>17.889035663833866</c:v>
              </c:pt>
              <c:pt idx="305">
                <c:v>18.86348386394214</c:v>
              </c:pt>
              <c:pt idx="306">
                <c:v>18.524899019434425</c:v>
              </c:pt>
              <c:pt idx="307">
                <c:v>18.090516106627032</c:v>
              </c:pt>
              <c:pt idx="309">
                <c:v>18.479844939799627</c:v>
              </c:pt>
              <c:pt idx="312">
                <c:v>18.822050848940876</c:v>
              </c:pt>
              <c:pt idx="313">
                <c:v>19.618103365733802</c:v>
              </c:pt>
              <c:pt idx="314">
                <c:v>19.767959171241568</c:v>
              </c:pt>
              <c:pt idx="316">
                <c:v>20.591177980569633</c:v>
              </c:pt>
              <c:pt idx="317">
                <c:v>20.327577784163871</c:v>
              </c:pt>
              <c:pt idx="318">
                <c:v>22.194610775115251</c:v>
              </c:pt>
              <c:pt idx="320">
                <c:v>20.525488569919428</c:v>
              </c:pt>
              <c:pt idx="321">
                <c:v>20.357004142897015</c:v>
              </c:pt>
              <c:pt idx="322">
                <c:v>20.424716299481158</c:v>
              </c:pt>
              <c:pt idx="323">
                <c:v>21.350550409136673</c:v>
              </c:pt>
              <c:pt idx="324">
                <c:v>21.178981483019303</c:v>
              </c:pt>
              <c:pt idx="326">
                <c:v>21.434812586544663</c:v>
              </c:pt>
              <c:pt idx="327">
                <c:v>21.760450875153428</c:v>
              </c:pt>
              <c:pt idx="328">
                <c:v>22.469743651489036</c:v>
              </c:pt>
              <c:pt idx="330">
                <c:v>22.10746117893957</c:v>
              </c:pt>
              <c:pt idx="331">
                <c:v>21.552514901666193</c:v>
              </c:pt>
              <c:pt idx="332">
                <c:v>21.53515378490043</c:v>
              </c:pt>
              <c:pt idx="333">
                <c:v>21.557858970727256</c:v>
              </c:pt>
              <c:pt idx="335">
                <c:v>20.942921798852119</c:v>
              </c:pt>
              <c:pt idx="336">
                <c:v>22.000809725691131</c:v>
              </c:pt>
              <c:pt idx="340">
                <c:v>24.612648323705393</c:v>
              </c:pt>
              <c:pt idx="341">
                <c:v>23.556324388694808</c:v>
              </c:pt>
              <c:pt idx="344">
                <c:v>24.070831745827576</c:v>
              </c:pt>
              <c:pt idx="345">
                <c:v>24.722693632111056</c:v>
              </c:pt>
              <c:pt idx="346">
                <c:v>24.195496321385409</c:v>
              </c:pt>
              <c:pt idx="347">
                <c:v>23.934436587145957</c:v>
              </c:pt>
              <c:pt idx="349">
                <c:v>23.158785313173567</c:v>
              </c:pt>
              <c:pt idx="354">
                <c:v>21.858836023643779</c:v>
              </c:pt>
              <c:pt idx="355">
                <c:v>22.245671038368119</c:v>
              </c:pt>
              <c:pt idx="357">
                <c:v>30.766231520539133</c:v>
              </c:pt>
              <c:pt idx="358">
                <c:v>22.94724076906304</c:v>
              </c:pt>
              <c:pt idx="359">
                <c:v>22.004521964472975</c:v>
              </c:pt>
              <c:pt idx="360">
                <c:v>22.980542844186491</c:v>
              </c:pt>
              <c:pt idx="361">
                <c:v>22.999816215445797</c:v>
              </c:pt>
              <c:pt idx="362">
                <c:v>23.215350172283436</c:v>
              </c:pt>
              <c:pt idx="363">
                <c:v>24.412471334691539</c:v>
              </c:pt>
              <c:pt idx="365">
                <c:v>23.886075410340123</c:v>
              </c:pt>
              <c:pt idx="369">
                <c:v>22.732861395504919</c:v>
              </c:pt>
              <c:pt idx="373">
                <c:v>24.210461546657445</c:v>
              </c:pt>
              <c:pt idx="377">
                <c:v>24.604530774459256</c:v>
              </c:pt>
              <c:pt idx="378">
                <c:v>24.188480864196702</c:v>
              </c:pt>
              <c:pt idx="382">
                <c:v>25.115963856267957</c:v>
              </c:pt>
              <c:pt idx="383">
                <c:v>25.027841612270191</c:v>
              </c:pt>
              <c:pt idx="387">
                <c:v>24.405872597682677</c:v>
              </c:pt>
              <c:pt idx="388">
                <c:v>33.46094053617788</c:v>
              </c:pt>
              <c:pt idx="390">
                <c:v>24.987641431735781</c:v>
              </c:pt>
              <c:pt idx="391">
                <c:v>24.580471535359219</c:v>
              </c:pt>
              <c:pt idx="392">
                <c:v>24.315560358929531</c:v>
              </c:pt>
              <c:pt idx="394">
                <c:v>25.155779721752243</c:v>
              </c:pt>
              <c:pt idx="396">
                <c:v>23.26687195295208</c:v>
              </c:pt>
              <c:pt idx="398">
                <c:v>17.628079244173335</c:v>
              </c:pt>
              <c:pt idx="400">
                <c:v>17.910031683446306</c:v>
              </c:pt>
              <c:pt idx="401">
                <c:v>19.217418188785299</c:v>
              </c:pt>
              <c:pt idx="402">
                <c:v>17.886611379642044</c:v>
              </c:pt>
              <c:pt idx="405">
                <c:v>16.095884740437896</c:v>
              </c:pt>
              <c:pt idx="406">
                <c:v>17.414445723512394</c:v>
              </c:pt>
              <c:pt idx="408">
                <c:v>18.627594448157435</c:v>
              </c:pt>
              <c:pt idx="409">
                <c:v>17.500143305605103</c:v>
              </c:pt>
              <c:pt idx="411">
                <c:v>17.657920390724424</c:v>
              </c:pt>
              <c:pt idx="412">
                <c:v>18.332005153102582</c:v>
              </c:pt>
              <c:pt idx="415">
                <c:v>17.049590337634228</c:v>
              </c:pt>
              <c:pt idx="416">
                <c:v>17.199729264879636</c:v>
              </c:pt>
              <c:pt idx="417">
                <c:v>19.363577127043314</c:v>
              </c:pt>
              <c:pt idx="418">
                <c:v>19.233335730070156</c:v>
              </c:pt>
              <c:pt idx="420">
                <c:v>17.733498055209697</c:v>
              </c:pt>
              <c:pt idx="421">
                <c:v>17.521768427865922</c:v>
              </c:pt>
              <c:pt idx="424">
                <c:v>18.128094722107878</c:v>
              </c:pt>
              <c:pt idx="425">
                <c:v>24.357460125422751</c:v>
              </c:pt>
              <c:pt idx="428">
                <c:v>27.874420005177996</c:v>
              </c:pt>
              <c:pt idx="429">
                <c:v>24.356556474022195</c:v>
              </c:pt>
              <c:pt idx="430">
                <c:v>19.780344613134702</c:v>
              </c:pt>
              <c:pt idx="431">
                <c:v>18.506607802879309</c:v>
              </c:pt>
              <c:pt idx="433">
                <c:v>18.520338279443529</c:v>
              </c:pt>
              <c:pt idx="434">
                <c:v>17.217982498754733</c:v>
              </c:pt>
              <c:pt idx="439">
                <c:v>18.638759907903403</c:v>
              </c:pt>
              <c:pt idx="442">
                <c:v>18.854423145221599</c:v>
              </c:pt>
              <c:pt idx="443">
                <c:v>19.628452438764377</c:v>
              </c:pt>
              <c:pt idx="444">
                <c:v>19.574973758016966</c:v>
              </c:pt>
              <c:pt idx="447">
                <c:v>18.264551908270057</c:v>
              </c:pt>
              <c:pt idx="448">
                <c:v>17.610849273428528</c:v>
              </c:pt>
              <c:pt idx="449">
                <c:v>18.066796284397906</c:v>
              </c:pt>
              <c:pt idx="451">
                <c:v>17.041236741296672</c:v>
              </c:pt>
              <c:pt idx="452">
                <c:v>17.812040000884338</c:v>
              </c:pt>
              <c:pt idx="453">
                <c:v>18.111093964383031</c:v>
              </c:pt>
              <c:pt idx="454">
                <c:v>17.761500949966745</c:v>
              </c:pt>
              <c:pt idx="455">
                <c:v>14.986900620772998</c:v>
              </c:pt>
              <c:pt idx="456">
                <c:v>16.540923012816361</c:v>
              </c:pt>
              <c:pt idx="457">
                <c:v>14.9</c:v>
              </c:pt>
              <c:pt idx="458">
                <c:v>15.4</c:v>
              </c:pt>
              <c:pt idx="459">
                <c:v>15.2</c:v>
              </c:pt>
              <c:pt idx="460">
                <c:v>13.9</c:v>
              </c:pt>
              <c:pt idx="461">
                <c:v>14</c:v>
              </c:pt>
              <c:pt idx="462">
                <c:v>31.3</c:v>
              </c:pt>
              <c:pt idx="466">
                <c:v>17.399999999999999</c:v>
              </c:pt>
              <c:pt idx="467">
                <c:v>17.3</c:v>
              </c:pt>
              <c:pt idx="470">
                <c:v>14.2</c:v>
              </c:pt>
              <c:pt idx="471">
                <c:v>15.1</c:v>
              </c:pt>
              <c:pt idx="472">
                <c:v>18</c:v>
              </c:pt>
              <c:pt idx="473">
                <c:v>16.100000000000001</c:v>
              </c:pt>
              <c:pt idx="474">
                <c:v>15.5</c:v>
              </c:pt>
              <c:pt idx="475">
                <c:v>14.2</c:v>
              </c:pt>
              <c:pt idx="476">
                <c:v>15.1</c:v>
              </c:pt>
              <c:pt idx="477">
                <c:v>16.2</c:v>
              </c:pt>
              <c:pt idx="478">
                <c:v>14.6</c:v>
              </c:pt>
              <c:pt idx="479">
                <c:v>17.2</c:v>
              </c:pt>
              <c:pt idx="480">
                <c:v>16.600000000000001</c:v>
              </c:pt>
              <c:pt idx="481">
                <c:v>16.399999999999999</c:v>
              </c:pt>
              <c:pt idx="482">
                <c:v>16.100000000000001</c:v>
              </c:pt>
              <c:pt idx="483">
                <c:v>14.3</c:v>
              </c:pt>
              <c:pt idx="484">
                <c:v>14.5</c:v>
              </c:pt>
              <c:pt idx="486">
                <c:v>15</c:v>
              </c:pt>
              <c:pt idx="489">
                <c:v>15.3</c:v>
              </c:pt>
              <c:pt idx="490">
                <c:v>14.9</c:v>
              </c:pt>
              <c:pt idx="491">
                <c:v>14.9</c:v>
              </c:pt>
              <c:pt idx="492">
                <c:v>14.3</c:v>
              </c:pt>
              <c:pt idx="493">
                <c:v>14.5</c:v>
              </c:pt>
              <c:pt idx="494">
                <c:v>14.5</c:v>
              </c:pt>
              <c:pt idx="495">
                <c:v>14.1</c:v>
              </c:pt>
              <c:pt idx="496">
                <c:v>14.1</c:v>
              </c:pt>
              <c:pt idx="498">
                <c:v>13.5</c:v>
              </c:pt>
              <c:pt idx="499">
                <c:v>14.4</c:v>
              </c:pt>
              <c:pt idx="500">
                <c:v>14.9</c:v>
              </c:pt>
              <c:pt idx="501">
                <c:v>15.8</c:v>
              </c:pt>
              <c:pt idx="502">
                <c:v>15.3</c:v>
              </c:pt>
              <c:pt idx="503">
                <c:v>15.3</c:v>
              </c:pt>
              <c:pt idx="504">
                <c:v>15.3</c:v>
              </c:pt>
              <c:pt idx="506">
                <c:v>14.3</c:v>
              </c:pt>
              <c:pt idx="507">
                <c:v>14.6</c:v>
              </c:pt>
              <c:pt idx="508">
                <c:v>13.9</c:v>
              </c:pt>
              <c:pt idx="509">
                <c:v>14.5</c:v>
              </c:pt>
              <c:pt idx="510">
                <c:v>15.8</c:v>
              </c:pt>
              <c:pt idx="511">
                <c:v>15.9</c:v>
              </c:pt>
              <c:pt idx="512">
                <c:v>15</c:v>
              </c:pt>
              <c:pt idx="513">
                <c:v>15.5</c:v>
              </c:pt>
              <c:pt idx="514">
                <c:v>15.9</c:v>
              </c:pt>
              <c:pt idx="518">
                <c:v>15.3</c:v>
              </c:pt>
              <c:pt idx="522">
                <c:v>15.1</c:v>
              </c:pt>
              <c:pt idx="523">
                <c:v>15.5</c:v>
              </c:pt>
              <c:pt idx="528">
                <c:v>14.2</c:v>
              </c:pt>
              <c:pt idx="529">
                <c:v>14.7</c:v>
              </c:pt>
              <c:pt idx="531">
                <c:v>13.7</c:v>
              </c:pt>
              <c:pt idx="532">
                <c:v>14.4</c:v>
              </c:pt>
              <c:pt idx="533">
                <c:v>15.6</c:v>
              </c:pt>
              <c:pt idx="534">
                <c:v>16.3</c:v>
              </c:pt>
              <c:pt idx="535">
                <c:v>15.7</c:v>
              </c:pt>
              <c:pt idx="536">
                <c:v>15.4</c:v>
              </c:pt>
              <c:pt idx="537">
                <c:v>15.6</c:v>
              </c:pt>
              <c:pt idx="538">
                <c:v>14.8</c:v>
              </c:pt>
              <c:pt idx="539">
                <c:v>15.9</c:v>
              </c:pt>
              <c:pt idx="540">
                <c:v>15.1</c:v>
              </c:pt>
              <c:pt idx="541">
                <c:v>15.6</c:v>
              </c:pt>
              <c:pt idx="542">
                <c:v>16.100000000000001</c:v>
              </c:pt>
              <c:pt idx="545">
                <c:v>16.2</c:v>
              </c:pt>
              <c:pt idx="546">
                <c:v>16.2</c:v>
              </c:pt>
              <c:pt idx="548">
                <c:v>16.891422754161891</c:v>
              </c:pt>
              <c:pt idx="549">
                <c:v>16.487774182301237</c:v>
              </c:pt>
              <c:pt idx="550">
                <c:v>15.428942562710505</c:v>
              </c:pt>
              <c:pt idx="551">
                <c:v>14.75300256997707</c:v>
              </c:pt>
              <c:pt idx="552">
                <c:v>15.149890830986118</c:v>
              </c:pt>
              <c:pt idx="553">
                <c:v>13.869327504370252</c:v>
              </c:pt>
              <c:pt idx="554">
                <c:v>13.179968221897754</c:v>
              </c:pt>
              <c:pt idx="556">
                <c:v>13.552000810001179</c:v>
              </c:pt>
              <c:pt idx="557">
                <c:v>13.34386677132575</c:v>
              </c:pt>
              <c:pt idx="558">
                <c:v>13.296230398383488</c:v>
              </c:pt>
              <c:pt idx="559">
                <c:v>13.864697113785823</c:v>
              </c:pt>
              <c:pt idx="560">
                <c:v>14.443927670751245</c:v>
              </c:pt>
              <c:pt idx="561">
                <c:v>13.847863636896447</c:v>
              </c:pt>
              <c:pt idx="563">
                <c:v>13.626479354811227</c:v>
              </c:pt>
              <c:pt idx="564">
                <c:v>13.801196752274389</c:v>
              </c:pt>
              <c:pt idx="565">
                <c:v>13.400975795582134</c:v>
              </c:pt>
              <c:pt idx="566">
                <c:v>13.308206235775918</c:v>
              </c:pt>
              <c:pt idx="567">
                <c:v>13.611821341924383</c:v>
              </c:pt>
              <c:pt idx="568">
                <c:v>13.014563646587698</c:v>
              </c:pt>
              <c:pt idx="569">
                <c:v>12.76571282334781</c:v>
              </c:pt>
              <c:pt idx="571">
                <c:v>13.337674499022976</c:v>
              </c:pt>
              <c:pt idx="572">
                <c:v>12.940405824001036</c:v>
              </c:pt>
              <c:pt idx="573">
                <c:v>12.331648521417357</c:v>
              </c:pt>
              <c:pt idx="574">
                <c:v>12.217825189441342</c:v>
              </c:pt>
              <c:pt idx="575">
                <c:v>11.890759958166441</c:v>
              </c:pt>
              <c:pt idx="576">
                <c:v>11.947948096441815</c:v>
              </c:pt>
              <c:pt idx="578">
                <c:v>11.454284844087347</c:v>
              </c:pt>
              <c:pt idx="579">
                <c:v>11.713804549810726</c:v>
              </c:pt>
              <c:pt idx="580">
                <c:v>11.925276610898758</c:v>
              </c:pt>
              <c:pt idx="581">
                <c:v>12.716744402821051</c:v>
              </c:pt>
              <c:pt idx="582">
                <c:v>15.839217135961478</c:v>
              </c:pt>
              <c:pt idx="583">
                <c:v>14.144572083886073</c:v>
              </c:pt>
              <c:pt idx="584">
                <c:v>13.63475915563437</c:v>
              </c:pt>
              <c:pt idx="585">
                <c:v>13.999804251339945</c:v>
              </c:pt>
              <c:pt idx="586">
                <c:v>13.362355519709272</c:v>
              </c:pt>
              <c:pt idx="587">
                <c:v>12.978313059881247</c:v>
              </c:pt>
              <c:pt idx="589">
                <c:v>12.951621515366533</c:v>
              </c:pt>
              <c:pt idx="590">
                <c:v>13.252531833152027</c:v>
              </c:pt>
              <c:pt idx="591">
                <c:v>12.962826181966763</c:v>
              </c:pt>
              <c:pt idx="592">
                <c:v>12.860288958464411</c:v>
              </c:pt>
              <c:pt idx="593">
                <c:v>12.880636684676748</c:v>
              </c:pt>
              <c:pt idx="594">
                <c:v>13.450441973757638</c:v>
              </c:pt>
              <c:pt idx="595">
                <c:v>12.555113006004991</c:v>
              </c:pt>
              <c:pt idx="596">
                <c:v>12.570602684584816</c:v>
              </c:pt>
              <c:pt idx="597">
                <c:v>13.239973633966601</c:v>
              </c:pt>
              <c:pt idx="598">
                <c:v>12.406092484603672</c:v>
              </c:pt>
              <c:pt idx="599">
                <c:v>12.410328708647365</c:v>
              </c:pt>
              <c:pt idx="600">
                <c:v>12.610256143505756</c:v>
              </c:pt>
              <c:pt idx="603">
                <c:v>12.74969312262861</c:v>
              </c:pt>
              <c:pt idx="604">
                <c:v>12.816017915307231</c:v>
              </c:pt>
              <c:pt idx="605">
                <c:v>14.001895793471693</c:v>
              </c:pt>
              <c:pt idx="606">
                <c:v>16.785590547807651</c:v>
              </c:pt>
              <c:pt idx="608">
                <c:v>14.543349142852676</c:v>
              </c:pt>
              <c:pt idx="609">
                <c:v>14.337134065796791</c:v>
              </c:pt>
              <c:pt idx="610">
                <c:v>13.362427975469835</c:v>
              </c:pt>
              <c:pt idx="611">
                <c:v>13.386784031451434</c:v>
              </c:pt>
              <c:pt idx="612">
                <c:v>13.185858335368655</c:v>
              </c:pt>
              <c:pt idx="613">
                <c:v>20.332651930199688</c:v>
              </c:pt>
              <c:pt idx="614">
                <c:v>25.901226924724988</c:v>
              </c:pt>
              <c:pt idx="615">
                <c:v>25.448547344846816</c:v>
              </c:pt>
              <c:pt idx="616">
                <c:v>24.709071037511116</c:v>
              </c:pt>
              <c:pt idx="617">
                <c:v>25.014261747627089</c:v>
              </c:pt>
              <c:pt idx="618">
                <c:v>25.620115962177245</c:v>
              </c:pt>
              <c:pt idx="619">
                <c:v>26.163039318852256</c:v>
              </c:pt>
              <c:pt idx="620">
                <c:v>25.867106939573972</c:v>
              </c:pt>
              <c:pt idx="621">
                <c:v>26.228803601823039</c:v>
              </c:pt>
              <c:pt idx="622">
                <c:v>25.268635013187463</c:v>
              </c:pt>
              <c:pt idx="623">
                <c:v>25.789658162368038</c:v>
              </c:pt>
              <c:pt idx="624">
                <c:v>24.625759930651334</c:v>
              </c:pt>
              <c:pt idx="625">
                <c:v>24.86125429183118</c:v>
              </c:pt>
              <c:pt idx="626">
                <c:v>25.594176129994434</c:v>
              </c:pt>
              <c:pt idx="627">
                <c:v>25.890996400873359</c:v>
              </c:pt>
              <c:pt idx="628">
                <c:v>25.936823430860077</c:v>
              </c:pt>
              <c:pt idx="630">
                <c:v>26.418174837153067</c:v>
              </c:pt>
              <c:pt idx="631">
                <c:v>27.479334450442309</c:v>
              </c:pt>
              <c:pt idx="632">
                <c:v>27.398586099843019</c:v>
              </c:pt>
              <c:pt idx="634">
                <c:v>27.10944617801027</c:v>
              </c:pt>
              <c:pt idx="635">
                <c:v>26.580420924259649</c:v>
              </c:pt>
              <c:pt idx="636">
                <c:v>27.501718073885257</c:v>
              </c:pt>
              <c:pt idx="638">
                <c:v>26.802716189219193</c:v>
              </c:pt>
              <c:pt idx="639">
                <c:v>26.06529086388759</c:v>
              </c:pt>
              <c:pt idx="640">
                <c:v>25.709584679230478</c:v>
              </c:pt>
              <c:pt idx="641">
                <c:v>26.119732247532376</c:v>
              </c:pt>
              <c:pt idx="642">
                <c:v>26.047703144755985</c:v>
              </c:pt>
              <c:pt idx="644">
                <c:v>26.435981746398426</c:v>
              </c:pt>
              <c:pt idx="645">
                <c:v>31.241452514704449</c:v>
              </c:pt>
              <c:pt idx="647">
                <c:v>27.516207357098182</c:v>
              </c:pt>
              <c:pt idx="648">
                <c:v>26.685744149122574</c:v>
              </c:pt>
              <c:pt idx="649">
                <c:v>26.614993652863603</c:v>
              </c:pt>
              <c:pt idx="650">
                <c:v>26.300264886221619</c:v>
              </c:pt>
              <c:pt idx="651">
                <c:v>26.236936339517506</c:v>
              </c:pt>
              <c:pt idx="653">
                <c:v>26.433266899585313</c:v>
              </c:pt>
              <c:pt idx="654">
                <c:v>27.937379775832611</c:v>
              </c:pt>
              <c:pt idx="657">
                <c:v>26.030907730042838</c:v>
              </c:pt>
              <c:pt idx="658">
                <c:v>25.175447970537014</c:v>
              </c:pt>
              <c:pt idx="659">
                <c:v>24.584188052160172</c:v>
              </c:pt>
              <c:pt idx="660">
                <c:v>17.8885849595883</c:v>
              </c:pt>
              <c:pt idx="661">
                <c:v>25.506044653219131</c:v>
              </c:pt>
              <c:pt idx="662">
                <c:v>24.916601608888396</c:v>
              </c:pt>
              <c:pt idx="663">
                <c:v>25.386380769453549</c:v>
              </c:pt>
              <c:pt idx="664">
                <c:v>25.563668352685863</c:v>
              </c:pt>
              <c:pt idx="665">
                <c:v>25.194539670232132</c:v>
              </c:pt>
              <c:pt idx="667">
                <c:v>26.050876780620019</c:v>
              </c:pt>
              <c:pt idx="669">
                <c:v>15.431262284375098</c:v>
              </c:pt>
              <c:pt idx="670">
                <c:v>13.719729874453456</c:v>
              </c:pt>
              <c:pt idx="671">
                <c:v>15.457073681674974</c:v>
              </c:pt>
              <c:pt idx="672">
                <c:v>14.836202636430043</c:v>
              </c:pt>
              <c:pt idx="673">
                <c:v>13.930105272339828</c:v>
              </c:pt>
              <c:pt idx="674">
                <c:v>13.685512714753116</c:v>
              </c:pt>
              <c:pt idx="675">
                <c:v>12.554923937992056</c:v>
              </c:pt>
              <c:pt idx="676">
                <c:v>14.262488377445228</c:v>
              </c:pt>
              <c:pt idx="677">
                <c:v>11.23184002921229</c:v>
              </c:pt>
              <c:pt idx="678">
                <c:v>15.713136263022578</c:v>
              </c:pt>
              <c:pt idx="679">
                <c:v>25.75068583682032</c:v>
              </c:pt>
              <c:pt idx="680">
                <c:v>22.442522871744355</c:v>
              </c:pt>
              <c:pt idx="681">
                <c:v>21.109784091564713</c:v>
              </c:pt>
              <c:pt idx="682">
                <c:v>21.398675764107487</c:v>
              </c:pt>
              <c:pt idx="684">
                <c:v>27.171945893340926</c:v>
              </c:pt>
              <c:pt idx="685">
                <c:v>13.384848404460197</c:v>
              </c:pt>
              <c:pt idx="686">
                <c:v>7.4336374458975705</c:v>
              </c:pt>
              <c:pt idx="687">
                <c:v>12.279864747864726</c:v>
              </c:pt>
              <c:pt idx="688">
                <c:v>12.300518387776046</c:v>
              </c:pt>
              <c:pt idx="689">
                <c:v>12.238983524147457</c:v>
              </c:pt>
              <c:pt idx="690">
                <c:v>13.468452417165683</c:v>
              </c:pt>
              <c:pt idx="691">
                <c:v>12.005800054778248</c:v>
              </c:pt>
              <c:pt idx="692">
                <c:v>12.093425747263469</c:v>
              </c:pt>
              <c:pt idx="693">
                <c:v>16.146540027137046</c:v>
              </c:pt>
              <c:pt idx="694">
                <c:v>12.673837722523198</c:v>
              </c:pt>
              <c:pt idx="695">
                <c:v>12.874831674713439</c:v>
              </c:pt>
              <c:pt idx="696">
                <c:v>12.346963419895065</c:v>
              </c:pt>
              <c:pt idx="697">
                <c:v>11.482066778785459</c:v>
              </c:pt>
              <c:pt idx="698">
                <c:v>12.122916130592449</c:v>
              </c:pt>
              <c:pt idx="699">
                <c:v>12.222924831318588</c:v>
              </c:pt>
              <c:pt idx="700">
                <c:v>12.065100514949346</c:v>
              </c:pt>
              <c:pt idx="701">
                <c:v>12.487758927720867</c:v>
              </c:pt>
              <c:pt idx="702">
                <c:v>12.207869900890893</c:v>
              </c:pt>
              <c:pt idx="703">
                <c:v>11.171742168401476</c:v>
              </c:pt>
              <c:pt idx="704">
                <c:v>10.247852541036075</c:v>
              </c:pt>
              <c:pt idx="705">
                <c:v>10.681995928901475</c:v>
              </c:pt>
              <c:pt idx="707">
                <c:v>11.697798880454457</c:v>
              </c:pt>
              <c:pt idx="708">
                <c:v>11.987906867241513</c:v>
              </c:pt>
              <c:pt idx="709">
                <c:v>12.326003140814436</c:v>
              </c:pt>
              <c:pt idx="710">
                <c:v>13.125801992307771</c:v>
              </c:pt>
              <c:pt idx="711">
                <c:v>11.846759819976867</c:v>
              </c:pt>
              <c:pt idx="712">
                <c:v>12.474644486528899</c:v>
              </c:pt>
              <c:pt idx="713">
                <c:v>11.651744215070961</c:v>
              </c:pt>
              <c:pt idx="714">
                <c:v>19.112949672397736</c:v>
              </c:pt>
              <c:pt idx="715">
                <c:v>14.567374146484569</c:v>
              </c:pt>
              <c:pt idx="716">
                <c:v>14.236953801638659</c:v>
              </c:pt>
              <c:pt idx="717">
                <c:v>12.528335779550924</c:v>
              </c:pt>
              <c:pt idx="718">
                <c:v>12.334823347274662</c:v>
              </c:pt>
              <c:pt idx="719">
                <c:v>11.64899601791546</c:v>
              </c:pt>
              <c:pt idx="720">
                <c:v>12.217668758899068</c:v>
              </c:pt>
              <c:pt idx="721">
                <c:v>11.449342404262788</c:v>
              </c:pt>
              <c:pt idx="722">
                <c:v>11.948457620072746</c:v>
              </c:pt>
              <c:pt idx="723">
                <c:v>12.378609118961762</c:v>
              </c:pt>
              <c:pt idx="724">
                <c:v>12.315586290968323</c:v>
              </c:pt>
              <c:pt idx="726">
                <c:v>11.615961482124296</c:v>
              </c:pt>
              <c:pt idx="727">
                <c:v>11.387442967892193</c:v>
              </c:pt>
              <c:pt idx="728">
                <c:v>11.061409906752969</c:v>
              </c:pt>
              <c:pt idx="729">
                <c:v>13.552008589529846</c:v>
              </c:pt>
              <c:pt idx="730">
                <c:v>13.112892481339587</c:v>
              </c:pt>
              <c:pt idx="731">
                <c:v>23.804086170584089</c:v>
              </c:pt>
              <c:pt idx="736">
                <c:v>12.386257141807709</c:v>
              </c:pt>
              <c:pt idx="737">
                <c:v>12.380863560478499</c:v>
              </c:pt>
              <c:pt idx="738">
                <c:v>13.13889085616735</c:v>
              </c:pt>
              <c:pt idx="739">
                <c:v>12.959088157851918</c:v>
              </c:pt>
              <c:pt idx="740">
                <c:v>14.036689774621232</c:v>
              </c:pt>
              <c:pt idx="741">
                <c:v>15.655091209608354</c:v>
              </c:pt>
              <c:pt idx="742">
                <c:v>15.538423097250513</c:v>
              </c:pt>
              <c:pt idx="743">
                <c:v>15.648714371556782</c:v>
              </c:pt>
              <c:pt idx="744">
                <c:v>16.159600627032756</c:v>
              </c:pt>
              <c:pt idx="745">
                <c:v>15.664272066608481</c:v>
              </c:pt>
              <c:pt idx="747">
                <c:v>15.246058271180186</c:v>
              </c:pt>
              <c:pt idx="748">
                <c:v>15.751214641762649</c:v>
              </c:pt>
              <c:pt idx="749">
                <c:v>16.495938864613638</c:v>
              </c:pt>
              <c:pt idx="750">
                <c:v>16.958303399552904</c:v>
              </c:pt>
              <c:pt idx="752">
                <c:v>17.114225389855026</c:v>
              </c:pt>
              <c:pt idx="753">
                <c:v>16.641344718006618</c:v>
              </c:pt>
              <c:pt idx="754">
                <c:v>15.237561446499384</c:v>
              </c:pt>
              <c:pt idx="755">
                <c:v>15.383396567381453</c:v>
              </c:pt>
              <c:pt idx="756">
                <c:v>16.139278199872319</c:v>
              </c:pt>
              <c:pt idx="757">
                <c:v>16.357155807006134</c:v>
              </c:pt>
              <c:pt idx="758">
                <c:v>16.551279767866923</c:v>
              </c:pt>
              <c:pt idx="759">
                <c:v>15.685036501679871</c:v>
              </c:pt>
              <c:pt idx="760">
                <c:v>14.219189895810036</c:v>
              </c:pt>
              <c:pt idx="761">
                <c:v>14.494292710506388</c:v>
              </c:pt>
              <c:pt idx="762">
                <c:v>15.397381053665963</c:v>
              </c:pt>
              <c:pt idx="764">
                <c:v>16.398796454403996</c:v>
              </c:pt>
              <c:pt idx="765">
                <c:v>16.476852801117488</c:v>
              </c:pt>
              <c:pt idx="766">
                <c:v>16.389015931763414</c:v>
              </c:pt>
              <c:pt idx="767">
                <c:v>17.307724091907605</c:v>
              </c:pt>
              <c:pt idx="768">
                <c:v>19.088810684796144</c:v>
              </c:pt>
              <c:pt idx="769">
                <c:v>17.956235365750427</c:v>
              </c:pt>
              <c:pt idx="770">
                <c:v>16.95792179083999</c:v>
              </c:pt>
              <c:pt idx="771">
                <c:v>16.570575659653986</c:v>
              </c:pt>
              <c:pt idx="772">
                <c:v>29.227874331783671</c:v>
              </c:pt>
              <c:pt idx="773">
                <c:v>16.668440804470158</c:v>
              </c:pt>
              <c:pt idx="774">
                <c:v>18.110881156557099</c:v>
              </c:pt>
              <c:pt idx="775">
                <c:v>19.00151963979831</c:v>
              </c:pt>
              <c:pt idx="776">
                <c:v>18.310050285273746</c:v>
              </c:pt>
              <c:pt idx="777">
                <c:v>18.996155089310257</c:v>
              </c:pt>
              <c:pt idx="778">
                <c:v>18.57018351777651</c:v>
              </c:pt>
              <c:pt idx="779">
                <c:v>16.897331747236215</c:v>
              </c:pt>
              <c:pt idx="781">
                <c:v>16.276949322700343</c:v>
              </c:pt>
              <c:pt idx="782">
                <c:v>16.945074732964819</c:v>
              </c:pt>
              <c:pt idx="783">
                <c:v>16.2635954164091</c:v>
              </c:pt>
              <c:pt idx="784">
                <c:v>16.574460900139467</c:v>
              </c:pt>
              <c:pt idx="785">
                <c:v>16.436483013991797</c:v>
              </c:pt>
              <c:pt idx="786">
                <c:v>16.427797303305962</c:v>
              </c:pt>
              <c:pt idx="787">
                <c:v>15.957150086851142</c:v>
              </c:pt>
              <c:pt idx="788">
                <c:v>31.751536251310064</c:v>
              </c:pt>
              <c:pt idx="789">
                <c:v>33.881096104885792</c:v>
              </c:pt>
              <c:pt idx="790">
                <c:v>27.694899603502993</c:v>
              </c:pt>
              <c:pt idx="791">
                <c:v>27.301044650459598</c:v>
              </c:pt>
              <c:pt idx="792">
                <c:v>27.640038250316245</c:v>
              </c:pt>
              <c:pt idx="793">
                <c:v>27.228248430346873</c:v>
              </c:pt>
              <c:pt idx="795">
                <c:v>27.730636549363705</c:v>
              </c:pt>
              <c:pt idx="796">
                <c:v>28.505470254487271</c:v>
              </c:pt>
              <c:pt idx="797">
                <c:v>31.356832384562264</c:v>
              </c:pt>
              <c:pt idx="798">
                <c:v>32.361439128473975</c:v>
              </c:pt>
              <c:pt idx="802">
                <c:v>27.443182256511697</c:v>
              </c:pt>
              <c:pt idx="803">
                <c:v>27.507415739310112</c:v>
              </c:pt>
              <c:pt idx="804">
                <c:v>28.787774015671637</c:v>
              </c:pt>
              <c:pt idx="805">
                <c:v>29.544974528236153</c:v>
              </c:pt>
              <c:pt idx="806">
                <c:v>30.070719671870833</c:v>
              </c:pt>
              <c:pt idx="807">
                <c:v>29.624279523088809</c:v>
              </c:pt>
              <c:pt idx="808">
                <c:v>29.602512119562277</c:v>
              </c:pt>
              <c:pt idx="811">
                <c:v>30.415486109031345</c:v>
              </c:pt>
              <c:pt idx="813">
                <c:v>28.412533340270969</c:v>
              </c:pt>
              <c:pt idx="814">
                <c:v>28.141998812615093</c:v>
              </c:pt>
              <c:pt idx="815">
                <c:v>28.694217642200538</c:v>
              </c:pt>
              <c:pt idx="816">
                <c:v>28.572377262544034</c:v>
              </c:pt>
              <c:pt idx="817">
                <c:v>28.684997880514349</c:v>
              </c:pt>
              <c:pt idx="819">
                <c:v>27.451377602031677</c:v>
              </c:pt>
              <c:pt idx="820">
                <c:v>28.594471276485681</c:v>
              </c:pt>
              <c:pt idx="821">
                <c:v>28.205166871036468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776-4A10-99A1-A5023C2E09C6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26">
                <c:v>29.211605847908487</c:v>
              </c:pt>
              <c:pt idx="33">
                <c:v>23.665081873652209</c:v>
              </c:pt>
              <c:pt idx="40">
                <c:v>21.088645204498743</c:v>
              </c:pt>
              <c:pt idx="47">
                <c:v>29.264981863379912</c:v>
              </c:pt>
              <c:pt idx="82">
                <c:v>30.768540519623244</c:v>
              </c:pt>
              <c:pt idx="115">
                <c:v>29.257337727507071</c:v>
              </c:pt>
              <c:pt idx="122">
                <c:v>32.135017906788427</c:v>
              </c:pt>
              <c:pt idx="133">
                <c:v>30.526609209823295</c:v>
              </c:pt>
              <c:pt idx="136">
                <c:v>26.611512430575957</c:v>
              </c:pt>
              <c:pt idx="147">
                <c:v>16.767351722103097</c:v>
              </c:pt>
              <c:pt idx="150">
                <c:v>15.444480184555266</c:v>
              </c:pt>
              <c:pt idx="157">
                <c:v>17.344220684444767</c:v>
              </c:pt>
              <c:pt idx="164">
                <c:v>15.476933737008482</c:v>
              </c:pt>
              <c:pt idx="185">
                <c:v>15.324847176870186</c:v>
              </c:pt>
              <c:pt idx="244">
                <c:v>20.704673498222871</c:v>
              </c:pt>
              <c:pt idx="251">
                <c:v>16.240404907755529</c:v>
              </c:pt>
              <c:pt idx="258">
                <c:v>13.051296636290811</c:v>
              </c:pt>
              <c:pt idx="265">
                <c:v>18.113450905474874</c:v>
              </c:pt>
              <c:pt idx="270">
                <c:v>18.170125933046759</c:v>
              </c:pt>
              <c:pt idx="278">
                <c:v>15.641585583103964</c:v>
              </c:pt>
              <c:pt idx="285">
                <c:v>17.42154286688077</c:v>
              </c:pt>
              <c:pt idx="307">
                <c:v>14.53401731644021</c:v>
              </c:pt>
              <c:pt idx="315">
                <c:v>22.385656936378847</c:v>
              </c:pt>
              <c:pt idx="329">
                <c:v>21.295308599830307</c:v>
              </c:pt>
              <c:pt idx="336">
                <c:v>28.312397692838339</c:v>
              </c:pt>
              <c:pt idx="343">
                <c:v>26.488443035698776</c:v>
              </c:pt>
              <c:pt idx="350">
                <c:v>28.548501625322725</c:v>
              </c:pt>
              <c:pt idx="357">
                <c:v>26.493084780948774</c:v>
              </c:pt>
              <c:pt idx="371">
                <c:v>27.630286717142361</c:v>
              </c:pt>
              <c:pt idx="378">
                <c:v>34.319392225494539</c:v>
              </c:pt>
              <c:pt idx="385">
                <c:v>30.917064957513723</c:v>
              </c:pt>
              <c:pt idx="399">
                <c:v>24.011447460866876</c:v>
              </c:pt>
              <c:pt idx="405">
                <c:v>19.150924712125775</c:v>
              </c:pt>
              <c:pt idx="412">
                <c:v>13.235356171979781</c:v>
              </c:pt>
              <c:pt idx="420">
                <c:v>19.184167124962894</c:v>
              </c:pt>
              <c:pt idx="434">
                <c:v>20.820344759270114</c:v>
              </c:pt>
              <c:pt idx="441">
                <c:v>28.672906710132015</c:v>
              </c:pt>
              <c:pt idx="447">
                <c:v>31.735156808411308</c:v>
              </c:pt>
              <c:pt idx="455">
                <c:v>22.700860015457682</c:v>
              </c:pt>
              <c:pt idx="524">
                <c:v>16.878246259185296</c:v>
              </c:pt>
              <c:pt idx="531">
                <c:v>11.8</c:v>
              </c:pt>
              <c:pt idx="538">
                <c:v>15.4</c:v>
              </c:pt>
              <c:pt idx="545">
                <c:v>17.8</c:v>
              </c:pt>
              <c:pt idx="550">
                <c:v>17.422976220736434</c:v>
              </c:pt>
              <c:pt idx="593">
                <c:v>14.920403369200862</c:v>
              </c:pt>
              <c:pt idx="601">
                <c:v>11.979199471837068</c:v>
              </c:pt>
              <c:pt idx="602">
                <c:v>12.576793876386903</c:v>
              </c:pt>
              <c:pt idx="608">
                <c:v>16.983925786236991</c:v>
              </c:pt>
              <c:pt idx="612">
                <c:v>13.733384105022081</c:v>
              </c:pt>
              <c:pt idx="623">
                <c:v>22.722465148114175</c:v>
              </c:pt>
              <c:pt idx="635">
                <c:v>20.781739467003487</c:v>
              </c:pt>
              <c:pt idx="649">
                <c:v>21.244448636569746</c:v>
              </c:pt>
              <c:pt idx="656">
                <c:v>28.927712781844932</c:v>
              </c:pt>
              <c:pt idx="661">
                <c:v>21.792611167033737</c:v>
              </c:pt>
              <c:pt idx="668">
                <c:v>11.888625945039408</c:v>
              </c:pt>
              <c:pt idx="717">
                <c:v>15.407868858575899</c:v>
              </c:pt>
              <c:pt idx="724">
                <c:v>15.527134817341098</c:v>
              </c:pt>
              <c:pt idx="731">
                <c:v>23.221963543630462</c:v>
              </c:pt>
              <c:pt idx="741">
                <c:v>19.261470037292991</c:v>
              </c:pt>
              <c:pt idx="745">
                <c:v>18.252916525219582</c:v>
              </c:pt>
              <c:pt idx="755">
                <c:v>22.281692563869182</c:v>
              </c:pt>
              <c:pt idx="761">
                <c:v>20.750980960001858</c:v>
              </c:pt>
              <c:pt idx="767">
                <c:v>18.489364112332829</c:v>
              </c:pt>
              <c:pt idx="774">
                <c:v>16.234576256375036</c:v>
              </c:pt>
              <c:pt idx="781">
                <c:v>19.902483562562431</c:v>
              </c:pt>
              <c:pt idx="789">
                <c:v>30.106137736945424</c:v>
              </c:pt>
              <c:pt idx="796">
                <c:v>29.443118557585855</c:v>
              </c:pt>
              <c:pt idx="803">
                <c:v>21.430233397860896</c:v>
              </c:pt>
              <c:pt idx="809">
                <c:v>29.140546580920159</c:v>
              </c:pt>
              <c:pt idx="818">
                <c:v>29.414339735650493</c:v>
              </c:pt>
              <c:pt idx="825">
                <c:v>26.268326127233014</c:v>
              </c:pt>
              <c:pt idx="830">
                <c:v>28.989460690636953</c:v>
              </c:pt>
              <c:pt idx="839">
                <c:v>34.180289175789063</c:v>
              </c:pt>
              <c:pt idx="843">
                <c:v>32.09900280391021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776-4A10-99A1-A5023C2E09C6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26">
                <c:v>18.519482640386094</c:v>
              </c:pt>
              <c:pt idx="33">
                <c:v>20.483116245257641</c:v>
              </c:pt>
              <c:pt idx="40">
                <c:v>21.088645204498743</c:v>
              </c:pt>
              <c:pt idx="47">
                <c:v>29.264981863379912</c:v>
              </c:pt>
              <c:pt idx="82">
                <c:v>28.545408117694251</c:v>
              </c:pt>
              <c:pt idx="115">
                <c:v>29.257337727507071</c:v>
              </c:pt>
              <c:pt idx="122">
                <c:v>32.135017906788427</c:v>
              </c:pt>
              <c:pt idx="133">
                <c:v>28.004978437075891</c:v>
              </c:pt>
              <c:pt idx="136">
                <c:v>26.611512430575957</c:v>
              </c:pt>
              <c:pt idx="147">
                <c:v>16.44301037172518</c:v>
              </c:pt>
              <c:pt idx="150">
                <c:v>13.248829816640725</c:v>
              </c:pt>
              <c:pt idx="157">
                <c:v>14.186545406789257</c:v>
              </c:pt>
              <c:pt idx="164">
                <c:v>10.874883299467244</c:v>
              </c:pt>
              <c:pt idx="185">
                <c:v>13.127049838646029</c:v>
              </c:pt>
              <c:pt idx="244">
                <c:v>20.704673498222871</c:v>
              </c:pt>
              <c:pt idx="251">
                <c:v>16.240404907755529</c:v>
              </c:pt>
              <c:pt idx="258">
                <c:v>13.051296636290811</c:v>
              </c:pt>
              <c:pt idx="265">
                <c:v>14.183819052856451</c:v>
              </c:pt>
              <c:pt idx="270">
                <c:v>14.350039391513713</c:v>
              </c:pt>
              <c:pt idx="278">
                <c:v>11.561003159067356</c:v>
              </c:pt>
              <c:pt idx="285">
                <c:v>15.386655781914648</c:v>
              </c:pt>
              <c:pt idx="307">
                <c:v>14.53401731644021</c:v>
              </c:pt>
              <c:pt idx="315">
                <c:v>19.753643450374323</c:v>
              </c:pt>
              <c:pt idx="329">
                <c:v>21.295308599830307</c:v>
              </c:pt>
              <c:pt idx="336">
                <c:v>28.312397692838339</c:v>
              </c:pt>
              <c:pt idx="343">
                <c:v>22.283001481776871</c:v>
              </c:pt>
              <c:pt idx="350">
                <c:v>22.373913444610743</c:v>
              </c:pt>
              <c:pt idx="371">
                <c:v>27.630286717142361</c:v>
              </c:pt>
              <c:pt idx="378">
                <c:v>34.319392225494539</c:v>
              </c:pt>
              <c:pt idx="385">
                <c:v>30.917064957513723</c:v>
              </c:pt>
              <c:pt idx="392">
                <c:v>26.67028303479341</c:v>
              </c:pt>
              <c:pt idx="399">
                <c:v>16.436799053697801</c:v>
              </c:pt>
              <c:pt idx="405">
                <c:v>12.571195356640953</c:v>
              </c:pt>
              <c:pt idx="412">
                <c:v>17.560019942135739</c:v>
              </c:pt>
              <c:pt idx="420">
                <c:v>19.184167124962894</c:v>
              </c:pt>
              <c:pt idx="434">
                <c:v>14.700145040049234</c:v>
              </c:pt>
              <c:pt idx="441">
                <c:v>25.654506013787117</c:v>
              </c:pt>
              <c:pt idx="447">
                <c:v>25.835692447657589</c:v>
              </c:pt>
              <c:pt idx="455">
                <c:v>22.700860015457682</c:v>
              </c:pt>
              <c:pt idx="475">
                <c:v>13.740509578207913</c:v>
              </c:pt>
              <c:pt idx="496">
                <c:v>14.967809482566967</c:v>
              </c:pt>
              <c:pt idx="504">
                <c:v>13.037042931884244</c:v>
              </c:pt>
              <c:pt idx="510">
                <c:v>14.856562766090811</c:v>
              </c:pt>
              <c:pt idx="517">
                <c:v>11.724847282718226</c:v>
              </c:pt>
              <c:pt idx="524">
                <c:v>16.878246259185296</c:v>
              </c:pt>
              <c:pt idx="531">
                <c:v>9.7868851044716365</c:v>
              </c:pt>
              <c:pt idx="538">
                <c:v>8.6683384781673105</c:v>
              </c:pt>
              <c:pt idx="545">
                <c:v>15.771033760336135</c:v>
              </c:pt>
              <c:pt idx="550">
                <c:v>17.422976220736434</c:v>
              </c:pt>
              <c:pt idx="593">
                <c:v>10.840422421257809</c:v>
              </c:pt>
              <c:pt idx="601">
                <c:v>11.979199471837068</c:v>
              </c:pt>
              <c:pt idx="602">
                <c:v>10.660000883003567</c:v>
              </c:pt>
              <c:pt idx="608">
                <c:v>16.983925786236991</c:v>
              </c:pt>
              <c:pt idx="612">
                <c:v>10.657665769064685</c:v>
              </c:pt>
              <c:pt idx="623">
                <c:v>21.72004478621918</c:v>
              </c:pt>
              <c:pt idx="629">
                <c:v>20.629322729967743</c:v>
              </c:pt>
              <c:pt idx="635">
                <c:v>20.781739467003487</c:v>
              </c:pt>
              <c:pt idx="649">
                <c:v>21.244448636569746</c:v>
              </c:pt>
              <c:pt idx="656">
                <c:v>25.024231718793505</c:v>
              </c:pt>
              <c:pt idx="661">
                <c:v>17.85010311865117</c:v>
              </c:pt>
              <c:pt idx="668">
                <c:v>11.888625945039408</c:v>
              </c:pt>
              <c:pt idx="717">
                <c:v>12.917410840619034</c:v>
              </c:pt>
              <c:pt idx="724">
                <c:v>15.527134817341098</c:v>
              </c:pt>
              <c:pt idx="731">
                <c:v>14.858783374430239</c:v>
              </c:pt>
              <c:pt idx="741">
                <c:v>10.548278471951845</c:v>
              </c:pt>
              <c:pt idx="745">
                <c:v>16.380768204905987</c:v>
              </c:pt>
              <c:pt idx="755">
                <c:v>22.281692563869182</c:v>
              </c:pt>
              <c:pt idx="761">
                <c:v>20.750980960001858</c:v>
              </c:pt>
              <c:pt idx="767">
                <c:v>18.489364112332829</c:v>
              </c:pt>
              <c:pt idx="774">
                <c:v>16.234576256375036</c:v>
              </c:pt>
              <c:pt idx="781">
                <c:v>19.902483562562431</c:v>
              </c:pt>
              <c:pt idx="789">
                <c:v>30.106137736945424</c:v>
              </c:pt>
              <c:pt idx="796">
                <c:v>26.9906479326675</c:v>
              </c:pt>
              <c:pt idx="803">
                <c:v>21.430233397860896</c:v>
              </c:pt>
              <c:pt idx="809">
                <c:v>29.140546580920159</c:v>
              </c:pt>
              <c:pt idx="818">
                <c:v>23.457400856647165</c:v>
              </c:pt>
              <c:pt idx="825">
                <c:v>26.268326127233014</c:v>
              </c:pt>
              <c:pt idx="830">
                <c:v>25.907368427381311</c:v>
              </c:pt>
              <c:pt idx="839">
                <c:v>31.274042192508109</c:v>
              </c:pt>
              <c:pt idx="843">
                <c:v>34.084896143459289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776-4A10-99A1-A5023C2E09C6}"/>
            </c:ext>
          </c:extLst>
        </c:ser>
        <c:ser>
          <c:idx val="3"/>
          <c:order val="3"/>
          <c:tx>
            <c:v>Grab Plant PD (lb/Ton)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Lit>
              <c:ptCount val="850"/>
              <c:pt idx="0">
                <c:v>44470</c:v>
              </c:pt>
              <c:pt idx="1">
                <c:v>44471</c:v>
              </c:pt>
              <c:pt idx="2">
                <c:v>44472</c:v>
              </c:pt>
              <c:pt idx="3">
                <c:v>44473</c:v>
              </c:pt>
              <c:pt idx="4">
                <c:v>44474</c:v>
              </c:pt>
              <c:pt idx="5">
                <c:v>44475</c:v>
              </c:pt>
              <c:pt idx="6">
                <c:v>44476</c:v>
              </c:pt>
              <c:pt idx="7">
                <c:v>44477</c:v>
              </c:pt>
              <c:pt idx="8">
                <c:v>44478</c:v>
              </c:pt>
              <c:pt idx="9">
                <c:v>44479</c:v>
              </c:pt>
              <c:pt idx="10">
                <c:v>44480</c:v>
              </c:pt>
              <c:pt idx="11">
                <c:v>44481</c:v>
              </c:pt>
              <c:pt idx="12">
                <c:v>44482</c:v>
              </c:pt>
              <c:pt idx="13">
                <c:v>44483</c:v>
              </c:pt>
              <c:pt idx="14">
                <c:v>44484</c:v>
              </c:pt>
              <c:pt idx="15">
                <c:v>44485</c:v>
              </c:pt>
              <c:pt idx="16">
                <c:v>44486</c:v>
              </c:pt>
              <c:pt idx="17">
                <c:v>44487</c:v>
              </c:pt>
              <c:pt idx="18">
                <c:v>44488</c:v>
              </c:pt>
              <c:pt idx="19">
                <c:v>44489</c:v>
              </c:pt>
              <c:pt idx="20">
                <c:v>44490</c:v>
              </c:pt>
              <c:pt idx="21">
                <c:v>44491</c:v>
              </c:pt>
              <c:pt idx="22">
                <c:v>44492</c:v>
              </c:pt>
              <c:pt idx="23">
                <c:v>44493</c:v>
              </c:pt>
              <c:pt idx="24">
                <c:v>44494</c:v>
              </c:pt>
              <c:pt idx="25">
                <c:v>44495</c:v>
              </c:pt>
              <c:pt idx="26">
                <c:v>44496</c:v>
              </c:pt>
              <c:pt idx="27">
                <c:v>44497</c:v>
              </c:pt>
              <c:pt idx="28">
                <c:v>44498</c:v>
              </c:pt>
              <c:pt idx="29">
                <c:v>44499</c:v>
              </c:pt>
              <c:pt idx="30">
                <c:v>44500</c:v>
              </c:pt>
              <c:pt idx="31">
                <c:v>44501</c:v>
              </c:pt>
              <c:pt idx="32">
                <c:v>44502</c:v>
              </c:pt>
              <c:pt idx="33">
                <c:v>44503</c:v>
              </c:pt>
              <c:pt idx="34">
                <c:v>44504</c:v>
              </c:pt>
              <c:pt idx="35">
                <c:v>44505</c:v>
              </c:pt>
              <c:pt idx="36">
                <c:v>44506</c:v>
              </c:pt>
              <c:pt idx="37">
                <c:v>44507</c:v>
              </c:pt>
              <c:pt idx="38">
                <c:v>44508</c:v>
              </c:pt>
              <c:pt idx="39">
                <c:v>44509</c:v>
              </c:pt>
              <c:pt idx="40">
                <c:v>44510</c:v>
              </c:pt>
              <c:pt idx="41">
                <c:v>44511</c:v>
              </c:pt>
              <c:pt idx="42">
                <c:v>44512</c:v>
              </c:pt>
              <c:pt idx="43">
                <c:v>44513</c:v>
              </c:pt>
              <c:pt idx="44">
                <c:v>44514</c:v>
              </c:pt>
              <c:pt idx="45">
                <c:v>44515</c:v>
              </c:pt>
              <c:pt idx="46">
                <c:v>44516</c:v>
              </c:pt>
              <c:pt idx="47">
                <c:v>44517</c:v>
              </c:pt>
              <c:pt idx="48">
                <c:v>44518</c:v>
              </c:pt>
              <c:pt idx="49">
                <c:v>44519</c:v>
              </c:pt>
              <c:pt idx="50">
                <c:v>44520</c:v>
              </c:pt>
              <c:pt idx="51">
                <c:v>44521</c:v>
              </c:pt>
              <c:pt idx="52">
                <c:v>44522</c:v>
              </c:pt>
              <c:pt idx="53">
                <c:v>44523</c:v>
              </c:pt>
              <c:pt idx="54">
                <c:v>44524</c:v>
              </c:pt>
              <c:pt idx="55">
                <c:v>44525</c:v>
              </c:pt>
              <c:pt idx="56">
                <c:v>44526</c:v>
              </c:pt>
              <c:pt idx="57">
                <c:v>44527</c:v>
              </c:pt>
              <c:pt idx="58">
                <c:v>44528</c:v>
              </c:pt>
              <c:pt idx="59">
                <c:v>44529</c:v>
              </c:pt>
              <c:pt idx="60">
                <c:v>44530</c:v>
              </c:pt>
              <c:pt idx="61">
                <c:v>44531</c:v>
              </c:pt>
              <c:pt idx="62">
                <c:v>44532</c:v>
              </c:pt>
              <c:pt idx="63">
                <c:v>44533</c:v>
              </c:pt>
              <c:pt idx="64">
                <c:v>44534</c:v>
              </c:pt>
              <c:pt idx="65">
                <c:v>44535</c:v>
              </c:pt>
              <c:pt idx="66">
                <c:v>44536</c:v>
              </c:pt>
              <c:pt idx="67">
                <c:v>44537</c:v>
              </c:pt>
              <c:pt idx="68">
                <c:v>44538</c:v>
              </c:pt>
              <c:pt idx="69">
                <c:v>44539</c:v>
              </c:pt>
              <c:pt idx="70">
                <c:v>44540</c:v>
              </c:pt>
              <c:pt idx="71">
                <c:v>44541</c:v>
              </c:pt>
              <c:pt idx="72">
                <c:v>44542</c:v>
              </c:pt>
              <c:pt idx="73">
                <c:v>44543</c:v>
              </c:pt>
              <c:pt idx="74">
                <c:v>44544</c:v>
              </c:pt>
              <c:pt idx="75">
                <c:v>44545</c:v>
              </c:pt>
              <c:pt idx="76">
                <c:v>44546</c:v>
              </c:pt>
              <c:pt idx="77">
                <c:v>44547</c:v>
              </c:pt>
              <c:pt idx="78">
                <c:v>44548</c:v>
              </c:pt>
              <c:pt idx="79">
                <c:v>44549</c:v>
              </c:pt>
              <c:pt idx="80">
                <c:v>44550</c:v>
              </c:pt>
              <c:pt idx="81">
                <c:v>44551</c:v>
              </c:pt>
              <c:pt idx="82">
                <c:v>44552</c:v>
              </c:pt>
              <c:pt idx="83">
                <c:v>44553</c:v>
              </c:pt>
              <c:pt idx="84">
                <c:v>44554</c:v>
              </c:pt>
              <c:pt idx="85">
                <c:v>44555</c:v>
              </c:pt>
              <c:pt idx="86">
                <c:v>44556</c:v>
              </c:pt>
              <c:pt idx="87">
                <c:v>44557</c:v>
              </c:pt>
              <c:pt idx="88">
                <c:v>44558</c:v>
              </c:pt>
              <c:pt idx="89">
                <c:v>44559</c:v>
              </c:pt>
              <c:pt idx="90">
                <c:v>44560</c:v>
              </c:pt>
              <c:pt idx="91">
                <c:v>44561</c:v>
              </c:pt>
              <c:pt idx="92">
                <c:v>44562</c:v>
              </c:pt>
              <c:pt idx="93">
                <c:v>44563</c:v>
              </c:pt>
              <c:pt idx="94">
                <c:v>44564</c:v>
              </c:pt>
              <c:pt idx="95">
                <c:v>44565</c:v>
              </c:pt>
              <c:pt idx="96">
                <c:v>44566</c:v>
              </c:pt>
              <c:pt idx="97">
                <c:v>44567</c:v>
              </c:pt>
              <c:pt idx="98">
                <c:v>44568</c:v>
              </c:pt>
              <c:pt idx="99">
                <c:v>44569</c:v>
              </c:pt>
              <c:pt idx="100">
                <c:v>44570</c:v>
              </c:pt>
              <c:pt idx="101">
                <c:v>44571</c:v>
              </c:pt>
              <c:pt idx="102">
                <c:v>44572</c:v>
              </c:pt>
              <c:pt idx="103">
                <c:v>44573</c:v>
              </c:pt>
              <c:pt idx="104">
                <c:v>44574</c:v>
              </c:pt>
              <c:pt idx="105">
                <c:v>44575</c:v>
              </c:pt>
              <c:pt idx="106">
                <c:v>44576</c:v>
              </c:pt>
              <c:pt idx="107">
                <c:v>44577</c:v>
              </c:pt>
              <c:pt idx="108">
                <c:v>44578</c:v>
              </c:pt>
              <c:pt idx="109">
                <c:v>44579</c:v>
              </c:pt>
              <c:pt idx="110">
                <c:v>44580</c:v>
              </c:pt>
              <c:pt idx="111">
                <c:v>44581</c:v>
              </c:pt>
              <c:pt idx="112">
                <c:v>44582</c:v>
              </c:pt>
              <c:pt idx="113">
                <c:v>44583</c:v>
              </c:pt>
              <c:pt idx="114">
                <c:v>44584</c:v>
              </c:pt>
              <c:pt idx="115">
                <c:v>44585</c:v>
              </c:pt>
              <c:pt idx="116">
                <c:v>44586</c:v>
              </c:pt>
              <c:pt idx="117">
                <c:v>44587</c:v>
              </c:pt>
              <c:pt idx="118">
                <c:v>44588</c:v>
              </c:pt>
              <c:pt idx="119">
                <c:v>44589</c:v>
              </c:pt>
              <c:pt idx="120">
                <c:v>44590</c:v>
              </c:pt>
              <c:pt idx="121">
                <c:v>44591</c:v>
              </c:pt>
              <c:pt idx="122">
                <c:v>44592</c:v>
              </c:pt>
              <c:pt idx="123">
                <c:v>44593</c:v>
              </c:pt>
              <c:pt idx="124">
                <c:v>44594</c:v>
              </c:pt>
              <c:pt idx="125">
                <c:v>44595</c:v>
              </c:pt>
              <c:pt idx="126">
                <c:v>44596</c:v>
              </c:pt>
              <c:pt idx="127">
                <c:v>44597</c:v>
              </c:pt>
              <c:pt idx="128">
                <c:v>44598</c:v>
              </c:pt>
              <c:pt idx="129">
                <c:v>44599</c:v>
              </c:pt>
              <c:pt idx="130">
                <c:v>44600</c:v>
              </c:pt>
              <c:pt idx="131">
                <c:v>44601</c:v>
              </c:pt>
              <c:pt idx="132">
                <c:v>44602</c:v>
              </c:pt>
              <c:pt idx="133">
                <c:v>44603</c:v>
              </c:pt>
              <c:pt idx="134">
                <c:v>44604</c:v>
              </c:pt>
              <c:pt idx="135">
                <c:v>44605</c:v>
              </c:pt>
              <c:pt idx="136">
                <c:v>44606</c:v>
              </c:pt>
              <c:pt idx="137">
                <c:v>44607</c:v>
              </c:pt>
              <c:pt idx="138">
                <c:v>44608</c:v>
              </c:pt>
              <c:pt idx="139">
                <c:v>44609</c:v>
              </c:pt>
              <c:pt idx="140">
                <c:v>44610</c:v>
              </c:pt>
              <c:pt idx="141">
                <c:v>44611</c:v>
              </c:pt>
              <c:pt idx="142">
                <c:v>44612</c:v>
              </c:pt>
              <c:pt idx="143">
                <c:v>44613</c:v>
              </c:pt>
              <c:pt idx="144">
                <c:v>44614</c:v>
              </c:pt>
              <c:pt idx="145">
                <c:v>44615</c:v>
              </c:pt>
              <c:pt idx="146">
                <c:v>44616</c:v>
              </c:pt>
              <c:pt idx="147">
                <c:v>44617</c:v>
              </c:pt>
              <c:pt idx="148">
                <c:v>44618</c:v>
              </c:pt>
              <c:pt idx="149">
                <c:v>44619</c:v>
              </c:pt>
              <c:pt idx="150">
                <c:v>44620</c:v>
              </c:pt>
              <c:pt idx="151">
                <c:v>44621</c:v>
              </c:pt>
              <c:pt idx="152">
                <c:v>44622</c:v>
              </c:pt>
              <c:pt idx="153">
                <c:v>44623</c:v>
              </c:pt>
              <c:pt idx="154">
                <c:v>44624</c:v>
              </c:pt>
              <c:pt idx="155">
                <c:v>44625</c:v>
              </c:pt>
              <c:pt idx="156">
                <c:v>44626</c:v>
              </c:pt>
              <c:pt idx="157">
                <c:v>44627</c:v>
              </c:pt>
              <c:pt idx="158">
                <c:v>44628</c:v>
              </c:pt>
              <c:pt idx="159">
                <c:v>44629</c:v>
              </c:pt>
              <c:pt idx="160">
                <c:v>44630</c:v>
              </c:pt>
              <c:pt idx="161">
                <c:v>44631</c:v>
              </c:pt>
              <c:pt idx="162">
                <c:v>44632</c:v>
              </c:pt>
              <c:pt idx="163">
                <c:v>44633</c:v>
              </c:pt>
              <c:pt idx="164">
                <c:v>44634</c:v>
              </c:pt>
              <c:pt idx="165">
                <c:v>44635</c:v>
              </c:pt>
              <c:pt idx="166">
                <c:v>44636</c:v>
              </c:pt>
              <c:pt idx="167">
                <c:v>44637</c:v>
              </c:pt>
              <c:pt idx="168">
                <c:v>44638</c:v>
              </c:pt>
              <c:pt idx="169">
                <c:v>44639</c:v>
              </c:pt>
              <c:pt idx="170">
                <c:v>44640</c:v>
              </c:pt>
              <c:pt idx="171">
                <c:v>44641</c:v>
              </c:pt>
              <c:pt idx="172">
                <c:v>44642</c:v>
              </c:pt>
              <c:pt idx="173">
                <c:v>44643</c:v>
              </c:pt>
              <c:pt idx="174">
                <c:v>44644</c:v>
              </c:pt>
              <c:pt idx="175">
                <c:v>44645</c:v>
              </c:pt>
              <c:pt idx="176">
                <c:v>44646</c:v>
              </c:pt>
              <c:pt idx="177">
                <c:v>44647</c:v>
              </c:pt>
              <c:pt idx="178">
                <c:v>44648</c:v>
              </c:pt>
              <c:pt idx="179">
                <c:v>44649</c:v>
              </c:pt>
              <c:pt idx="180">
                <c:v>44650</c:v>
              </c:pt>
              <c:pt idx="181">
                <c:v>44651</c:v>
              </c:pt>
              <c:pt idx="182">
                <c:v>44652</c:v>
              </c:pt>
              <c:pt idx="183">
                <c:v>44653</c:v>
              </c:pt>
              <c:pt idx="184">
                <c:v>44654</c:v>
              </c:pt>
              <c:pt idx="185">
                <c:v>44655</c:v>
              </c:pt>
              <c:pt idx="186">
                <c:v>44656</c:v>
              </c:pt>
              <c:pt idx="187">
                <c:v>44657</c:v>
              </c:pt>
              <c:pt idx="188">
                <c:v>44658</c:v>
              </c:pt>
              <c:pt idx="189">
                <c:v>44659</c:v>
              </c:pt>
              <c:pt idx="190">
                <c:v>44660</c:v>
              </c:pt>
              <c:pt idx="191">
                <c:v>44661</c:v>
              </c:pt>
              <c:pt idx="192">
                <c:v>44662</c:v>
              </c:pt>
              <c:pt idx="193">
                <c:v>44663</c:v>
              </c:pt>
              <c:pt idx="194">
                <c:v>44664</c:v>
              </c:pt>
              <c:pt idx="195">
                <c:v>44665</c:v>
              </c:pt>
              <c:pt idx="196">
                <c:v>44666</c:v>
              </c:pt>
              <c:pt idx="197">
                <c:v>44667</c:v>
              </c:pt>
              <c:pt idx="198">
                <c:v>44668</c:v>
              </c:pt>
              <c:pt idx="199">
                <c:v>44669</c:v>
              </c:pt>
              <c:pt idx="200">
                <c:v>44670</c:v>
              </c:pt>
              <c:pt idx="201">
                <c:v>44671</c:v>
              </c:pt>
              <c:pt idx="202">
                <c:v>44672</c:v>
              </c:pt>
              <c:pt idx="203">
                <c:v>44673</c:v>
              </c:pt>
              <c:pt idx="204">
                <c:v>44674</c:v>
              </c:pt>
              <c:pt idx="205">
                <c:v>44675</c:v>
              </c:pt>
              <c:pt idx="206">
                <c:v>44676</c:v>
              </c:pt>
              <c:pt idx="207">
                <c:v>44677</c:v>
              </c:pt>
              <c:pt idx="208">
                <c:v>44678</c:v>
              </c:pt>
              <c:pt idx="209">
                <c:v>44679</c:v>
              </c:pt>
              <c:pt idx="210">
                <c:v>44680</c:v>
              </c:pt>
              <c:pt idx="211">
                <c:v>44681</c:v>
              </c:pt>
              <c:pt idx="212">
                <c:v>44682</c:v>
              </c:pt>
              <c:pt idx="213">
                <c:v>44683</c:v>
              </c:pt>
              <c:pt idx="214">
                <c:v>44684</c:v>
              </c:pt>
              <c:pt idx="215">
                <c:v>44685</c:v>
              </c:pt>
              <c:pt idx="216">
                <c:v>44686</c:v>
              </c:pt>
              <c:pt idx="217">
                <c:v>44687</c:v>
              </c:pt>
              <c:pt idx="218">
                <c:v>44688</c:v>
              </c:pt>
              <c:pt idx="219">
                <c:v>44689</c:v>
              </c:pt>
              <c:pt idx="220">
                <c:v>44690</c:v>
              </c:pt>
              <c:pt idx="221">
                <c:v>44691</c:v>
              </c:pt>
              <c:pt idx="222">
                <c:v>44692</c:v>
              </c:pt>
              <c:pt idx="223">
                <c:v>44693</c:v>
              </c:pt>
              <c:pt idx="224">
                <c:v>44694</c:v>
              </c:pt>
              <c:pt idx="225">
                <c:v>44695</c:v>
              </c:pt>
              <c:pt idx="226">
                <c:v>44696</c:v>
              </c:pt>
              <c:pt idx="227">
                <c:v>44697</c:v>
              </c:pt>
              <c:pt idx="228">
                <c:v>44698</c:v>
              </c:pt>
              <c:pt idx="229">
                <c:v>44699</c:v>
              </c:pt>
              <c:pt idx="230">
                <c:v>44700</c:v>
              </c:pt>
              <c:pt idx="231">
                <c:v>44701</c:v>
              </c:pt>
              <c:pt idx="232">
                <c:v>44702</c:v>
              </c:pt>
              <c:pt idx="233">
                <c:v>44703</c:v>
              </c:pt>
              <c:pt idx="234">
                <c:v>44704</c:v>
              </c:pt>
              <c:pt idx="235">
                <c:v>44705</c:v>
              </c:pt>
              <c:pt idx="236">
                <c:v>44706</c:v>
              </c:pt>
              <c:pt idx="237">
                <c:v>44707</c:v>
              </c:pt>
              <c:pt idx="238">
                <c:v>44708</c:v>
              </c:pt>
              <c:pt idx="239">
                <c:v>44709</c:v>
              </c:pt>
              <c:pt idx="240">
                <c:v>44710</c:v>
              </c:pt>
              <c:pt idx="241">
                <c:v>44711</c:v>
              </c:pt>
              <c:pt idx="242">
                <c:v>44712</c:v>
              </c:pt>
              <c:pt idx="243">
                <c:v>44713</c:v>
              </c:pt>
              <c:pt idx="244">
                <c:v>44714</c:v>
              </c:pt>
              <c:pt idx="245">
                <c:v>44715</c:v>
              </c:pt>
              <c:pt idx="246">
                <c:v>44716</c:v>
              </c:pt>
              <c:pt idx="247">
                <c:v>44717</c:v>
              </c:pt>
              <c:pt idx="248">
                <c:v>44718</c:v>
              </c:pt>
              <c:pt idx="249">
                <c:v>44719</c:v>
              </c:pt>
              <c:pt idx="250">
                <c:v>44720</c:v>
              </c:pt>
              <c:pt idx="251">
                <c:v>44721</c:v>
              </c:pt>
              <c:pt idx="252">
                <c:v>44722</c:v>
              </c:pt>
              <c:pt idx="253">
                <c:v>44723</c:v>
              </c:pt>
              <c:pt idx="254">
                <c:v>44724</c:v>
              </c:pt>
              <c:pt idx="255">
                <c:v>44725</c:v>
              </c:pt>
              <c:pt idx="256">
                <c:v>44726</c:v>
              </c:pt>
              <c:pt idx="257">
                <c:v>44727</c:v>
              </c:pt>
              <c:pt idx="258">
                <c:v>44728</c:v>
              </c:pt>
              <c:pt idx="259">
                <c:v>44729</c:v>
              </c:pt>
              <c:pt idx="260">
                <c:v>44730</c:v>
              </c:pt>
              <c:pt idx="261">
                <c:v>44731</c:v>
              </c:pt>
              <c:pt idx="262">
                <c:v>44732</c:v>
              </c:pt>
              <c:pt idx="263">
                <c:v>44733</c:v>
              </c:pt>
              <c:pt idx="264">
                <c:v>44734</c:v>
              </c:pt>
              <c:pt idx="265">
                <c:v>44735</c:v>
              </c:pt>
              <c:pt idx="266">
                <c:v>44736</c:v>
              </c:pt>
              <c:pt idx="267">
                <c:v>44737</c:v>
              </c:pt>
              <c:pt idx="268">
                <c:v>44738</c:v>
              </c:pt>
              <c:pt idx="269">
                <c:v>44739</c:v>
              </c:pt>
              <c:pt idx="270">
                <c:v>44740</c:v>
              </c:pt>
              <c:pt idx="271">
                <c:v>44741</c:v>
              </c:pt>
              <c:pt idx="272">
                <c:v>44742</c:v>
              </c:pt>
              <c:pt idx="273">
                <c:v>44743</c:v>
              </c:pt>
              <c:pt idx="274">
                <c:v>44744</c:v>
              </c:pt>
              <c:pt idx="275">
                <c:v>44745</c:v>
              </c:pt>
              <c:pt idx="276">
                <c:v>44746</c:v>
              </c:pt>
              <c:pt idx="277">
                <c:v>44747</c:v>
              </c:pt>
              <c:pt idx="278">
                <c:v>44748</c:v>
              </c:pt>
              <c:pt idx="279">
                <c:v>44749</c:v>
              </c:pt>
              <c:pt idx="280">
                <c:v>44750</c:v>
              </c:pt>
              <c:pt idx="281">
                <c:v>44751</c:v>
              </c:pt>
              <c:pt idx="282">
                <c:v>44752</c:v>
              </c:pt>
              <c:pt idx="283">
                <c:v>44753</c:v>
              </c:pt>
              <c:pt idx="284">
                <c:v>44754</c:v>
              </c:pt>
              <c:pt idx="285">
                <c:v>44755</c:v>
              </c:pt>
              <c:pt idx="286">
                <c:v>44756</c:v>
              </c:pt>
              <c:pt idx="287">
                <c:v>44757</c:v>
              </c:pt>
              <c:pt idx="288">
                <c:v>44758</c:v>
              </c:pt>
              <c:pt idx="289">
                <c:v>44759</c:v>
              </c:pt>
              <c:pt idx="290">
                <c:v>44760</c:v>
              </c:pt>
              <c:pt idx="291">
                <c:v>44761</c:v>
              </c:pt>
              <c:pt idx="292">
                <c:v>44762</c:v>
              </c:pt>
              <c:pt idx="293">
                <c:v>44763</c:v>
              </c:pt>
              <c:pt idx="294">
                <c:v>44764</c:v>
              </c:pt>
              <c:pt idx="295">
                <c:v>44765</c:v>
              </c:pt>
              <c:pt idx="296">
                <c:v>44766</c:v>
              </c:pt>
              <c:pt idx="297">
                <c:v>44767</c:v>
              </c:pt>
              <c:pt idx="298">
                <c:v>44768</c:v>
              </c:pt>
              <c:pt idx="299">
                <c:v>44769</c:v>
              </c:pt>
              <c:pt idx="300">
                <c:v>44770</c:v>
              </c:pt>
              <c:pt idx="301">
                <c:v>44771</c:v>
              </c:pt>
              <c:pt idx="302">
                <c:v>44772</c:v>
              </c:pt>
              <c:pt idx="303">
                <c:v>44773</c:v>
              </c:pt>
              <c:pt idx="304">
                <c:v>44774</c:v>
              </c:pt>
              <c:pt idx="305">
                <c:v>44775</c:v>
              </c:pt>
              <c:pt idx="306">
                <c:v>44776</c:v>
              </c:pt>
              <c:pt idx="307">
                <c:v>44777</c:v>
              </c:pt>
              <c:pt idx="308">
                <c:v>44778</c:v>
              </c:pt>
              <c:pt idx="309">
                <c:v>44779</c:v>
              </c:pt>
              <c:pt idx="310">
                <c:v>44780</c:v>
              </c:pt>
              <c:pt idx="311">
                <c:v>44781</c:v>
              </c:pt>
              <c:pt idx="312">
                <c:v>44782</c:v>
              </c:pt>
              <c:pt idx="313">
                <c:v>44783</c:v>
              </c:pt>
              <c:pt idx="314">
                <c:v>44784</c:v>
              </c:pt>
              <c:pt idx="315">
                <c:v>44785</c:v>
              </c:pt>
              <c:pt idx="316">
                <c:v>44786</c:v>
              </c:pt>
              <c:pt idx="317">
                <c:v>44787</c:v>
              </c:pt>
              <c:pt idx="318">
                <c:v>44788</c:v>
              </c:pt>
              <c:pt idx="319">
                <c:v>44789</c:v>
              </c:pt>
              <c:pt idx="320">
                <c:v>44790</c:v>
              </c:pt>
              <c:pt idx="321">
                <c:v>44791</c:v>
              </c:pt>
              <c:pt idx="322">
                <c:v>44792</c:v>
              </c:pt>
              <c:pt idx="323">
                <c:v>44793</c:v>
              </c:pt>
              <c:pt idx="324">
                <c:v>44794</c:v>
              </c:pt>
              <c:pt idx="325">
                <c:v>44795</c:v>
              </c:pt>
              <c:pt idx="326">
                <c:v>44796</c:v>
              </c:pt>
              <c:pt idx="327">
                <c:v>44797</c:v>
              </c:pt>
              <c:pt idx="328">
                <c:v>44798</c:v>
              </c:pt>
              <c:pt idx="329">
                <c:v>44799</c:v>
              </c:pt>
              <c:pt idx="330">
                <c:v>44800</c:v>
              </c:pt>
              <c:pt idx="331">
                <c:v>44801</c:v>
              </c:pt>
              <c:pt idx="332">
                <c:v>44802</c:v>
              </c:pt>
              <c:pt idx="333">
                <c:v>44803</c:v>
              </c:pt>
              <c:pt idx="334">
                <c:v>44804</c:v>
              </c:pt>
              <c:pt idx="335">
                <c:v>44805</c:v>
              </c:pt>
              <c:pt idx="336">
                <c:v>44806</c:v>
              </c:pt>
              <c:pt idx="337">
                <c:v>44807</c:v>
              </c:pt>
              <c:pt idx="338">
                <c:v>44808</c:v>
              </c:pt>
              <c:pt idx="339">
                <c:v>44809</c:v>
              </c:pt>
              <c:pt idx="340">
                <c:v>44810</c:v>
              </c:pt>
              <c:pt idx="341">
                <c:v>44811</c:v>
              </c:pt>
              <c:pt idx="342">
                <c:v>44812</c:v>
              </c:pt>
              <c:pt idx="343">
                <c:v>44813</c:v>
              </c:pt>
              <c:pt idx="344">
                <c:v>44814</c:v>
              </c:pt>
              <c:pt idx="345">
                <c:v>44815</c:v>
              </c:pt>
              <c:pt idx="346">
                <c:v>44816</c:v>
              </c:pt>
              <c:pt idx="347">
                <c:v>44817</c:v>
              </c:pt>
              <c:pt idx="348">
                <c:v>44818</c:v>
              </c:pt>
              <c:pt idx="349">
                <c:v>44819</c:v>
              </c:pt>
              <c:pt idx="350">
                <c:v>44820</c:v>
              </c:pt>
              <c:pt idx="351">
                <c:v>44821</c:v>
              </c:pt>
              <c:pt idx="352">
                <c:v>44822</c:v>
              </c:pt>
              <c:pt idx="353">
                <c:v>44823</c:v>
              </c:pt>
              <c:pt idx="354">
                <c:v>44824</c:v>
              </c:pt>
              <c:pt idx="355">
                <c:v>44825</c:v>
              </c:pt>
              <c:pt idx="356">
                <c:v>44826</c:v>
              </c:pt>
              <c:pt idx="357">
                <c:v>44827</c:v>
              </c:pt>
              <c:pt idx="358">
                <c:v>44828</c:v>
              </c:pt>
              <c:pt idx="359">
                <c:v>44829</c:v>
              </c:pt>
              <c:pt idx="360">
                <c:v>44830</c:v>
              </c:pt>
              <c:pt idx="361">
                <c:v>44831</c:v>
              </c:pt>
              <c:pt idx="362">
                <c:v>44832</c:v>
              </c:pt>
              <c:pt idx="363">
                <c:v>44833</c:v>
              </c:pt>
              <c:pt idx="364">
                <c:v>44834</c:v>
              </c:pt>
              <c:pt idx="365">
                <c:v>44835</c:v>
              </c:pt>
              <c:pt idx="366">
                <c:v>44836</c:v>
              </c:pt>
              <c:pt idx="367">
                <c:v>44837</c:v>
              </c:pt>
              <c:pt idx="368">
                <c:v>44838</c:v>
              </c:pt>
              <c:pt idx="369">
                <c:v>44839</c:v>
              </c:pt>
              <c:pt idx="370">
                <c:v>44840</c:v>
              </c:pt>
              <c:pt idx="371">
                <c:v>44841</c:v>
              </c:pt>
              <c:pt idx="372">
                <c:v>44842</c:v>
              </c:pt>
              <c:pt idx="373">
                <c:v>44843</c:v>
              </c:pt>
              <c:pt idx="374">
                <c:v>44844</c:v>
              </c:pt>
              <c:pt idx="375">
                <c:v>44845</c:v>
              </c:pt>
              <c:pt idx="376">
                <c:v>44846</c:v>
              </c:pt>
              <c:pt idx="377">
                <c:v>44847</c:v>
              </c:pt>
              <c:pt idx="378">
                <c:v>44848</c:v>
              </c:pt>
              <c:pt idx="379">
                <c:v>44849</c:v>
              </c:pt>
              <c:pt idx="380">
                <c:v>44850</c:v>
              </c:pt>
              <c:pt idx="381">
                <c:v>44851</c:v>
              </c:pt>
              <c:pt idx="382">
                <c:v>44852</c:v>
              </c:pt>
              <c:pt idx="383">
                <c:v>44853</c:v>
              </c:pt>
              <c:pt idx="384">
                <c:v>44854</c:v>
              </c:pt>
              <c:pt idx="385">
                <c:v>44855</c:v>
              </c:pt>
              <c:pt idx="386">
                <c:v>44856</c:v>
              </c:pt>
              <c:pt idx="387">
                <c:v>44857</c:v>
              </c:pt>
              <c:pt idx="388">
                <c:v>44858</c:v>
              </c:pt>
              <c:pt idx="389">
                <c:v>44859</c:v>
              </c:pt>
              <c:pt idx="390">
                <c:v>44860</c:v>
              </c:pt>
              <c:pt idx="391">
                <c:v>44861</c:v>
              </c:pt>
              <c:pt idx="392">
                <c:v>44862</c:v>
              </c:pt>
              <c:pt idx="393">
                <c:v>44863</c:v>
              </c:pt>
              <c:pt idx="394">
                <c:v>44864</c:v>
              </c:pt>
              <c:pt idx="395">
                <c:v>44865</c:v>
              </c:pt>
              <c:pt idx="396">
                <c:v>44866</c:v>
              </c:pt>
              <c:pt idx="397">
                <c:v>44867</c:v>
              </c:pt>
              <c:pt idx="398">
                <c:v>44868</c:v>
              </c:pt>
              <c:pt idx="399">
                <c:v>44869</c:v>
              </c:pt>
              <c:pt idx="400">
                <c:v>44870</c:v>
              </c:pt>
              <c:pt idx="401">
                <c:v>44871</c:v>
              </c:pt>
              <c:pt idx="402">
                <c:v>44872</c:v>
              </c:pt>
              <c:pt idx="403">
                <c:v>44873</c:v>
              </c:pt>
              <c:pt idx="404">
                <c:v>44874</c:v>
              </c:pt>
              <c:pt idx="405">
                <c:v>44875</c:v>
              </c:pt>
              <c:pt idx="406">
                <c:v>44876</c:v>
              </c:pt>
              <c:pt idx="407">
                <c:v>44877</c:v>
              </c:pt>
              <c:pt idx="408">
                <c:v>44878</c:v>
              </c:pt>
              <c:pt idx="409">
                <c:v>44879</c:v>
              </c:pt>
              <c:pt idx="410">
                <c:v>44880</c:v>
              </c:pt>
              <c:pt idx="411">
                <c:v>44881</c:v>
              </c:pt>
              <c:pt idx="412">
                <c:v>44882</c:v>
              </c:pt>
              <c:pt idx="413">
                <c:v>44883</c:v>
              </c:pt>
              <c:pt idx="414">
                <c:v>44884</c:v>
              </c:pt>
              <c:pt idx="415">
                <c:v>44885</c:v>
              </c:pt>
              <c:pt idx="416">
                <c:v>44886</c:v>
              </c:pt>
              <c:pt idx="417">
                <c:v>44887</c:v>
              </c:pt>
              <c:pt idx="418">
                <c:v>44888</c:v>
              </c:pt>
              <c:pt idx="419">
                <c:v>44889</c:v>
              </c:pt>
              <c:pt idx="420">
                <c:v>44890</c:v>
              </c:pt>
              <c:pt idx="421">
                <c:v>44891</c:v>
              </c:pt>
              <c:pt idx="422">
                <c:v>44892</c:v>
              </c:pt>
              <c:pt idx="423">
                <c:v>44893</c:v>
              </c:pt>
              <c:pt idx="424">
                <c:v>44894</c:v>
              </c:pt>
              <c:pt idx="425">
                <c:v>44895</c:v>
              </c:pt>
              <c:pt idx="426">
                <c:v>44896</c:v>
              </c:pt>
              <c:pt idx="427">
                <c:v>44897</c:v>
              </c:pt>
              <c:pt idx="428">
                <c:v>44898</c:v>
              </c:pt>
              <c:pt idx="429">
                <c:v>44899</c:v>
              </c:pt>
              <c:pt idx="430">
                <c:v>44900</c:v>
              </c:pt>
              <c:pt idx="431">
                <c:v>44901</c:v>
              </c:pt>
              <c:pt idx="432">
                <c:v>44902</c:v>
              </c:pt>
              <c:pt idx="433">
                <c:v>44903</c:v>
              </c:pt>
              <c:pt idx="434">
                <c:v>44904</c:v>
              </c:pt>
              <c:pt idx="435">
                <c:v>44905</c:v>
              </c:pt>
              <c:pt idx="436">
                <c:v>44906</c:v>
              </c:pt>
              <c:pt idx="437">
                <c:v>44907</c:v>
              </c:pt>
              <c:pt idx="438">
                <c:v>44908</c:v>
              </c:pt>
              <c:pt idx="439">
                <c:v>44909</c:v>
              </c:pt>
              <c:pt idx="440">
                <c:v>44910</c:v>
              </c:pt>
              <c:pt idx="441">
                <c:v>44911</c:v>
              </c:pt>
              <c:pt idx="442">
                <c:v>44912</c:v>
              </c:pt>
              <c:pt idx="443">
                <c:v>44913</c:v>
              </c:pt>
              <c:pt idx="444">
                <c:v>44914</c:v>
              </c:pt>
              <c:pt idx="445">
                <c:v>44915</c:v>
              </c:pt>
              <c:pt idx="446">
                <c:v>44916</c:v>
              </c:pt>
              <c:pt idx="447">
                <c:v>44917</c:v>
              </c:pt>
              <c:pt idx="448">
                <c:v>44918</c:v>
              </c:pt>
              <c:pt idx="449">
                <c:v>44919</c:v>
              </c:pt>
              <c:pt idx="450">
                <c:v>44920</c:v>
              </c:pt>
              <c:pt idx="451">
                <c:v>44921</c:v>
              </c:pt>
              <c:pt idx="452">
                <c:v>44922</c:v>
              </c:pt>
              <c:pt idx="453">
                <c:v>44923</c:v>
              </c:pt>
              <c:pt idx="454">
                <c:v>44924</c:v>
              </c:pt>
              <c:pt idx="455">
                <c:v>44925</c:v>
              </c:pt>
              <c:pt idx="456">
                <c:v>44926</c:v>
              </c:pt>
              <c:pt idx="457">
                <c:v>44927</c:v>
              </c:pt>
              <c:pt idx="458">
                <c:v>44928</c:v>
              </c:pt>
              <c:pt idx="459">
                <c:v>44929</c:v>
              </c:pt>
              <c:pt idx="460">
                <c:v>44930</c:v>
              </c:pt>
              <c:pt idx="461">
                <c:v>44931</c:v>
              </c:pt>
              <c:pt idx="462">
                <c:v>44932</c:v>
              </c:pt>
              <c:pt idx="463">
                <c:v>44933</c:v>
              </c:pt>
              <c:pt idx="464">
                <c:v>44934</c:v>
              </c:pt>
              <c:pt idx="465">
                <c:v>44935</c:v>
              </c:pt>
              <c:pt idx="466">
                <c:v>44936</c:v>
              </c:pt>
              <c:pt idx="467">
                <c:v>44937</c:v>
              </c:pt>
              <c:pt idx="468">
                <c:v>44938</c:v>
              </c:pt>
              <c:pt idx="469">
                <c:v>44939</c:v>
              </c:pt>
              <c:pt idx="470">
                <c:v>44940</c:v>
              </c:pt>
              <c:pt idx="471">
                <c:v>44941</c:v>
              </c:pt>
              <c:pt idx="472">
                <c:v>44942</c:v>
              </c:pt>
              <c:pt idx="473">
                <c:v>44943</c:v>
              </c:pt>
              <c:pt idx="474">
                <c:v>44944</c:v>
              </c:pt>
              <c:pt idx="475">
                <c:v>44945</c:v>
              </c:pt>
              <c:pt idx="476">
                <c:v>44946</c:v>
              </c:pt>
              <c:pt idx="477">
                <c:v>44947</c:v>
              </c:pt>
              <c:pt idx="478">
                <c:v>44948</c:v>
              </c:pt>
              <c:pt idx="479">
                <c:v>44949</c:v>
              </c:pt>
              <c:pt idx="480">
                <c:v>44950</c:v>
              </c:pt>
              <c:pt idx="481">
                <c:v>44951</c:v>
              </c:pt>
              <c:pt idx="482">
                <c:v>44952</c:v>
              </c:pt>
              <c:pt idx="483">
                <c:v>44953</c:v>
              </c:pt>
              <c:pt idx="484">
                <c:v>44954</c:v>
              </c:pt>
              <c:pt idx="485">
                <c:v>44955</c:v>
              </c:pt>
              <c:pt idx="486">
                <c:v>44956</c:v>
              </c:pt>
              <c:pt idx="487">
                <c:v>44957</c:v>
              </c:pt>
              <c:pt idx="488">
                <c:v>44958</c:v>
              </c:pt>
              <c:pt idx="489">
                <c:v>44959</c:v>
              </c:pt>
              <c:pt idx="490">
                <c:v>44960</c:v>
              </c:pt>
              <c:pt idx="491">
                <c:v>44961</c:v>
              </c:pt>
              <c:pt idx="492">
                <c:v>44962</c:v>
              </c:pt>
              <c:pt idx="493">
                <c:v>44963</c:v>
              </c:pt>
              <c:pt idx="494">
                <c:v>44964</c:v>
              </c:pt>
              <c:pt idx="495">
                <c:v>44965</c:v>
              </c:pt>
              <c:pt idx="496">
                <c:v>44966</c:v>
              </c:pt>
              <c:pt idx="497">
                <c:v>44967</c:v>
              </c:pt>
              <c:pt idx="498">
                <c:v>44968</c:v>
              </c:pt>
              <c:pt idx="499">
                <c:v>44969</c:v>
              </c:pt>
              <c:pt idx="500">
                <c:v>44970</c:v>
              </c:pt>
              <c:pt idx="501">
                <c:v>44971</c:v>
              </c:pt>
              <c:pt idx="502">
                <c:v>44972</c:v>
              </c:pt>
              <c:pt idx="503">
                <c:v>44973</c:v>
              </c:pt>
              <c:pt idx="504">
                <c:v>44974</c:v>
              </c:pt>
              <c:pt idx="505">
                <c:v>44975</c:v>
              </c:pt>
              <c:pt idx="506">
                <c:v>44976</c:v>
              </c:pt>
              <c:pt idx="507">
                <c:v>44977</c:v>
              </c:pt>
              <c:pt idx="508">
                <c:v>44978</c:v>
              </c:pt>
              <c:pt idx="509">
                <c:v>44979</c:v>
              </c:pt>
              <c:pt idx="510">
                <c:v>44980</c:v>
              </c:pt>
              <c:pt idx="511">
                <c:v>44981</c:v>
              </c:pt>
              <c:pt idx="512">
                <c:v>44982</c:v>
              </c:pt>
              <c:pt idx="513">
                <c:v>44983</c:v>
              </c:pt>
              <c:pt idx="514">
                <c:v>44984</c:v>
              </c:pt>
              <c:pt idx="515">
                <c:v>44985</c:v>
              </c:pt>
              <c:pt idx="516">
                <c:v>44986</c:v>
              </c:pt>
              <c:pt idx="517">
                <c:v>44987</c:v>
              </c:pt>
              <c:pt idx="518">
                <c:v>44988</c:v>
              </c:pt>
              <c:pt idx="519">
                <c:v>44989</c:v>
              </c:pt>
              <c:pt idx="520">
                <c:v>44990</c:v>
              </c:pt>
              <c:pt idx="521">
                <c:v>44991</c:v>
              </c:pt>
              <c:pt idx="522">
                <c:v>44992</c:v>
              </c:pt>
              <c:pt idx="523">
                <c:v>44993</c:v>
              </c:pt>
              <c:pt idx="524">
                <c:v>44994</c:v>
              </c:pt>
              <c:pt idx="525">
                <c:v>44995</c:v>
              </c:pt>
              <c:pt idx="526">
                <c:v>44996</c:v>
              </c:pt>
              <c:pt idx="527">
                <c:v>44997</c:v>
              </c:pt>
              <c:pt idx="528">
                <c:v>44998</c:v>
              </c:pt>
              <c:pt idx="529">
                <c:v>44999</c:v>
              </c:pt>
              <c:pt idx="530">
                <c:v>45000</c:v>
              </c:pt>
              <c:pt idx="531">
                <c:v>45001</c:v>
              </c:pt>
              <c:pt idx="532">
                <c:v>45002</c:v>
              </c:pt>
              <c:pt idx="533">
                <c:v>45003</c:v>
              </c:pt>
              <c:pt idx="534">
                <c:v>45004</c:v>
              </c:pt>
              <c:pt idx="535">
                <c:v>45005</c:v>
              </c:pt>
              <c:pt idx="536">
                <c:v>45006</c:v>
              </c:pt>
              <c:pt idx="537">
                <c:v>45007</c:v>
              </c:pt>
              <c:pt idx="538">
                <c:v>45008</c:v>
              </c:pt>
              <c:pt idx="539">
                <c:v>45009</c:v>
              </c:pt>
              <c:pt idx="540">
                <c:v>45010</c:v>
              </c:pt>
              <c:pt idx="541">
                <c:v>45011</c:v>
              </c:pt>
              <c:pt idx="542">
                <c:v>45012</c:v>
              </c:pt>
              <c:pt idx="543">
                <c:v>45013</c:v>
              </c:pt>
              <c:pt idx="544">
                <c:v>45014</c:v>
              </c:pt>
              <c:pt idx="545">
                <c:v>45015</c:v>
              </c:pt>
              <c:pt idx="546">
                <c:v>45016</c:v>
              </c:pt>
              <c:pt idx="547">
                <c:v>45017</c:v>
              </c:pt>
              <c:pt idx="548">
                <c:v>45018</c:v>
              </c:pt>
              <c:pt idx="549">
                <c:v>45019</c:v>
              </c:pt>
              <c:pt idx="550">
                <c:v>45020</c:v>
              </c:pt>
              <c:pt idx="551">
                <c:v>45021</c:v>
              </c:pt>
              <c:pt idx="552">
                <c:v>45022</c:v>
              </c:pt>
              <c:pt idx="553">
                <c:v>45023</c:v>
              </c:pt>
              <c:pt idx="554">
                <c:v>45024</c:v>
              </c:pt>
              <c:pt idx="555">
                <c:v>45025</c:v>
              </c:pt>
              <c:pt idx="556">
                <c:v>45026</c:v>
              </c:pt>
              <c:pt idx="557">
                <c:v>45027</c:v>
              </c:pt>
              <c:pt idx="558">
                <c:v>45028</c:v>
              </c:pt>
              <c:pt idx="559">
                <c:v>45029</c:v>
              </c:pt>
              <c:pt idx="560">
                <c:v>45030</c:v>
              </c:pt>
              <c:pt idx="561">
                <c:v>45031</c:v>
              </c:pt>
              <c:pt idx="562">
                <c:v>45032</c:v>
              </c:pt>
              <c:pt idx="563">
                <c:v>45033</c:v>
              </c:pt>
              <c:pt idx="564">
                <c:v>45034</c:v>
              </c:pt>
              <c:pt idx="565">
                <c:v>45035</c:v>
              </c:pt>
              <c:pt idx="566">
                <c:v>45036</c:v>
              </c:pt>
              <c:pt idx="567">
                <c:v>45037</c:v>
              </c:pt>
              <c:pt idx="568">
                <c:v>45038</c:v>
              </c:pt>
              <c:pt idx="569">
                <c:v>45039</c:v>
              </c:pt>
              <c:pt idx="570">
                <c:v>45040</c:v>
              </c:pt>
              <c:pt idx="571">
                <c:v>45041</c:v>
              </c:pt>
              <c:pt idx="572">
                <c:v>45042</c:v>
              </c:pt>
              <c:pt idx="573">
                <c:v>45043</c:v>
              </c:pt>
              <c:pt idx="574">
                <c:v>45044</c:v>
              </c:pt>
              <c:pt idx="575">
                <c:v>45045</c:v>
              </c:pt>
              <c:pt idx="576">
                <c:v>45046</c:v>
              </c:pt>
              <c:pt idx="577">
                <c:v>45047</c:v>
              </c:pt>
              <c:pt idx="578">
                <c:v>45048</c:v>
              </c:pt>
              <c:pt idx="579">
                <c:v>45049</c:v>
              </c:pt>
              <c:pt idx="580">
                <c:v>45050</c:v>
              </c:pt>
              <c:pt idx="581">
                <c:v>45051</c:v>
              </c:pt>
              <c:pt idx="582">
                <c:v>45052</c:v>
              </c:pt>
              <c:pt idx="583">
                <c:v>45053</c:v>
              </c:pt>
              <c:pt idx="584">
                <c:v>45054</c:v>
              </c:pt>
              <c:pt idx="585">
                <c:v>45055</c:v>
              </c:pt>
              <c:pt idx="586">
                <c:v>45056</c:v>
              </c:pt>
              <c:pt idx="587">
                <c:v>45057</c:v>
              </c:pt>
              <c:pt idx="588">
                <c:v>45058</c:v>
              </c:pt>
              <c:pt idx="589">
                <c:v>45059</c:v>
              </c:pt>
              <c:pt idx="590">
                <c:v>45060</c:v>
              </c:pt>
              <c:pt idx="591">
                <c:v>45061</c:v>
              </c:pt>
              <c:pt idx="592">
                <c:v>45062</c:v>
              </c:pt>
              <c:pt idx="593">
                <c:v>45063</c:v>
              </c:pt>
              <c:pt idx="594">
                <c:v>45064</c:v>
              </c:pt>
              <c:pt idx="595">
                <c:v>45065</c:v>
              </c:pt>
              <c:pt idx="596">
                <c:v>45066</c:v>
              </c:pt>
              <c:pt idx="597">
                <c:v>45067</c:v>
              </c:pt>
              <c:pt idx="598">
                <c:v>45068</c:v>
              </c:pt>
              <c:pt idx="599">
                <c:v>45069</c:v>
              </c:pt>
              <c:pt idx="600">
                <c:v>45070</c:v>
              </c:pt>
              <c:pt idx="601">
                <c:v>45071</c:v>
              </c:pt>
              <c:pt idx="602">
                <c:v>45072</c:v>
              </c:pt>
              <c:pt idx="603">
                <c:v>45073</c:v>
              </c:pt>
              <c:pt idx="604">
                <c:v>45074</c:v>
              </c:pt>
              <c:pt idx="605">
                <c:v>45075</c:v>
              </c:pt>
              <c:pt idx="606">
                <c:v>45076</c:v>
              </c:pt>
              <c:pt idx="607">
                <c:v>45077</c:v>
              </c:pt>
              <c:pt idx="608">
                <c:v>45078</c:v>
              </c:pt>
              <c:pt idx="609">
                <c:v>45079</c:v>
              </c:pt>
              <c:pt idx="610">
                <c:v>45080</c:v>
              </c:pt>
              <c:pt idx="611">
                <c:v>45081</c:v>
              </c:pt>
              <c:pt idx="612">
                <c:v>45082</c:v>
              </c:pt>
              <c:pt idx="613">
                <c:v>45083</c:v>
              </c:pt>
              <c:pt idx="614">
                <c:v>45084</c:v>
              </c:pt>
              <c:pt idx="615">
                <c:v>45085</c:v>
              </c:pt>
              <c:pt idx="616">
                <c:v>45086</c:v>
              </c:pt>
              <c:pt idx="617">
                <c:v>45087</c:v>
              </c:pt>
              <c:pt idx="618">
                <c:v>45088</c:v>
              </c:pt>
              <c:pt idx="619">
                <c:v>45089</c:v>
              </c:pt>
              <c:pt idx="620">
                <c:v>45090</c:v>
              </c:pt>
              <c:pt idx="621">
                <c:v>45091</c:v>
              </c:pt>
              <c:pt idx="622">
                <c:v>45092</c:v>
              </c:pt>
              <c:pt idx="623">
                <c:v>45093</c:v>
              </c:pt>
              <c:pt idx="624">
                <c:v>45094</c:v>
              </c:pt>
              <c:pt idx="625">
                <c:v>45095</c:v>
              </c:pt>
              <c:pt idx="626">
                <c:v>45096</c:v>
              </c:pt>
              <c:pt idx="627">
                <c:v>45097</c:v>
              </c:pt>
              <c:pt idx="628">
                <c:v>45098</c:v>
              </c:pt>
              <c:pt idx="629">
                <c:v>45099</c:v>
              </c:pt>
              <c:pt idx="630">
                <c:v>45100</c:v>
              </c:pt>
              <c:pt idx="631">
                <c:v>45101</c:v>
              </c:pt>
              <c:pt idx="632">
                <c:v>45102</c:v>
              </c:pt>
              <c:pt idx="633">
                <c:v>45103</c:v>
              </c:pt>
              <c:pt idx="634">
                <c:v>45104</c:v>
              </c:pt>
              <c:pt idx="635">
                <c:v>45105</c:v>
              </c:pt>
              <c:pt idx="636">
                <c:v>45106</c:v>
              </c:pt>
              <c:pt idx="637">
                <c:v>45107</c:v>
              </c:pt>
              <c:pt idx="638">
                <c:v>45108</c:v>
              </c:pt>
              <c:pt idx="639">
                <c:v>45109</c:v>
              </c:pt>
              <c:pt idx="640">
                <c:v>45110</c:v>
              </c:pt>
              <c:pt idx="641">
                <c:v>45111</c:v>
              </c:pt>
              <c:pt idx="642">
                <c:v>45112</c:v>
              </c:pt>
              <c:pt idx="643">
                <c:v>45113</c:v>
              </c:pt>
              <c:pt idx="644">
                <c:v>45114</c:v>
              </c:pt>
              <c:pt idx="645">
                <c:v>45115</c:v>
              </c:pt>
              <c:pt idx="646">
                <c:v>45116</c:v>
              </c:pt>
              <c:pt idx="647">
                <c:v>45117</c:v>
              </c:pt>
              <c:pt idx="648">
                <c:v>45118</c:v>
              </c:pt>
              <c:pt idx="649">
                <c:v>45119</c:v>
              </c:pt>
              <c:pt idx="650">
                <c:v>45120</c:v>
              </c:pt>
              <c:pt idx="651">
                <c:v>45121</c:v>
              </c:pt>
              <c:pt idx="652">
                <c:v>45122</c:v>
              </c:pt>
              <c:pt idx="653">
                <c:v>45123</c:v>
              </c:pt>
              <c:pt idx="654">
                <c:v>45124</c:v>
              </c:pt>
              <c:pt idx="655">
                <c:v>45125</c:v>
              </c:pt>
              <c:pt idx="656">
                <c:v>45126</c:v>
              </c:pt>
              <c:pt idx="657">
                <c:v>45127</c:v>
              </c:pt>
              <c:pt idx="658">
                <c:v>45128</c:v>
              </c:pt>
              <c:pt idx="659">
                <c:v>45129</c:v>
              </c:pt>
              <c:pt idx="660">
                <c:v>45130</c:v>
              </c:pt>
              <c:pt idx="661">
                <c:v>45131</c:v>
              </c:pt>
              <c:pt idx="662">
                <c:v>45132</c:v>
              </c:pt>
              <c:pt idx="663">
                <c:v>45133</c:v>
              </c:pt>
              <c:pt idx="664">
                <c:v>45134</c:v>
              </c:pt>
              <c:pt idx="665">
                <c:v>45135</c:v>
              </c:pt>
              <c:pt idx="666">
                <c:v>45136</c:v>
              </c:pt>
              <c:pt idx="667">
                <c:v>45137</c:v>
              </c:pt>
              <c:pt idx="668">
                <c:v>45138</c:v>
              </c:pt>
              <c:pt idx="669">
                <c:v>45139</c:v>
              </c:pt>
              <c:pt idx="670">
                <c:v>45140</c:v>
              </c:pt>
              <c:pt idx="671">
                <c:v>45141</c:v>
              </c:pt>
              <c:pt idx="672">
                <c:v>45142</c:v>
              </c:pt>
              <c:pt idx="673">
                <c:v>45143</c:v>
              </c:pt>
              <c:pt idx="674">
                <c:v>45144</c:v>
              </c:pt>
              <c:pt idx="675">
                <c:v>45145</c:v>
              </c:pt>
              <c:pt idx="676">
                <c:v>45146</c:v>
              </c:pt>
              <c:pt idx="677">
                <c:v>45147</c:v>
              </c:pt>
              <c:pt idx="678">
                <c:v>45148</c:v>
              </c:pt>
              <c:pt idx="679">
                <c:v>45149</c:v>
              </c:pt>
              <c:pt idx="680">
                <c:v>45150</c:v>
              </c:pt>
              <c:pt idx="681">
                <c:v>45151</c:v>
              </c:pt>
              <c:pt idx="682">
                <c:v>45152</c:v>
              </c:pt>
              <c:pt idx="683">
                <c:v>45153</c:v>
              </c:pt>
              <c:pt idx="684">
                <c:v>45154</c:v>
              </c:pt>
              <c:pt idx="685">
                <c:v>45155</c:v>
              </c:pt>
              <c:pt idx="686">
                <c:v>45156</c:v>
              </c:pt>
              <c:pt idx="687">
                <c:v>45157</c:v>
              </c:pt>
              <c:pt idx="688">
                <c:v>45158</c:v>
              </c:pt>
              <c:pt idx="689">
                <c:v>45159</c:v>
              </c:pt>
              <c:pt idx="690">
                <c:v>45160</c:v>
              </c:pt>
              <c:pt idx="691">
                <c:v>45161</c:v>
              </c:pt>
              <c:pt idx="692">
                <c:v>45162</c:v>
              </c:pt>
              <c:pt idx="693">
                <c:v>45163</c:v>
              </c:pt>
              <c:pt idx="694">
                <c:v>45164</c:v>
              </c:pt>
              <c:pt idx="695">
                <c:v>45165</c:v>
              </c:pt>
              <c:pt idx="696">
                <c:v>45166</c:v>
              </c:pt>
              <c:pt idx="697">
                <c:v>45167</c:v>
              </c:pt>
              <c:pt idx="698">
                <c:v>45168</c:v>
              </c:pt>
              <c:pt idx="699">
                <c:v>45169</c:v>
              </c:pt>
              <c:pt idx="700">
                <c:v>45170</c:v>
              </c:pt>
              <c:pt idx="701">
                <c:v>45171</c:v>
              </c:pt>
              <c:pt idx="702">
                <c:v>45172</c:v>
              </c:pt>
              <c:pt idx="703">
                <c:v>45173</c:v>
              </c:pt>
              <c:pt idx="704">
                <c:v>45174</c:v>
              </c:pt>
              <c:pt idx="705">
                <c:v>45175</c:v>
              </c:pt>
              <c:pt idx="706">
                <c:v>45176</c:v>
              </c:pt>
              <c:pt idx="707">
                <c:v>45177</c:v>
              </c:pt>
              <c:pt idx="708">
                <c:v>45178</c:v>
              </c:pt>
              <c:pt idx="709">
                <c:v>45179</c:v>
              </c:pt>
              <c:pt idx="710">
                <c:v>45180</c:v>
              </c:pt>
              <c:pt idx="711">
                <c:v>45181</c:v>
              </c:pt>
              <c:pt idx="712">
                <c:v>45182</c:v>
              </c:pt>
              <c:pt idx="713">
                <c:v>45183</c:v>
              </c:pt>
              <c:pt idx="714">
                <c:v>45184</c:v>
              </c:pt>
              <c:pt idx="715">
                <c:v>45185</c:v>
              </c:pt>
              <c:pt idx="716">
                <c:v>45186</c:v>
              </c:pt>
              <c:pt idx="717">
                <c:v>45187</c:v>
              </c:pt>
              <c:pt idx="718">
                <c:v>45188</c:v>
              </c:pt>
              <c:pt idx="719">
                <c:v>45189</c:v>
              </c:pt>
              <c:pt idx="720">
                <c:v>45190</c:v>
              </c:pt>
              <c:pt idx="721">
                <c:v>45191</c:v>
              </c:pt>
              <c:pt idx="722">
                <c:v>45192</c:v>
              </c:pt>
              <c:pt idx="723">
                <c:v>45193</c:v>
              </c:pt>
              <c:pt idx="724">
                <c:v>45194</c:v>
              </c:pt>
              <c:pt idx="725">
                <c:v>45195</c:v>
              </c:pt>
              <c:pt idx="726">
                <c:v>45196</c:v>
              </c:pt>
              <c:pt idx="727">
                <c:v>45197</c:v>
              </c:pt>
              <c:pt idx="728">
                <c:v>45198</c:v>
              </c:pt>
              <c:pt idx="729">
                <c:v>45199</c:v>
              </c:pt>
              <c:pt idx="730">
                <c:v>45200</c:v>
              </c:pt>
              <c:pt idx="731">
                <c:v>45201</c:v>
              </c:pt>
              <c:pt idx="732">
                <c:v>45202</c:v>
              </c:pt>
              <c:pt idx="733">
                <c:v>45203</c:v>
              </c:pt>
              <c:pt idx="734">
                <c:v>45204</c:v>
              </c:pt>
              <c:pt idx="735">
                <c:v>45205</c:v>
              </c:pt>
              <c:pt idx="736">
                <c:v>45206</c:v>
              </c:pt>
              <c:pt idx="737">
                <c:v>45207</c:v>
              </c:pt>
              <c:pt idx="738">
                <c:v>45208</c:v>
              </c:pt>
              <c:pt idx="739">
                <c:v>45209</c:v>
              </c:pt>
              <c:pt idx="740">
                <c:v>45210</c:v>
              </c:pt>
              <c:pt idx="741">
                <c:v>45211</c:v>
              </c:pt>
              <c:pt idx="742">
                <c:v>45212</c:v>
              </c:pt>
              <c:pt idx="743">
                <c:v>45213</c:v>
              </c:pt>
              <c:pt idx="744">
                <c:v>45214</c:v>
              </c:pt>
              <c:pt idx="745">
                <c:v>45215</c:v>
              </c:pt>
              <c:pt idx="746">
                <c:v>45216</c:v>
              </c:pt>
              <c:pt idx="747">
                <c:v>45217</c:v>
              </c:pt>
              <c:pt idx="748">
                <c:v>45218</c:v>
              </c:pt>
              <c:pt idx="749">
                <c:v>45219</c:v>
              </c:pt>
              <c:pt idx="750">
                <c:v>45220</c:v>
              </c:pt>
              <c:pt idx="751">
                <c:v>45221</c:v>
              </c:pt>
              <c:pt idx="752">
                <c:v>45222</c:v>
              </c:pt>
              <c:pt idx="753">
                <c:v>45223</c:v>
              </c:pt>
              <c:pt idx="754">
                <c:v>45224</c:v>
              </c:pt>
              <c:pt idx="755">
                <c:v>45225</c:v>
              </c:pt>
              <c:pt idx="756">
                <c:v>45226</c:v>
              </c:pt>
              <c:pt idx="757">
                <c:v>45227</c:v>
              </c:pt>
              <c:pt idx="758">
                <c:v>45228</c:v>
              </c:pt>
              <c:pt idx="759">
                <c:v>45229</c:v>
              </c:pt>
              <c:pt idx="760">
                <c:v>45230</c:v>
              </c:pt>
              <c:pt idx="761">
                <c:v>45231</c:v>
              </c:pt>
              <c:pt idx="762">
                <c:v>45232</c:v>
              </c:pt>
              <c:pt idx="763">
                <c:v>45233</c:v>
              </c:pt>
              <c:pt idx="764">
                <c:v>45234</c:v>
              </c:pt>
              <c:pt idx="765">
                <c:v>45235</c:v>
              </c:pt>
              <c:pt idx="766">
                <c:v>45236</c:v>
              </c:pt>
              <c:pt idx="767">
                <c:v>45237</c:v>
              </c:pt>
              <c:pt idx="768">
                <c:v>45238</c:v>
              </c:pt>
              <c:pt idx="769">
                <c:v>45239</c:v>
              </c:pt>
              <c:pt idx="770">
                <c:v>45240</c:v>
              </c:pt>
              <c:pt idx="771">
                <c:v>45241</c:v>
              </c:pt>
              <c:pt idx="772">
                <c:v>45242</c:v>
              </c:pt>
              <c:pt idx="773">
                <c:v>45243</c:v>
              </c:pt>
              <c:pt idx="774">
                <c:v>45244</c:v>
              </c:pt>
              <c:pt idx="775">
                <c:v>45245</c:v>
              </c:pt>
              <c:pt idx="776">
                <c:v>45246</c:v>
              </c:pt>
              <c:pt idx="777">
                <c:v>45247</c:v>
              </c:pt>
              <c:pt idx="778">
                <c:v>45248</c:v>
              </c:pt>
              <c:pt idx="779">
                <c:v>45249</c:v>
              </c:pt>
              <c:pt idx="780">
                <c:v>45250</c:v>
              </c:pt>
              <c:pt idx="781">
                <c:v>45251</c:v>
              </c:pt>
              <c:pt idx="782">
                <c:v>45252</c:v>
              </c:pt>
              <c:pt idx="783">
                <c:v>45253</c:v>
              </c:pt>
              <c:pt idx="784">
                <c:v>45254</c:v>
              </c:pt>
              <c:pt idx="785">
                <c:v>45255</c:v>
              </c:pt>
              <c:pt idx="786">
                <c:v>45256</c:v>
              </c:pt>
              <c:pt idx="787">
                <c:v>45257</c:v>
              </c:pt>
              <c:pt idx="788">
                <c:v>45258</c:v>
              </c:pt>
              <c:pt idx="789">
                <c:v>45259</c:v>
              </c:pt>
              <c:pt idx="790">
                <c:v>45260</c:v>
              </c:pt>
              <c:pt idx="791">
                <c:v>45261</c:v>
              </c:pt>
              <c:pt idx="792">
                <c:v>45262</c:v>
              </c:pt>
              <c:pt idx="793">
                <c:v>45263</c:v>
              </c:pt>
              <c:pt idx="794">
                <c:v>45264</c:v>
              </c:pt>
              <c:pt idx="795">
                <c:v>45265</c:v>
              </c:pt>
              <c:pt idx="796">
                <c:v>45266</c:v>
              </c:pt>
              <c:pt idx="797">
                <c:v>45267</c:v>
              </c:pt>
              <c:pt idx="798">
                <c:v>45268</c:v>
              </c:pt>
              <c:pt idx="799">
                <c:v>45269</c:v>
              </c:pt>
              <c:pt idx="800">
                <c:v>45270</c:v>
              </c:pt>
              <c:pt idx="801">
                <c:v>45271</c:v>
              </c:pt>
              <c:pt idx="802">
                <c:v>45272</c:v>
              </c:pt>
              <c:pt idx="803">
                <c:v>45273</c:v>
              </c:pt>
              <c:pt idx="804">
                <c:v>45274</c:v>
              </c:pt>
              <c:pt idx="805">
                <c:v>45275</c:v>
              </c:pt>
              <c:pt idx="806">
                <c:v>45276</c:v>
              </c:pt>
              <c:pt idx="807">
                <c:v>45277</c:v>
              </c:pt>
              <c:pt idx="808">
                <c:v>45278</c:v>
              </c:pt>
              <c:pt idx="809">
                <c:v>45279</c:v>
              </c:pt>
              <c:pt idx="810">
                <c:v>45280</c:v>
              </c:pt>
              <c:pt idx="811">
                <c:v>45281</c:v>
              </c:pt>
              <c:pt idx="812">
                <c:v>45282</c:v>
              </c:pt>
              <c:pt idx="813">
                <c:v>45283</c:v>
              </c:pt>
              <c:pt idx="814">
                <c:v>45284</c:v>
              </c:pt>
              <c:pt idx="815">
                <c:v>45285</c:v>
              </c:pt>
              <c:pt idx="816">
                <c:v>45286</c:v>
              </c:pt>
              <c:pt idx="817">
                <c:v>45287</c:v>
              </c:pt>
              <c:pt idx="818">
                <c:v>45288</c:v>
              </c:pt>
              <c:pt idx="819">
                <c:v>45289</c:v>
              </c:pt>
              <c:pt idx="820">
                <c:v>45290</c:v>
              </c:pt>
              <c:pt idx="821">
                <c:v>45291</c:v>
              </c:pt>
              <c:pt idx="822">
                <c:v>45292</c:v>
              </c:pt>
              <c:pt idx="823">
                <c:v>45293</c:v>
              </c:pt>
              <c:pt idx="824">
                <c:v>45294</c:v>
              </c:pt>
              <c:pt idx="825">
                <c:v>45295</c:v>
              </c:pt>
              <c:pt idx="826">
                <c:v>45296</c:v>
              </c:pt>
              <c:pt idx="827">
                <c:v>45297</c:v>
              </c:pt>
              <c:pt idx="828">
                <c:v>45298</c:v>
              </c:pt>
              <c:pt idx="829">
                <c:v>45299</c:v>
              </c:pt>
              <c:pt idx="830">
                <c:v>45300</c:v>
              </c:pt>
              <c:pt idx="831">
                <c:v>45301</c:v>
              </c:pt>
              <c:pt idx="832">
                <c:v>45302</c:v>
              </c:pt>
              <c:pt idx="833">
                <c:v>45303</c:v>
              </c:pt>
              <c:pt idx="834">
                <c:v>45304</c:v>
              </c:pt>
              <c:pt idx="835">
                <c:v>45305</c:v>
              </c:pt>
              <c:pt idx="836">
                <c:v>45306</c:v>
              </c:pt>
              <c:pt idx="837">
                <c:v>45307</c:v>
              </c:pt>
              <c:pt idx="838">
                <c:v>45308</c:v>
              </c:pt>
              <c:pt idx="839">
                <c:v>45309</c:v>
              </c:pt>
              <c:pt idx="840">
                <c:v>45310</c:v>
              </c:pt>
              <c:pt idx="841">
                <c:v>45311</c:v>
              </c:pt>
              <c:pt idx="842">
                <c:v>45312</c:v>
              </c:pt>
              <c:pt idx="843">
                <c:v>45313</c:v>
              </c:pt>
              <c:pt idx="844">
                <c:v>45314</c:v>
              </c:pt>
              <c:pt idx="845">
                <c:v>45315</c:v>
              </c:pt>
              <c:pt idx="846">
                <c:v>45316</c:v>
              </c:pt>
              <c:pt idx="847">
                <c:v>45317</c:v>
              </c:pt>
              <c:pt idx="848">
                <c:v>45318</c:v>
              </c:pt>
              <c:pt idx="849">
                <c:v>45319</c:v>
              </c:pt>
            </c:strLit>
          </c:xVal>
          <c:yVal>
            <c:numLit>
              <c:formatCode>General</c:formatCode>
              <c:ptCount val="850"/>
              <c:pt idx="26">
                <c:v>12.931034482758621</c:v>
              </c:pt>
              <c:pt idx="33">
                <c:v>14.655172413793105</c:v>
              </c:pt>
              <c:pt idx="40">
                <c:v>18.168604651162791</c:v>
              </c:pt>
              <c:pt idx="47">
                <c:v>20.833333333333332</c:v>
              </c:pt>
              <c:pt idx="54">
                <c:v>13.636363636363635</c:v>
              </c:pt>
              <c:pt idx="61">
                <c:v>18.478260869565222</c:v>
              </c:pt>
              <c:pt idx="68">
                <c:v>21.875</c:v>
              </c:pt>
              <c:pt idx="77">
                <c:v>17</c:v>
              </c:pt>
              <c:pt idx="82">
                <c:v>25.786649214659683</c:v>
              </c:pt>
              <c:pt idx="97">
                <c:v>32.152671755725194</c:v>
              </c:pt>
              <c:pt idx="115">
                <c:v>32.029085872576175</c:v>
              </c:pt>
              <c:pt idx="122">
                <c:v>29.356097560975609</c:v>
              </c:pt>
              <c:pt idx="133">
                <c:v>24.944936298855538</c:v>
              </c:pt>
              <c:pt idx="136">
                <c:v>24.335399058792657</c:v>
              </c:pt>
              <c:pt idx="147">
                <c:v>16.750655870751</c:v>
              </c:pt>
              <c:pt idx="150">
                <c:v>13.223562176785421</c:v>
              </c:pt>
              <c:pt idx="157">
                <c:v>12.177835051546392</c:v>
              </c:pt>
              <c:pt idx="164">
                <c:v>12.432992202729046</c:v>
              </c:pt>
              <c:pt idx="185">
                <c:v>14.052989616899394</c:v>
              </c:pt>
              <c:pt idx="192">
                <c:v>10.354928809864433</c:v>
              </c:pt>
              <c:pt idx="208">
                <c:v>10.273428371114745</c:v>
              </c:pt>
              <c:pt idx="237">
                <c:v>13.370976849237719</c:v>
              </c:pt>
              <c:pt idx="244">
                <c:v>8.1860465116279073</c:v>
              </c:pt>
              <c:pt idx="251">
                <c:v>12.650070083490769</c:v>
              </c:pt>
              <c:pt idx="258">
                <c:v>13.829476313202434</c:v>
              </c:pt>
              <c:pt idx="265">
                <c:v>20.190880340777078</c:v>
              </c:pt>
              <c:pt idx="270">
                <c:v>20.081113387978139</c:v>
              </c:pt>
              <c:pt idx="278">
                <c:v>13.061872025383396</c:v>
              </c:pt>
              <c:pt idx="285">
                <c:v>18.696099759148474</c:v>
              </c:pt>
              <c:pt idx="293">
                <c:v>20.056352459016395</c:v>
              </c:pt>
              <c:pt idx="307">
                <c:v>18.402854491626531</c:v>
              </c:pt>
              <c:pt idx="318">
                <c:v>23.646299056135124</c:v>
              </c:pt>
              <c:pt idx="329">
                <c:v>21.931395509023286</c:v>
              </c:pt>
              <c:pt idx="336">
                <c:v>23.775020378588898</c:v>
              </c:pt>
              <c:pt idx="343">
                <c:v>22.429545035918217</c:v>
              </c:pt>
              <c:pt idx="350">
                <c:v>21.585718946252349</c:v>
              </c:pt>
              <c:pt idx="357">
                <c:v>23.255813953488371</c:v>
              </c:pt>
              <c:pt idx="371">
                <c:v>24.783861671469737</c:v>
              </c:pt>
              <c:pt idx="378">
                <c:v>24.216524216524217</c:v>
              </c:pt>
              <c:pt idx="385">
                <c:v>21.067415730337078</c:v>
              </c:pt>
              <c:pt idx="392">
                <c:v>26.50429799426934</c:v>
              </c:pt>
              <c:pt idx="399">
                <c:v>18.361581920903955</c:v>
              </c:pt>
              <c:pt idx="405">
                <c:v>17.062314540059347</c:v>
              </c:pt>
              <c:pt idx="412">
                <c:v>18.450184501845019</c:v>
              </c:pt>
              <c:pt idx="420">
                <c:v>19.713261648745519</c:v>
              </c:pt>
              <c:pt idx="427">
                <c:v>29.026217228464422</c:v>
              </c:pt>
              <c:pt idx="434">
                <c:v>18.927444794952681</c:v>
              </c:pt>
              <c:pt idx="441">
                <c:v>24.193548387096772</c:v>
              </c:pt>
              <c:pt idx="447">
                <c:v>28.761061946902657</c:v>
              </c:pt>
              <c:pt idx="455">
                <c:v>15.625</c:v>
              </c:pt>
              <c:pt idx="482">
                <c:v>24.881516587677726</c:v>
              </c:pt>
              <c:pt idx="489">
                <c:v>15.224358974358974</c:v>
              </c:pt>
              <c:pt idx="496">
                <c:v>14.40677966101695</c:v>
              </c:pt>
              <c:pt idx="504">
                <c:v>15.772870662460571</c:v>
              </c:pt>
              <c:pt idx="510">
                <c:v>17.350157728706623</c:v>
              </c:pt>
              <c:pt idx="517">
                <c:v>15.923566878980891</c:v>
              </c:pt>
              <c:pt idx="524">
                <c:v>18.312101910828027</c:v>
              </c:pt>
              <c:pt idx="531">
                <c:v>14.057507987220447</c:v>
              </c:pt>
              <c:pt idx="538">
                <c:v>15.960912052117266</c:v>
              </c:pt>
              <c:pt idx="545">
                <c:v>15.422077922077921</c:v>
              </c:pt>
              <c:pt idx="550">
                <c:v>17.301038062283737</c:v>
              </c:pt>
              <c:pt idx="593">
                <c:v>15.290519877675843</c:v>
              </c:pt>
              <c:pt idx="601">
                <c:v>9.6096096096096097</c:v>
              </c:pt>
              <c:pt idx="602">
                <c:v>9.065155807365441</c:v>
              </c:pt>
              <c:pt idx="608">
                <c:v>14.577259475218659</c:v>
              </c:pt>
              <c:pt idx="612">
                <c:v>7.8571428571428577</c:v>
              </c:pt>
              <c:pt idx="623">
                <c:v>25.558659217877093</c:v>
              </c:pt>
              <c:pt idx="629">
                <c:v>27.065527065527068</c:v>
              </c:pt>
              <c:pt idx="635">
                <c:v>28.873239436619716</c:v>
              </c:pt>
              <c:pt idx="649">
                <c:v>27.586206896551722</c:v>
              </c:pt>
              <c:pt idx="656">
                <c:v>31.694915254237287</c:v>
              </c:pt>
              <c:pt idx="661">
                <c:v>22.209026128266032</c:v>
              </c:pt>
              <c:pt idx="668">
                <c:v>22.040302267002517</c:v>
              </c:pt>
              <c:pt idx="717">
                <c:v>11.428571428571429</c:v>
              </c:pt>
              <c:pt idx="724">
                <c:v>11.560693641618498</c:v>
              </c:pt>
              <c:pt idx="731">
                <c:v>24.793388429752067</c:v>
              </c:pt>
              <c:pt idx="741">
                <c:v>18.939393939393941</c:v>
              </c:pt>
              <c:pt idx="745">
                <c:v>16.428571428571427</c:v>
              </c:pt>
              <c:pt idx="755">
                <c:v>15.942028985507246</c:v>
              </c:pt>
              <c:pt idx="761">
                <c:v>14.555256064690028</c:v>
              </c:pt>
              <c:pt idx="767">
                <c:v>14.350453172205439</c:v>
              </c:pt>
              <c:pt idx="774">
                <c:v>16.203703703703702</c:v>
              </c:pt>
              <c:pt idx="781">
                <c:v>13.245033112582782</c:v>
              </c:pt>
              <c:pt idx="789">
                <c:v>32.258064516129032</c:v>
              </c:pt>
              <c:pt idx="796">
                <c:v>27.156549520766774</c:v>
              </c:pt>
              <c:pt idx="803">
                <c:v>24.633431085043991</c:v>
              </c:pt>
              <c:pt idx="809">
                <c:v>27.777777777777775</c:v>
              </c:pt>
              <c:pt idx="818">
                <c:v>29.6875</c:v>
              </c:pt>
              <c:pt idx="825">
                <c:v>25.462962962962962</c:v>
              </c:pt>
              <c:pt idx="830">
                <c:v>24.169184290030213</c:v>
              </c:pt>
              <c:pt idx="839">
                <c:v>34.909090909090914</c:v>
              </c:pt>
              <c:pt idx="843">
                <c:v>31.694915254237287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C776-4A10-99A1-A5023C2E0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in val="44485"/>
        </c:scaling>
        <c:delete val="0"/>
        <c:axPos val="b"/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30"/>
      </c:valAx>
      <c:valAx>
        <c:axId val="1753994448"/>
        <c:scaling>
          <c:orientation val="minMax"/>
          <c:max val="4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2158004110219034E-4"/>
          <c:y val="9.0450930263907839E-2"/>
          <c:w val="0.99977842635622094"/>
          <c:h val="9.7495488805378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- 06_05_2024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0"/>
          <c:order val="1"/>
          <c:tx>
            <c:v>CST (s)_0.2</c:v>
          </c:tx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14B-422E-946A-92EAFFE1CE41}"/>
            </c:ext>
          </c:extLst>
        </c:ser>
        <c:ser>
          <c:idx val="6"/>
          <c:order val="3"/>
          <c:tx>
            <c:v>TSS (g/L)_0.2</c:v>
          </c:tx>
          <c:marker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14B-422E-946A-92EAFFE1CE41}"/>
            </c:ext>
          </c:extLst>
        </c:ser>
        <c:ser>
          <c:idx val="11"/>
          <c:order val="5"/>
          <c:tx>
            <c:v>TS (%)_0.2</c:v>
          </c:tx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14B-422E-946A-92EAFFE1CE41}"/>
            </c:ext>
          </c:extLst>
        </c:ser>
        <c:ser>
          <c:idx val="1"/>
          <c:order val="9"/>
          <c:tx>
            <c:v>TSS (g/L)_0.2 (%)</c:v>
          </c:tx>
          <c:marker>
            <c:symbol val="triangle"/>
            <c:size val="8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14B-422E-946A-92EAFFE1CE41}"/>
            </c:ext>
          </c:extLst>
        </c:ser>
        <c:ser>
          <c:idx val="4"/>
          <c:order val="11"/>
          <c:tx>
            <c:v>TSS (g/L)_0.15 (%)</c:v>
          </c:tx>
          <c:marker>
            <c:symbol val="triangle"/>
            <c:size val="8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4B-422E-946A-92EAFFE1C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0"/>
                <c:tx>
                  <c:v>CST (s)_0.1 (%)</c:v>
                </c:tx>
                <c:marker>
                  <c:spPr>
                    <a:solidFill>
                      <a:schemeClr val="accent6">
                        <a:alpha val="96000"/>
                      </a:schemeClr>
                    </a:solidFill>
                    <a:ln w="15875">
                      <a:solidFill>
                        <a:schemeClr val="accent6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68.2</c:v>
                    </c:pt>
                    <c:pt idx="1">
                      <c:v>64.099999999999994</c:v>
                    </c:pt>
                    <c:pt idx="2">
                      <c:v>63.4</c:v>
                    </c:pt>
                    <c:pt idx="3">
                      <c:v>67.900000000000006</c:v>
                    </c:pt>
                    <c:pt idx="4">
                      <c:v>68.650000000000006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6-514B-422E-946A-92EAFFE1CE41}"/>
                  </c:ext>
                </c:extLst>
              </c15:ser>
            </c15:filteredScatterSeries>
            <c15:filteredScatterSeries>
              <c15:ser>
                <c:idx val="7"/>
                <c:order val="2"/>
                <c:tx>
                  <c:v>TSS (g/L)_0.1</c:v>
                </c:tx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0.59000000000000163</c:v>
                    </c:pt>
                    <c:pt idx="1">
                      <c:v>0.72000000000000952</c:v>
                    </c:pt>
                    <c:pt idx="2">
                      <c:v>0.73000000000000842</c:v>
                    </c:pt>
                    <c:pt idx="3">
                      <c:v>0.4749999999999921</c:v>
                    </c:pt>
                    <c:pt idx="4">
                      <c:v>0.32000000000000917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4B-422E-946A-92EAFFE1CE41}"/>
                  </c:ext>
                </c:extLst>
              </c15:ser>
            </c15:filteredScatterSeries>
            <c15:filteredScatterSeries>
              <c15:ser>
                <c:idx val="9"/>
                <c:order val="4"/>
                <c:tx>
                  <c:v>TS (%)_0.1</c:v>
                </c:tx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29.035872371601734</c:v>
                    </c:pt>
                    <c:pt idx="1">
                      <c:v>29.725239048109145</c:v>
                    </c:pt>
                    <c:pt idx="2">
                      <c:v>28.294552007476685</c:v>
                    </c:pt>
                    <c:pt idx="3">
                      <c:v>27.976876447020381</c:v>
                    </c:pt>
                    <c:pt idx="4">
                      <c:v>27.733217882696081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4B-422E-946A-92EAFFE1CE4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6"/>
          <c:tx>
            <c:v>CST (s)_0.15 (%)</c:v>
          </c:tx>
          <c:marker>
            <c:symbol val="circle"/>
            <c:size val="8"/>
            <c:spPr>
              <a:solidFill>
                <a:schemeClr val="accent6"/>
              </a:solidFill>
              <a:ln w="15875">
                <a:solidFill>
                  <a:schemeClr val="accent6"/>
                </a:solidFill>
              </a:ln>
              <a:effectLst/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14B-422E-946A-92EAFFE1CE41}"/>
            </c:ext>
          </c:extLst>
        </c:ser>
        <c:ser>
          <c:idx val="3"/>
          <c:order val="7"/>
          <c:tx>
            <c:v>TS (%)_0.15 (%)</c:v>
          </c:tx>
          <c:marker>
            <c:symbol val="triangle"/>
            <c:size val="8"/>
            <c:spPr>
              <a:solidFill>
                <a:schemeClr val="accent4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14B-422E-946A-92EAFFE1CE41}"/>
            </c:ext>
          </c:extLst>
        </c:ser>
        <c:ser>
          <c:idx val="2"/>
          <c:order val="8"/>
          <c:tx>
            <c:v>CST (s)_0.2 (%)</c:v>
          </c:tx>
          <c:marker>
            <c:symbol val="triangle"/>
            <c:size val="8"/>
            <c:spPr>
              <a:solidFill>
                <a:schemeClr val="accent6">
                  <a:alpha val="96000"/>
                </a:schemeClr>
              </a:solidFill>
              <a:ln w="15875">
                <a:solidFill>
                  <a:schemeClr val="accent6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14B-422E-946A-92EAFFE1CE41}"/>
            </c:ext>
          </c:extLst>
        </c:ser>
        <c:ser>
          <c:idx val="5"/>
          <c:order val="10"/>
          <c:tx>
            <c:v>TS (%)_0.2 (%)</c:v>
          </c:tx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strLit>
              <c:ptCount val="1"/>
              <c:pt idx="0">
                <c:v>#REF!</c:v>
              </c:pt>
            </c:str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14B-422E-946A-92EAFFE1C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  <c:majorUnit val="1"/>
      </c:valAx>
      <c:valAx>
        <c:axId val="799978783"/>
        <c:scaling>
          <c:orientation val="minMax"/>
          <c:max val="1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100"/>
          <c:min val="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1813774705181246"/>
          <c:y val="0.9502111970981254"/>
          <c:w val="0.6394807003757117"/>
          <c:h val="4.978911453204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- 06_05_2024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0"/>
          <c:order val="1"/>
          <c:tx>
            <c:v>CST (s)_0.2</c:v>
          </c:tx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3C6-4DAC-85F5-1D902BC87C43}"/>
            </c:ext>
          </c:extLst>
        </c:ser>
        <c:ser>
          <c:idx val="6"/>
          <c:order val="3"/>
          <c:tx>
            <c:v>TSS (g/L)_0.2</c:v>
          </c:tx>
          <c:marker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3C6-4DAC-85F5-1D902BC87C43}"/>
            </c:ext>
          </c:extLst>
        </c:ser>
        <c:ser>
          <c:idx val="11"/>
          <c:order val="5"/>
          <c:tx>
            <c:v>TS (%)_0.2</c:v>
          </c:tx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3C6-4DAC-85F5-1D902BC87C43}"/>
            </c:ext>
          </c:extLst>
        </c:ser>
        <c:ser>
          <c:idx val="1"/>
          <c:order val="9"/>
          <c:tx>
            <c:v>TSS (g/L)_0.2 (%)</c:v>
          </c:tx>
          <c:marker>
            <c:symbol val="triangle"/>
            <c:size val="8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C6-4DAC-85F5-1D902BC87C43}"/>
            </c:ext>
          </c:extLst>
        </c:ser>
        <c:ser>
          <c:idx val="4"/>
          <c:order val="11"/>
          <c:tx>
            <c:v>TSS (g/L)_0.1 (%)</c:v>
          </c:tx>
          <c:spPr>
            <a:ln w="28575">
              <a:solidFill>
                <a:schemeClr val="accent4"/>
              </a:solidFill>
            </a:ln>
          </c:spPr>
          <c:marker>
            <c:symbol val="triangle"/>
            <c:size val="8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strLit>
              <c:ptCount val="5"/>
              <c:pt idx="0">
                <c:v>14.9408752307642</c:v>
              </c:pt>
              <c:pt idx="1">
                <c:v>18.0764370502579</c:v>
              </c:pt>
              <c:pt idx="2">
                <c:v>20.0662765915862</c:v>
              </c:pt>
              <c:pt idx="3">
                <c:v>22.5652610865008</c:v>
              </c:pt>
              <c:pt idx="4">
                <c:v>25.1468732499037</c:v>
              </c:pt>
            </c:strLit>
          </c:xVal>
          <c:yVal>
            <c:numLit>
              <c:formatCode>General</c:formatCode>
              <c:ptCount val="5"/>
              <c:pt idx="0">
                <c:v>0.59000000000000163</c:v>
              </c:pt>
              <c:pt idx="1">
                <c:v>0.72000000000000952</c:v>
              </c:pt>
              <c:pt idx="2">
                <c:v>0.73000000000000842</c:v>
              </c:pt>
              <c:pt idx="3">
                <c:v>0.4749999999999921</c:v>
              </c:pt>
              <c:pt idx="4">
                <c:v>0.32000000000000917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3C6-4DAC-85F5-1D902BC87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0"/>
                <c:tx>
                  <c:v>CST (s)_0.1 (%)</c:v>
                </c:tx>
                <c:marker>
                  <c:spPr>
                    <a:solidFill>
                      <a:schemeClr val="accent6">
                        <a:alpha val="96000"/>
                      </a:schemeClr>
                    </a:solidFill>
                    <a:ln w="15875">
                      <a:solidFill>
                        <a:schemeClr val="accent6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68.2</c:v>
                    </c:pt>
                    <c:pt idx="1">
                      <c:v>64.099999999999994</c:v>
                    </c:pt>
                    <c:pt idx="2">
                      <c:v>63.4</c:v>
                    </c:pt>
                    <c:pt idx="3">
                      <c:v>67.900000000000006</c:v>
                    </c:pt>
                    <c:pt idx="4">
                      <c:v>68.650000000000006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6-C3C6-4DAC-85F5-1D902BC87C43}"/>
                  </c:ext>
                </c:extLst>
              </c15:ser>
            </c15:filteredScatterSeries>
            <c15:filteredScatterSeries>
              <c15:ser>
                <c:idx val="7"/>
                <c:order val="2"/>
                <c:tx>
                  <c:v>TSS (g/L)_0.1</c:v>
                </c:tx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0.59000000000000163</c:v>
                    </c:pt>
                    <c:pt idx="1">
                      <c:v>0.72000000000000952</c:v>
                    </c:pt>
                    <c:pt idx="2">
                      <c:v>0.73000000000000842</c:v>
                    </c:pt>
                    <c:pt idx="3">
                      <c:v>0.4749999999999921</c:v>
                    </c:pt>
                    <c:pt idx="4">
                      <c:v>0.32000000000000917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3C6-4DAC-85F5-1D902BC87C43}"/>
                  </c:ext>
                </c:extLst>
              </c15:ser>
            </c15:filteredScatterSeries>
            <c15:filteredScatterSeries>
              <c15:ser>
                <c:idx val="9"/>
                <c:order val="4"/>
                <c:tx>
                  <c:v>TS (%)_0.1</c:v>
                </c:tx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strLit>
                    <c:ptCount val="5"/>
                    <c:pt idx="0">
                      <c:v>14.9408752307642</c:v>
                    </c:pt>
                    <c:pt idx="1">
                      <c:v>18.0764370502579</c:v>
                    </c:pt>
                    <c:pt idx="2">
                      <c:v>20.0662765915862</c:v>
                    </c:pt>
                    <c:pt idx="3">
                      <c:v>22.5652610865008</c:v>
                    </c:pt>
                    <c:pt idx="4">
                      <c:v>25.1468732499037</c:v>
                    </c:pt>
                  </c:strLit>
                </c:xVal>
                <c:yVal>
                  <c:numLit>
                    <c:formatCode>General</c:formatCode>
                    <c:ptCount val="5"/>
                    <c:pt idx="0">
                      <c:v>29.035872371601734</c:v>
                    </c:pt>
                    <c:pt idx="1">
                      <c:v>29.725239048109145</c:v>
                    </c:pt>
                    <c:pt idx="2">
                      <c:v>28.294552007476685</c:v>
                    </c:pt>
                    <c:pt idx="3">
                      <c:v>27.976876447020381</c:v>
                    </c:pt>
                    <c:pt idx="4">
                      <c:v>27.733217882696081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3C6-4DAC-85F5-1D902BC87C43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6"/>
          <c:tx>
            <c:v>CST (s)_0.1 (%)</c:v>
          </c:tx>
          <c:spPr>
            <a:ln w="28575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chemeClr val="accent6"/>
              </a:solidFill>
              <a:ln w="15875">
                <a:solidFill>
                  <a:schemeClr val="accent6"/>
                </a:solidFill>
              </a:ln>
              <a:effectLst/>
            </c:spPr>
          </c:marker>
          <c:xVal>
            <c:strLit>
              <c:ptCount val="5"/>
              <c:pt idx="0">
                <c:v>14.9408752307642</c:v>
              </c:pt>
              <c:pt idx="1">
                <c:v>18.0764370502579</c:v>
              </c:pt>
              <c:pt idx="2">
                <c:v>20.0662765915862</c:v>
              </c:pt>
              <c:pt idx="3">
                <c:v>22.5652610865008</c:v>
              </c:pt>
              <c:pt idx="4">
                <c:v>25.1468732499037</c:v>
              </c:pt>
            </c:strLit>
          </c:xVal>
          <c:yVal>
            <c:numLit>
              <c:formatCode>General</c:formatCode>
              <c:ptCount val="5"/>
              <c:pt idx="0">
                <c:v>68.2</c:v>
              </c:pt>
              <c:pt idx="1">
                <c:v>64.099999999999994</c:v>
              </c:pt>
              <c:pt idx="2">
                <c:v>63.4</c:v>
              </c:pt>
              <c:pt idx="3">
                <c:v>67.900000000000006</c:v>
              </c:pt>
              <c:pt idx="4">
                <c:v>68.650000000000006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3C6-4DAC-85F5-1D902BC87C43}"/>
            </c:ext>
          </c:extLst>
        </c:ser>
        <c:ser>
          <c:idx val="3"/>
          <c:order val="7"/>
          <c:tx>
            <c:v>TS (%)_0.1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4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Lit>
              <c:formatCode>General</c:formatCode>
              <c:ptCount val="5"/>
              <c:pt idx="0">
                <c:v>29.035872371601734</c:v>
              </c:pt>
              <c:pt idx="1">
                <c:v>29.725239048109145</c:v>
              </c:pt>
              <c:pt idx="2">
                <c:v>28.294552007476685</c:v>
              </c:pt>
              <c:pt idx="3">
                <c:v>27.976876447020381</c:v>
              </c:pt>
              <c:pt idx="4">
                <c:v>27.733217882696081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3C6-4DAC-85F5-1D902BC87C43}"/>
            </c:ext>
          </c:extLst>
        </c:ser>
        <c:ser>
          <c:idx val="2"/>
          <c:order val="8"/>
          <c:tx>
            <c:v>CST (s)_0.2 (%)</c:v>
          </c:tx>
          <c:marker>
            <c:symbol val="triangle"/>
            <c:size val="8"/>
            <c:spPr>
              <a:solidFill>
                <a:schemeClr val="accent6">
                  <a:alpha val="96000"/>
                </a:schemeClr>
              </a:solidFill>
              <a:ln w="15875">
                <a:solidFill>
                  <a:schemeClr val="accent6"/>
                </a:solidFill>
              </a:ln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C6-4DAC-85F5-1D902BC87C43}"/>
            </c:ext>
          </c:extLst>
        </c:ser>
        <c:ser>
          <c:idx val="5"/>
          <c:order val="10"/>
          <c:tx>
            <c:v>TS (%)_0.2 (%)</c:v>
          </c:tx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C6-4DAC-85F5-1D902BC87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  <c:majorUnit val="1"/>
      </c:valAx>
      <c:valAx>
        <c:axId val="799978783"/>
        <c:scaling>
          <c:orientation val="minMax"/>
          <c:max val="1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100"/>
          <c:min val="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1046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1813774705181246"/>
          <c:y val="0.9502111970981254"/>
          <c:w val="0.6394807003757117"/>
          <c:h val="4.978911453204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CST and Cake TS vs Filtrate TSSBench-scale Dewatering 01/10/2025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703569560618051E-2"/>
          <c:y val="0.14704766435883548"/>
          <c:w val="0.84513897978608055"/>
          <c:h val="0.72091082527855677"/>
        </c:manualLayout>
      </c:layout>
      <c:scatterChart>
        <c:scatterStyle val="lineMarker"/>
        <c:varyColors val="0"/>
        <c:ser>
          <c:idx val="0"/>
          <c:order val="0"/>
          <c:tx>
            <c:v>CST (s)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'01_10_2025'!$A$97:$A$102</c:f>
              <c:numCache>
                <c:formatCode>0.00</c:formatCode>
                <c:ptCount val="6"/>
                <c:pt idx="0">
                  <c:v>18.431928310812751</c:v>
                </c:pt>
                <c:pt idx="1">
                  <c:v>20.461092512461455</c:v>
                </c:pt>
                <c:pt idx="2">
                  <c:v>22.308272429910605</c:v>
                </c:pt>
                <c:pt idx="3">
                  <c:v>24.307679476896674</c:v>
                </c:pt>
                <c:pt idx="4">
                  <c:v>26.159896237457886</c:v>
                </c:pt>
              </c:numCache>
            </c:numRef>
          </c:xVal>
          <c:yVal>
            <c:numRef>
              <c:f>'01_10_2025'!$C$97:$C$102</c:f>
              <c:numCache>
                <c:formatCode>0.0</c:formatCode>
                <c:ptCount val="6"/>
                <c:pt idx="0">
                  <c:v>110.7</c:v>
                </c:pt>
                <c:pt idx="1">
                  <c:v>105</c:v>
                </c:pt>
                <c:pt idx="2">
                  <c:v>53.4</c:v>
                </c:pt>
                <c:pt idx="3">
                  <c:v>76.099999999999994</c:v>
                </c:pt>
                <c:pt idx="4">
                  <c:v>77.099999999999994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9-487F-AD3A-9402626940CB}"/>
            </c:ext>
          </c:extLst>
        </c:ser>
        <c:ser>
          <c:idx val="1"/>
          <c:order val="1"/>
          <c:tx>
            <c:v>CAKE TS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'01_10_2025'!$A$97:$A$102</c:f>
              <c:numCache>
                <c:formatCode>0.00</c:formatCode>
                <c:ptCount val="6"/>
                <c:pt idx="0">
                  <c:v>18.431928310812751</c:v>
                </c:pt>
                <c:pt idx="1">
                  <c:v>20.461092512461455</c:v>
                </c:pt>
                <c:pt idx="2">
                  <c:v>22.308272429910605</c:v>
                </c:pt>
                <c:pt idx="3">
                  <c:v>24.307679476896674</c:v>
                </c:pt>
                <c:pt idx="4">
                  <c:v>26.159896237457886</c:v>
                </c:pt>
              </c:numCache>
            </c:numRef>
          </c:xVal>
          <c:yVal>
            <c:numRef>
              <c:f>'01_10_2025'!$D$97:$D$102</c:f>
              <c:numCache>
                <c:formatCode>0.0</c:formatCode>
                <c:ptCount val="6"/>
                <c:pt idx="0">
                  <c:v>28.275563623167017</c:v>
                </c:pt>
                <c:pt idx="1">
                  <c:v>28.385703727185955</c:v>
                </c:pt>
                <c:pt idx="2">
                  <c:v>29.738162187277691</c:v>
                </c:pt>
                <c:pt idx="3">
                  <c:v>29.070051811578828</c:v>
                </c:pt>
                <c:pt idx="4">
                  <c:v>30.89843613042455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9-487F-AD3A-94026269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375055"/>
        <c:axId val="1964376975"/>
      </c:scatterChart>
      <c:scatterChart>
        <c:scatterStyle val="lineMarker"/>
        <c:varyColors val="0"/>
        <c:ser>
          <c:idx val="2"/>
          <c:order val="2"/>
          <c:tx>
            <c:v>FILTRATE TSS (mg/L)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'01_10_2025'!$A$97:$A$102</c:f>
              <c:numCache>
                <c:formatCode>0.00</c:formatCode>
                <c:ptCount val="6"/>
                <c:pt idx="0">
                  <c:v>18.431928310812751</c:v>
                </c:pt>
                <c:pt idx="1">
                  <c:v>20.461092512461455</c:v>
                </c:pt>
                <c:pt idx="2">
                  <c:v>22.308272429910605</c:v>
                </c:pt>
                <c:pt idx="3">
                  <c:v>24.307679476896674</c:v>
                </c:pt>
                <c:pt idx="4">
                  <c:v>26.159896237457886</c:v>
                </c:pt>
              </c:numCache>
            </c:numRef>
          </c:xVal>
          <c:yVal>
            <c:numRef>
              <c:f>'01_10_2025'!$E$97:$E$102</c:f>
              <c:numCache>
                <c:formatCode>0.0</c:formatCode>
                <c:ptCount val="6"/>
                <c:pt idx="0">
                  <c:v>1109.9999999999998</c:v>
                </c:pt>
                <c:pt idx="1">
                  <c:v>945.00000000000693</c:v>
                </c:pt>
                <c:pt idx="2">
                  <c:v>860.00000000001626</c:v>
                </c:pt>
                <c:pt idx="3">
                  <c:v>755.00000000000568</c:v>
                </c:pt>
                <c:pt idx="4">
                  <c:v>860.00000000000523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9-487F-AD3A-94026269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75856"/>
        <c:axId val="81569616"/>
      </c:scatterChart>
      <c:valAx>
        <c:axId val="1964375055"/>
        <c:scaling>
          <c:orientation val="minMax"/>
          <c:max val="30"/>
          <c:min val="1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Actual added Polymer 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6975"/>
        <c:crosses val="autoZero"/>
        <c:crossBetween val="midCat"/>
      </c:valAx>
      <c:valAx>
        <c:axId val="1964376975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CST (s)/</a:t>
                </a:r>
                <a:r>
                  <a:rPr lang="en-US" b="1" baseline="0"/>
                  <a:t> TS(%)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5055"/>
        <c:crosses val="autoZero"/>
        <c:crossBetween val="midCat"/>
        <c:majorUnit val="15"/>
      </c:valAx>
      <c:valAx>
        <c:axId val="81569616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TSS (mg/L)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75856"/>
        <c:crosses val="max"/>
        <c:crossBetween val="midCat"/>
      </c:valAx>
      <c:valAx>
        <c:axId val="815758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156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Polymer</a:t>
            </a:r>
            <a:r>
              <a:rPr lang="en-US" sz="1600" baseline="0"/>
              <a:t> Dose (lb/Ton) (overall plant data)</a:t>
            </a:r>
            <a:endParaRPr lang="en-US" sz="1600"/>
          </a:p>
        </c:rich>
      </c:tx>
      <c:layout>
        <c:manualLayout>
          <c:xMode val="edge"/>
          <c:yMode val="edge"/>
          <c:x val="0.42481368251393853"/>
          <c:y val="2.5611009464238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218126465172956E-2"/>
          <c:y val="0.21941008225351688"/>
          <c:w val="0.92640694407074642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74-4162-B17E-C2722F7FC77E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25400" cap="rnd">
                <a:noFill/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74-4162-B17E-C2722F7FC77E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74-4162-B17E-C2722F7FC77E}"/>
            </c:ext>
          </c:extLst>
        </c:ser>
        <c:ser>
          <c:idx val="3"/>
          <c:order val="3"/>
          <c:tx>
            <c:v>Grab Plant PD (lb/Ton)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874-4162-B17E-C2722F7FC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30"/>
      </c:valAx>
      <c:valAx>
        <c:axId val="175399444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1.0181174404155996E-2"/>
              <c:y val="0.266487968528047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7592361121795531E-2"/>
          <c:y val="9.7558424081492318E-2"/>
          <c:w val="0.92831039996417619"/>
          <c:h val="9.5084363179457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CST and Cake TS vs Filtrate TSSBench-scale Dewatering 10/16/2024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154381789952481E-2"/>
          <c:y val="0.13466597305397585"/>
          <c:w val="0.84513897978608055"/>
          <c:h val="0.72091082527855677"/>
        </c:manualLayout>
      </c:layout>
      <c:scatterChart>
        <c:scatterStyle val="lineMarker"/>
        <c:varyColors val="0"/>
        <c:ser>
          <c:idx val="0"/>
          <c:order val="0"/>
          <c:tx>
            <c:v>CST (s)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'01_02_2025'!$A$97:$A$102</c:f>
              <c:numCache>
                <c:formatCode>0.00</c:formatCode>
                <c:ptCount val="6"/>
                <c:pt idx="0">
                  <c:v>16.998850350391223</c:v>
                </c:pt>
                <c:pt idx="1">
                  <c:v>19.0551448807066</c:v>
                </c:pt>
                <c:pt idx="2">
                  <c:v>21.497774286692305</c:v>
                </c:pt>
                <c:pt idx="3">
                  <c:v>23.423112392560473</c:v>
                </c:pt>
                <c:pt idx="4">
                  <c:v>25.255675568108494</c:v>
                </c:pt>
              </c:numCache>
            </c:numRef>
          </c:xVal>
          <c:yVal>
            <c:numRef>
              <c:f>'01_02_2025'!$C$97:$C$102</c:f>
              <c:numCache>
                <c:formatCode>0.0</c:formatCode>
                <c:ptCount val="6"/>
                <c:pt idx="0">
                  <c:v>105.5</c:v>
                </c:pt>
                <c:pt idx="1">
                  <c:v>71</c:v>
                </c:pt>
                <c:pt idx="2">
                  <c:v>55</c:v>
                </c:pt>
                <c:pt idx="3">
                  <c:v>32.4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9F-446A-AA2B-E4BC5A45D14D}"/>
            </c:ext>
          </c:extLst>
        </c:ser>
        <c:ser>
          <c:idx val="1"/>
          <c:order val="1"/>
          <c:tx>
            <c:v>CAKE TS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'01_02_2025'!$A$97:$A$102</c:f>
              <c:numCache>
                <c:formatCode>0.00</c:formatCode>
                <c:ptCount val="6"/>
                <c:pt idx="0">
                  <c:v>16.998850350391223</c:v>
                </c:pt>
                <c:pt idx="1">
                  <c:v>19.0551448807066</c:v>
                </c:pt>
                <c:pt idx="2">
                  <c:v>21.497774286692305</c:v>
                </c:pt>
                <c:pt idx="3">
                  <c:v>23.423112392560473</c:v>
                </c:pt>
                <c:pt idx="4">
                  <c:v>25.255675568108494</c:v>
                </c:pt>
              </c:numCache>
            </c:numRef>
          </c:xVal>
          <c:yVal>
            <c:numRef>
              <c:f>'01_02_2025'!$D$97:$D$102</c:f>
              <c:numCache>
                <c:formatCode>0.0</c:formatCode>
                <c:ptCount val="6"/>
                <c:pt idx="0">
                  <c:v>27.289510868916494</c:v>
                </c:pt>
                <c:pt idx="1">
                  <c:v>28.090266313217189</c:v>
                </c:pt>
                <c:pt idx="2">
                  <c:v>29.599999326208483</c:v>
                </c:pt>
                <c:pt idx="3">
                  <c:v>28.224730412204774</c:v>
                </c:pt>
                <c:pt idx="4">
                  <c:v>28.639276929543215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F-446A-AA2B-E4BC5A45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375055"/>
        <c:axId val="1964376975"/>
      </c:scatterChart>
      <c:scatterChart>
        <c:scatterStyle val="lineMarker"/>
        <c:varyColors val="0"/>
        <c:ser>
          <c:idx val="2"/>
          <c:order val="2"/>
          <c:tx>
            <c:v>FILTRATE TSS (mg/L)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'01_02_2025'!$A$97:$A$102</c:f>
              <c:numCache>
                <c:formatCode>0.00</c:formatCode>
                <c:ptCount val="6"/>
                <c:pt idx="0">
                  <c:v>16.998850350391223</c:v>
                </c:pt>
                <c:pt idx="1">
                  <c:v>19.0551448807066</c:v>
                </c:pt>
                <c:pt idx="2">
                  <c:v>21.497774286692305</c:v>
                </c:pt>
                <c:pt idx="3">
                  <c:v>23.423112392560473</c:v>
                </c:pt>
                <c:pt idx="4">
                  <c:v>25.255675568108494</c:v>
                </c:pt>
              </c:numCache>
            </c:numRef>
          </c:xVal>
          <c:yVal>
            <c:numRef>
              <c:f>'01_02_2025'!$E$97:$E$102</c:f>
              <c:numCache>
                <c:formatCode>0.0</c:formatCode>
                <c:ptCount val="6"/>
                <c:pt idx="0">
                  <c:v>945.00000000000693</c:v>
                </c:pt>
                <c:pt idx="1">
                  <c:v>789.99999999999068</c:v>
                </c:pt>
                <c:pt idx="2">
                  <c:v>694.99999999999011</c:v>
                </c:pt>
                <c:pt idx="3">
                  <c:v>614.99999999999886</c:v>
                </c:pt>
                <c:pt idx="4">
                  <c:v>380.00000000000256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F-446A-AA2B-E4BC5A45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75856"/>
        <c:axId val="81569616"/>
      </c:scatterChart>
      <c:valAx>
        <c:axId val="1964375055"/>
        <c:scaling>
          <c:orientation val="minMax"/>
          <c:max val="26"/>
          <c:min val="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Actual added Polymer 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6975"/>
        <c:crosses val="autoZero"/>
        <c:crossBetween val="midCat"/>
      </c:valAx>
      <c:valAx>
        <c:axId val="1964376975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CST (s)/</a:t>
                </a:r>
                <a:r>
                  <a:rPr lang="en-US" b="1" baseline="0"/>
                  <a:t> TS(%)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75055"/>
        <c:crosses val="autoZero"/>
        <c:crossBetween val="midCat"/>
        <c:majorUnit val="15"/>
      </c:valAx>
      <c:valAx>
        <c:axId val="81569616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TSS (mg/L)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75856"/>
        <c:crosses val="max"/>
        <c:crossBetween val="midCat"/>
      </c:valAx>
      <c:valAx>
        <c:axId val="815758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156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Polymer</a:t>
            </a:r>
            <a:r>
              <a:rPr lang="en-US" sz="1600" baseline="0"/>
              <a:t> Dose (lb/Ton) (overall plant data)</a:t>
            </a:r>
            <a:endParaRPr lang="en-US" sz="1600"/>
          </a:p>
        </c:rich>
      </c:tx>
      <c:layout>
        <c:manualLayout>
          <c:xMode val="edge"/>
          <c:yMode val="edge"/>
          <c:x val="0.42481368251393853"/>
          <c:y val="2.5611009464238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021744164163812E-2"/>
          <c:y val="0.21941008225351688"/>
          <c:w val="0.95460331146536714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1-4AE4-AD19-5113BA3E742B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trendline>
            <c:spPr>
              <a:ln w="25400" cap="rnd">
                <a:noFill/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1-4AE4-AD19-5113BA3E742B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1-4AE4-AD19-5113BA3E742B}"/>
            </c:ext>
          </c:extLst>
        </c:ser>
        <c:ser>
          <c:idx val="3"/>
          <c:order val="3"/>
          <c:tx>
            <c:v>Grab Plant PD (lb/Ton)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6F1-4AE4-AD19-5113BA3E7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30"/>
      </c:valAx>
      <c:valAx>
        <c:axId val="175399444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Polymer Dose (lb/Ton)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994813595725891E-2"/>
              <c:y val="0.211851535364495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7592361121795531E-2"/>
          <c:y val="9.7558424081492318E-2"/>
          <c:w val="0.92831039996417619"/>
          <c:h val="9.5084363179457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/>
              <a:t>Cake TS (%) (overall plant data)</a:t>
            </a:r>
            <a:endParaRPr lang="en-US" sz="1400"/>
          </a:p>
        </c:rich>
      </c:tx>
      <c:layout>
        <c:manualLayout>
          <c:xMode val="edge"/>
          <c:yMode val="edge"/>
          <c:x val="0.44351792718989058"/>
          <c:y val="1.829643089690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973958481568041E-2"/>
          <c:y val="0.25163627097885394"/>
          <c:w val="0.96313176326678207"/>
          <c:h val="0.55463002518344728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50-46D1-AA81-AD12B5686CA0}"/>
            </c:ext>
          </c:extLst>
        </c:ser>
        <c:ser>
          <c:idx val="2"/>
          <c:order val="1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50-46D1-AA81-AD12B5686CA0}"/>
            </c:ext>
          </c:extLst>
        </c:ser>
        <c:ser>
          <c:idx val="3"/>
          <c:order val="2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50-46D1-AA81-AD12B5686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  <c:minorUnit val="6"/>
      </c:valAx>
      <c:valAx>
        <c:axId val="1753994448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 Cake Ts(%)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  <c:majorUnit val="5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7.9253875624254636E-2"/>
          <c:y val="9.8535785311713323E-2"/>
          <c:w val="0.82985002389994222"/>
          <c:h val="0.10380073464965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Filtrate (mgTSS/L) (overall plant data)</a:t>
            </a:r>
            <a:endParaRPr lang="en-US"/>
          </a:p>
        </c:rich>
      </c:tx>
      <c:layout>
        <c:manualLayout>
          <c:xMode val="edge"/>
          <c:yMode val="edge"/>
          <c:x val="0.37261993518563341"/>
          <c:y val="2.4683708103579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767645740967833E-2"/>
          <c:y val="0.21347517730496454"/>
          <c:w val="0.96150398547306859"/>
          <c:h val="0.5808578892177485"/>
        </c:manualLayout>
      </c:layout>
      <c:scatterChart>
        <c:scatterStyle val="lineMarker"/>
        <c:varyColors val="0"/>
        <c:ser>
          <c:idx val="0"/>
          <c:order val="0"/>
          <c:tx>
            <c:v>Plant Polymer Dose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CE-4C11-AD58-A27AB1C8537A}"/>
            </c:ext>
          </c:extLst>
        </c:ser>
        <c:ser>
          <c:idx val="1"/>
          <c:order val="1"/>
          <c:tx>
            <c:v>Optimal Polymer Dose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CE-4C11-AD58-A27AB1C8537A}"/>
            </c:ext>
          </c:extLst>
        </c:ser>
        <c:ser>
          <c:idx val="2"/>
          <c:order val="2"/>
          <c:tx>
            <c:v>Eco optimal polymer dose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CE-4C11-AD58-A27AB1C85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91952"/>
        <c:axId val="1753994448"/>
      </c:scatterChart>
      <c:valAx>
        <c:axId val="1753991952"/>
        <c:scaling>
          <c:orientation val="minMax"/>
          <c:max val="45710"/>
          <c:min val="44485"/>
        </c:scaling>
        <c:delete val="0"/>
        <c:axPos val="b"/>
        <c:numFmt formatCode="m/d/yy;@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4448"/>
        <c:crosses val="autoZero"/>
        <c:crossBetween val="midCat"/>
        <c:majorUnit val="30"/>
      </c:valAx>
      <c:valAx>
        <c:axId val="1753994448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Filtrate (mgTSS/L)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91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10807463772723741"/>
          <c:w val="0.87678720257310228"/>
          <c:h val="8.7070470868700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- 05_28_2024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'06_04_2024'!$K$49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'06_04_2024'!$I$33:$I$38</c:f>
              <c:numCache>
                <c:formatCode>0.00</c:formatCode>
                <c:ptCount val="6"/>
                <c:pt idx="0">
                  <c:v>15.611383604166958</c:v>
                </c:pt>
                <c:pt idx="1">
                  <c:v>18.690342962486749</c:v>
                </c:pt>
                <c:pt idx="2">
                  <c:v>20.064368946202464</c:v>
                </c:pt>
                <c:pt idx="3">
                  <c:v>22.138863392645668</c:v>
                </c:pt>
                <c:pt idx="4">
                  <c:v>25.33428335962968</c:v>
                </c:pt>
                <c:pt idx="5">
                  <c:v>0</c:v>
                </c:pt>
              </c:numCache>
            </c:numRef>
          </c:xVal>
          <c:yVal>
            <c:numRef>
              <c:f>'06_04_2024'!$K$50:$K$55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A-4441-9B26-2449F885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'06_04_2024'!$J$60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'06_04_2024'!$I$33:$I$38</c:f>
              <c:numCache>
                <c:formatCode>0.00</c:formatCode>
                <c:ptCount val="6"/>
                <c:pt idx="0">
                  <c:v>15.611383604166958</c:v>
                </c:pt>
                <c:pt idx="1">
                  <c:v>18.690342962486749</c:v>
                </c:pt>
                <c:pt idx="2">
                  <c:v>20.064368946202464</c:v>
                </c:pt>
                <c:pt idx="3">
                  <c:v>22.138863392645668</c:v>
                </c:pt>
                <c:pt idx="4">
                  <c:v>25.33428335962968</c:v>
                </c:pt>
                <c:pt idx="5">
                  <c:v>0</c:v>
                </c:pt>
              </c:numCache>
            </c:numRef>
          </c:xVal>
          <c:yVal>
            <c:numRef>
              <c:f>'06_04_2024'!$J$61:$J$65</c:f>
              <c:numCache>
                <c:formatCode>0.00</c:formatCode>
                <c:ptCount val="5"/>
                <c:pt idx="0">
                  <c:v>-23.552381713214679</c:v>
                </c:pt>
                <c:pt idx="1">
                  <c:v>-24.027254559393427</c:v>
                </c:pt>
                <c:pt idx="2">
                  <c:v>-23.98896010675648</c:v>
                </c:pt>
                <c:pt idx="3">
                  <c:v>-24.06077205948921</c:v>
                </c:pt>
                <c:pt idx="4">
                  <c:v>-24.371760780161498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A-4441-9B26-2449F885BCA9}"/>
            </c:ext>
          </c:extLst>
        </c:ser>
        <c:ser>
          <c:idx val="2"/>
          <c:order val="2"/>
          <c:tx>
            <c:strRef>
              <c:f>'06_04_2024'!$B$40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'06_04_2024'!$I$33:$I$38</c:f>
              <c:numCache>
                <c:formatCode>0.00</c:formatCode>
                <c:ptCount val="6"/>
                <c:pt idx="0">
                  <c:v>15.611383604166958</c:v>
                </c:pt>
                <c:pt idx="1">
                  <c:v>18.690342962486749</c:v>
                </c:pt>
                <c:pt idx="2">
                  <c:v>20.064368946202464</c:v>
                </c:pt>
                <c:pt idx="3">
                  <c:v>22.138863392645668</c:v>
                </c:pt>
                <c:pt idx="4">
                  <c:v>25.33428335962968</c:v>
                </c:pt>
                <c:pt idx="5">
                  <c:v>0</c:v>
                </c:pt>
              </c:numCache>
            </c:numRef>
          </c:xVal>
          <c:yVal>
            <c:numRef>
              <c:f>'06_04_2024'!$B$41:$B$46</c:f>
              <c:numCache>
                <c:formatCode>0.00</c:formatCode>
                <c:ptCount val="6"/>
                <c:pt idx="0">
                  <c:v>83.3</c:v>
                </c:pt>
                <c:pt idx="1">
                  <c:v>66.599999999999994</c:v>
                </c:pt>
                <c:pt idx="2">
                  <c:v>55.5</c:v>
                </c:pt>
                <c:pt idx="3">
                  <c:v>46.1</c:v>
                </c:pt>
                <c:pt idx="4">
                  <c:v>44.7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A-4441-9B26-2449F885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85"/>
          <c:min val="4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FB3-41D3-ADE9-DF7C17F53CD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FB3-41D3-ADE9-DF7C17F53CD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FB3-41D3-ADE9-DF7C17F53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- 05_28_2024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'06_03_2024'!$K$49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'06_03_2024'!$I$33:$I$38</c:f>
              <c:numCache>
                <c:formatCode>0.00</c:formatCode>
                <c:ptCount val="6"/>
                <c:pt idx="0">
                  <c:v>14.940875230764194</c:v>
                </c:pt>
                <c:pt idx="1">
                  <c:v>18.076437050257859</c:v>
                </c:pt>
                <c:pt idx="2">
                  <c:v>20.066276591586249</c:v>
                </c:pt>
                <c:pt idx="3">
                  <c:v>22.565261086500762</c:v>
                </c:pt>
                <c:pt idx="4">
                  <c:v>25.146873249903731</c:v>
                </c:pt>
                <c:pt idx="5">
                  <c:v>0</c:v>
                </c:pt>
              </c:numCache>
            </c:numRef>
          </c:xVal>
          <c:yVal>
            <c:numRef>
              <c:f>'06_03_2024'!$K$50:$K$55</c:f>
              <c:numCache>
                <c:formatCode>0.00</c:formatCode>
                <c:ptCount val="6"/>
                <c:pt idx="0">
                  <c:v>0.59000000000000163</c:v>
                </c:pt>
                <c:pt idx="1">
                  <c:v>0.72000000000000952</c:v>
                </c:pt>
                <c:pt idx="2">
                  <c:v>0.73000000000000842</c:v>
                </c:pt>
                <c:pt idx="3">
                  <c:v>0.4749999999999921</c:v>
                </c:pt>
                <c:pt idx="4">
                  <c:v>0.32000000000000917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C-4AE4-A6E0-F569CB0D0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'06_03_2024'!$J$60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'06_03_2024'!$I$33:$I$38</c:f>
              <c:numCache>
                <c:formatCode>0.00</c:formatCode>
                <c:ptCount val="6"/>
                <c:pt idx="0">
                  <c:v>14.940875230764194</c:v>
                </c:pt>
                <c:pt idx="1">
                  <c:v>18.076437050257859</c:v>
                </c:pt>
                <c:pt idx="2">
                  <c:v>20.066276591586249</c:v>
                </c:pt>
                <c:pt idx="3">
                  <c:v>22.565261086500762</c:v>
                </c:pt>
                <c:pt idx="4">
                  <c:v>25.146873249903731</c:v>
                </c:pt>
                <c:pt idx="5">
                  <c:v>0</c:v>
                </c:pt>
              </c:numCache>
            </c:numRef>
          </c:xVal>
          <c:yVal>
            <c:numRef>
              <c:f>'06_03_2024'!$J$61:$J$66</c:f>
              <c:numCache>
                <c:formatCode>0.00</c:formatCode>
                <c:ptCount val="6"/>
                <c:pt idx="0">
                  <c:v>29.035872371601734</c:v>
                </c:pt>
                <c:pt idx="1">
                  <c:v>29.725239048109145</c:v>
                </c:pt>
                <c:pt idx="2">
                  <c:v>26.581417624632017</c:v>
                </c:pt>
                <c:pt idx="3">
                  <c:v>27.976876447020381</c:v>
                </c:pt>
                <c:pt idx="4">
                  <c:v>28.294552007476685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C-4AE4-A6E0-F569CB0D03CD}"/>
            </c:ext>
          </c:extLst>
        </c:ser>
        <c:ser>
          <c:idx val="2"/>
          <c:order val="2"/>
          <c:tx>
            <c:strRef>
              <c:f>'06_03_2024'!$B$40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'06_03_2024'!$I$33:$I$38</c:f>
              <c:numCache>
                <c:formatCode>0.00</c:formatCode>
                <c:ptCount val="6"/>
                <c:pt idx="0">
                  <c:v>14.940875230764194</c:v>
                </c:pt>
                <c:pt idx="1">
                  <c:v>18.076437050257859</c:v>
                </c:pt>
                <c:pt idx="2">
                  <c:v>20.066276591586249</c:v>
                </c:pt>
                <c:pt idx="3">
                  <c:v>22.565261086500762</c:v>
                </c:pt>
                <c:pt idx="4">
                  <c:v>25.146873249903731</c:v>
                </c:pt>
                <c:pt idx="5">
                  <c:v>0</c:v>
                </c:pt>
              </c:numCache>
            </c:numRef>
          </c:xVal>
          <c:yVal>
            <c:numRef>
              <c:f>'06_03_2024'!$B$41:$B$46</c:f>
              <c:numCache>
                <c:formatCode>0.00</c:formatCode>
                <c:ptCount val="6"/>
                <c:pt idx="0">
                  <c:v>68.2</c:v>
                </c:pt>
                <c:pt idx="1">
                  <c:v>64.099999999999994</c:v>
                </c:pt>
                <c:pt idx="2">
                  <c:v>63.4</c:v>
                </c:pt>
                <c:pt idx="3">
                  <c:v>67.900000000000006</c:v>
                </c:pt>
                <c:pt idx="4">
                  <c:v>68.650000000000006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FC-4AE4-A6E0-F569CB0D0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  <c:max val="1.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ax val="70"/>
          <c:min val="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D5-497E-935E-432390B47EF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D5-497E-935E-432390B47EF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6D5-497E-935E-432390B47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- 05_28_2024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'05_28_2024'!$K$49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'05_28_2024'!$I$33:$I$38</c:f>
              <c:numCache>
                <c:formatCode>0.00</c:formatCode>
                <c:ptCount val="6"/>
                <c:pt idx="0">
                  <c:v>17.01308560441484</c:v>
                </c:pt>
                <c:pt idx="1">
                  <c:v>18.736554961438362</c:v>
                </c:pt>
                <c:pt idx="2">
                  <c:v>21.415013228658076</c:v>
                </c:pt>
                <c:pt idx="3">
                  <c:v>23.899659713224764</c:v>
                </c:pt>
                <c:pt idx="4">
                  <c:v>26.603128665134808</c:v>
                </c:pt>
                <c:pt idx="5">
                  <c:v>29.139709765458161</c:v>
                </c:pt>
              </c:numCache>
            </c:numRef>
          </c:xVal>
          <c:yVal>
            <c:numRef>
              <c:f>'05_28_2024'!$K$50:$K$55</c:f>
              <c:numCache>
                <c:formatCode>0.00</c:formatCode>
                <c:ptCount val="6"/>
                <c:pt idx="0">
                  <c:v>1.1900000000000022</c:v>
                </c:pt>
                <c:pt idx="1">
                  <c:v>1.1450000000000071</c:v>
                </c:pt>
                <c:pt idx="2">
                  <c:v>0.98499999999999144</c:v>
                </c:pt>
                <c:pt idx="3">
                  <c:v>0.70500000000001117</c:v>
                </c:pt>
                <c:pt idx="4">
                  <c:v>0.80999999999999961</c:v>
                </c:pt>
                <c:pt idx="5">
                  <c:v>0.4249999999999976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F-4666-B1F0-D176D0F3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'05_28_2024'!$J$60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'05_28_2024'!$I$33:$I$38</c:f>
              <c:numCache>
                <c:formatCode>0.00</c:formatCode>
                <c:ptCount val="6"/>
                <c:pt idx="0">
                  <c:v>17.01308560441484</c:v>
                </c:pt>
                <c:pt idx="1">
                  <c:v>18.736554961438362</c:v>
                </c:pt>
                <c:pt idx="2">
                  <c:v>21.415013228658076</c:v>
                </c:pt>
                <c:pt idx="3">
                  <c:v>23.899659713224764</c:v>
                </c:pt>
                <c:pt idx="4">
                  <c:v>26.603128665134808</c:v>
                </c:pt>
                <c:pt idx="5">
                  <c:v>29.139709765458161</c:v>
                </c:pt>
              </c:numCache>
            </c:numRef>
          </c:xVal>
          <c:yVal>
            <c:numRef>
              <c:f>'05_28_2024'!$J$61:$J$66</c:f>
              <c:numCache>
                <c:formatCode>0.00</c:formatCode>
                <c:ptCount val="6"/>
                <c:pt idx="0">
                  <c:v>29.598898678557379</c:v>
                </c:pt>
                <c:pt idx="1">
                  <c:v>28.355577540132838</c:v>
                </c:pt>
                <c:pt idx="2">
                  <c:v>28.688697895766396</c:v>
                </c:pt>
                <c:pt idx="3">
                  <c:v>29.747240591983005</c:v>
                </c:pt>
                <c:pt idx="4">
                  <c:v>26.087428899711739</c:v>
                </c:pt>
                <c:pt idx="5">
                  <c:v>29.540313345138038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FF-4666-B1F0-D176D0F3536E}"/>
            </c:ext>
          </c:extLst>
        </c:ser>
        <c:ser>
          <c:idx val="2"/>
          <c:order val="2"/>
          <c:tx>
            <c:strRef>
              <c:f>'05_28_2024'!$B$40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'05_28_2024'!$I$33:$I$38</c:f>
              <c:numCache>
                <c:formatCode>0.00</c:formatCode>
                <c:ptCount val="6"/>
                <c:pt idx="0">
                  <c:v>17.01308560441484</c:v>
                </c:pt>
                <c:pt idx="1">
                  <c:v>18.736554961438362</c:v>
                </c:pt>
                <c:pt idx="2">
                  <c:v>21.415013228658076</c:v>
                </c:pt>
                <c:pt idx="3">
                  <c:v>23.899659713224764</c:v>
                </c:pt>
                <c:pt idx="4">
                  <c:v>26.603128665134808</c:v>
                </c:pt>
                <c:pt idx="5">
                  <c:v>29.139709765458161</c:v>
                </c:pt>
              </c:numCache>
            </c:numRef>
          </c:xVal>
          <c:yVal>
            <c:numRef>
              <c:f>'05_28_2024'!$B$41:$B$46</c:f>
              <c:numCache>
                <c:formatCode>0.00</c:formatCode>
                <c:ptCount val="6"/>
                <c:pt idx="0">
                  <c:v>121.6</c:v>
                </c:pt>
                <c:pt idx="1">
                  <c:v>114.43333333333334</c:v>
                </c:pt>
                <c:pt idx="2">
                  <c:v>55.6</c:v>
                </c:pt>
                <c:pt idx="3">
                  <c:v>49.2</c:v>
                </c:pt>
                <c:pt idx="4">
                  <c:v>40.549999999999997</c:v>
                </c:pt>
                <c:pt idx="5">
                  <c:v>39.833333333333336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FF-4666-B1F0-D176D0F3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in val="16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657-4ED4-928E-3EE81A85FD9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657-4ED4-928E-3EE81A85FD9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657-4ED4-928E-3EE81A85F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Bench Scale DW - 05_21_2024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725820513328979E-2"/>
          <c:y val="0.11848920481329712"/>
          <c:w val="0.83585995594787188"/>
          <c:h val="0.72138342540374978"/>
        </c:manualLayout>
      </c:layout>
      <c:scatterChart>
        <c:scatterStyle val="lineMarker"/>
        <c:varyColors val="0"/>
        <c:ser>
          <c:idx val="1"/>
          <c:order val="1"/>
          <c:tx>
            <c:strRef>
              <c:f>'05_21_2024'!$K$49</c:f>
              <c:strCache>
                <c:ptCount val="1"/>
                <c:pt idx="0">
                  <c:v>TSS (g TSS/L)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'05_21_2024'!$I$33:$I$38</c:f>
              <c:numCache>
                <c:formatCode>0.00</c:formatCode>
                <c:ptCount val="6"/>
                <c:pt idx="0">
                  <c:v>20.007722912874286</c:v>
                </c:pt>
                <c:pt idx="1">
                  <c:v>23.620471108633257</c:v>
                </c:pt>
                <c:pt idx="2">
                  <c:v>27.258618248517067</c:v>
                </c:pt>
                <c:pt idx="3">
                  <c:v>29.38051419007007</c:v>
                </c:pt>
                <c:pt idx="4">
                  <c:v>32.741633515543377</c:v>
                </c:pt>
                <c:pt idx="5">
                  <c:v>34.901150296083991</c:v>
                </c:pt>
              </c:numCache>
            </c:numRef>
          </c:xVal>
          <c:yVal>
            <c:numRef>
              <c:f>'05_21_2024'!$K$50:$K$55</c:f>
              <c:numCache>
                <c:formatCode>0.00</c:formatCode>
                <c:ptCount val="6"/>
                <c:pt idx="0">
                  <c:v>1.0400000000000076</c:v>
                </c:pt>
                <c:pt idx="1">
                  <c:v>0.83499999999999686</c:v>
                </c:pt>
                <c:pt idx="2">
                  <c:v>0.75999999999999401</c:v>
                </c:pt>
                <c:pt idx="3">
                  <c:v>0.39500000000000091</c:v>
                </c:pt>
                <c:pt idx="4">
                  <c:v>0.33499999999999641</c:v>
                </c:pt>
                <c:pt idx="5">
                  <c:v>0.38500000000000201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E-4EF7-B55D-25D82A8F2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78303"/>
        <c:axId val="799978783"/>
      </c:scatterChart>
      <c:scatterChart>
        <c:scatterStyle val="lineMarker"/>
        <c:varyColors val="0"/>
        <c:ser>
          <c:idx val="0"/>
          <c:order val="0"/>
          <c:tx>
            <c:strRef>
              <c:f>'05_21_2024'!$J$60</c:f>
              <c:strCache>
                <c:ptCount val="1"/>
                <c:pt idx="0">
                  <c:v>TS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'05_21_2024'!$I$33:$I$38</c:f>
              <c:numCache>
                <c:formatCode>0.00</c:formatCode>
                <c:ptCount val="6"/>
                <c:pt idx="0">
                  <c:v>20.007722912874286</c:v>
                </c:pt>
                <c:pt idx="1">
                  <c:v>23.620471108633257</c:v>
                </c:pt>
                <c:pt idx="2">
                  <c:v>27.258618248517067</c:v>
                </c:pt>
                <c:pt idx="3">
                  <c:v>29.38051419007007</c:v>
                </c:pt>
                <c:pt idx="4">
                  <c:v>32.741633515543377</c:v>
                </c:pt>
                <c:pt idx="5">
                  <c:v>34.901150296083991</c:v>
                </c:pt>
              </c:numCache>
            </c:numRef>
          </c:xVal>
          <c:yVal>
            <c:numRef>
              <c:f>'05_21_2024'!$J$61:$J$66</c:f>
              <c:numCache>
                <c:formatCode>0.00</c:formatCode>
                <c:ptCount val="6"/>
                <c:pt idx="0">
                  <c:v>30.044321031900687</c:v>
                </c:pt>
                <c:pt idx="1">
                  <c:v>32.889427083420557</c:v>
                </c:pt>
                <c:pt idx="2">
                  <c:v>30.413500298124472</c:v>
                </c:pt>
                <c:pt idx="3">
                  <c:v>30.476847357057935</c:v>
                </c:pt>
                <c:pt idx="4">
                  <c:v>29.734925689014489</c:v>
                </c:pt>
                <c:pt idx="5">
                  <c:v>29.920060485784063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BE-4EF7-B55D-25D82A8F2A37}"/>
            </c:ext>
          </c:extLst>
        </c:ser>
        <c:ser>
          <c:idx val="2"/>
          <c:order val="2"/>
          <c:tx>
            <c:strRef>
              <c:f>'05_21_2024'!$B$40</c:f>
              <c:strCache>
                <c:ptCount val="1"/>
                <c:pt idx="0">
                  <c:v>CST  Sludge (Avrg)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xVal>
            <c:numRef>
              <c:f>'05_21_2024'!$I$33:$I$38</c:f>
              <c:numCache>
                <c:formatCode>0.00</c:formatCode>
                <c:ptCount val="6"/>
                <c:pt idx="0">
                  <c:v>20.007722912874286</c:v>
                </c:pt>
                <c:pt idx="1">
                  <c:v>23.620471108633257</c:v>
                </c:pt>
                <c:pt idx="2">
                  <c:v>27.258618248517067</c:v>
                </c:pt>
                <c:pt idx="3">
                  <c:v>29.38051419007007</c:v>
                </c:pt>
                <c:pt idx="4">
                  <c:v>32.741633515543377</c:v>
                </c:pt>
                <c:pt idx="5">
                  <c:v>34.901150296083991</c:v>
                </c:pt>
              </c:numCache>
            </c:numRef>
          </c:xVal>
          <c:yVal>
            <c:numRef>
              <c:f>'05_21_2024'!$B$41:$B$46</c:f>
              <c:numCache>
                <c:formatCode>0.00</c:formatCode>
                <c:ptCount val="6"/>
                <c:pt idx="0">
                  <c:v>73.233333333333334</c:v>
                </c:pt>
                <c:pt idx="1">
                  <c:v>48</c:v>
                </c:pt>
                <c:pt idx="2">
                  <c:v>46.833333333333336</c:v>
                </c:pt>
                <c:pt idx="3">
                  <c:v>37.733333333333334</c:v>
                </c:pt>
                <c:pt idx="4">
                  <c:v>28.233333333333334</c:v>
                </c:pt>
                <c:pt idx="5">
                  <c:v>28.599999999999998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BE-4EF7-B55D-25D82A8F2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22384"/>
        <c:axId val="485104624"/>
      </c:scatterChart>
      <c:valAx>
        <c:axId val="799978303"/>
        <c:scaling>
          <c:orientation val="minMax"/>
          <c:min val="1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Actual Polymer Added (lb/ton)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783"/>
        <c:crosses val="autoZero"/>
        <c:crossBetween val="midCat"/>
      </c:valAx>
      <c:valAx>
        <c:axId val="799978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TSS (g TSS/L)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978303"/>
        <c:crosses val="autoZero"/>
        <c:crossBetween val="midCat"/>
      </c:valAx>
      <c:valAx>
        <c:axId val="485104624"/>
        <c:scaling>
          <c:orientation val="minMax"/>
          <c:min val="16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CST (s) &amp; Cake TS n(%)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2384"/>
        <c:crosses val="max"/>
        <c:crossBetween val="midCat"/>
      </c:valAx>
      <c:valAx>
        <c:axId val="54582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851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15875809997128"/>
          <c:y val="0.9502111970981254"/>
          <c:w val="0.34972996804747031"/>
          <c:h val="4.9789056535824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last 4 weeks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F5D-40A2-A411-7C4CB3BDB51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F5D-40A2-A411-7C4CB3BDB51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F5D-40A2-A411-7C4CB3BD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249024"/>
        <c:axId val="1908255744"/>
      </c:barChart>
      <c:catAx>
        <c:axId val="19082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55744"/>
        <c:crosses val="autoZero"/>
        <c:auto val="1"/>
        <c:lblAlgn val="ctr"/>
        <c:lblOffset val="100"/>
        <c:noMultiLvlLbl val="1"/>
      </c:catAx>
      <c:valAx>
        <c:axId val="190825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90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image" Target="../media/image3.png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173181</xdr:colOff>
      <xdr:row>109</xdr:row>
      <xdr:rowOff>123535</xdr:rowOff>
    </xdr:from>
    <xdr:to>
      <xdr:col>21</xdr:col>
      <xdr:colOff>69271</xdr:colOff>
      <xdr:row>124</xdr:row>
      <xdr:rowOff>95826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7453D234-377C-4958-84B7-A4CC90F42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184726</xdr:colOff>
      <xdr:row>125</xdr:row>
      <xdr:rowOff>146626</xdr:rowOff>
    </xdr:from>
    <xdr:to>
      <xdr:col>21</xdr:col>
      <xdr:colOff>80816</xdr:colOff>
      <xdr:row>140</xdr:row>
      <xdr:rowOff>153553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AC2E2FF2-D918-400A-91A5-AF3985633DAE}"/>
            </a:ext>
            <a:ext uri="{147F2762-F138-4A5C-976F-8EAC2B608ADB}">
              <a16:predDERef xmlns:a16="http://schemas.microsoft.com/office/drawing/2014/main" pred="{7453D234-377C-4958-84B7-A4CC90F42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33</xdr:col>
      <xdr:colOff>0</xdr:colOff>
      <xdr:row>147</xdr:row>
      <xdr:rowOff>0</xdr:rowOff>
    </xdr:from>
    <xdr:to>
      <xdr:col>49</xdr:col>
      <xdr:colOff>95250</xdr:colOff>
      <xdr:row>167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616993-E1C4-469C-B31B-57D9D10E5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56450" y="27051000"/>
          <a:ext cx="9391650" cy="396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110331</xdr:colOff>
      <xdr:row>6</xdr:row>
      <xdr:rowOff>100409</xdr:rowOff>
    </xdr:from>
    <xdr:to>
      <xdr:col>26</xdr:col>
      <xdr:colOff>27781</xdr:colOff>
      <xdr:row>29</xdr:row>
      <xdr:rowOff>103584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45845DD-6729-4A70-8022-4DFAFD34C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31</xdr:row>
      <xdr:rowOff>139700</xdr:rowOff>
    </xdr:from>
    <xdr:to>
      <xdr:col>26</xdr:col>
      <xdr:colOff>57149</xdr:colOff>
      <xdr:row>54</xdr:row>
      <xdr:rowOff>149225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E841386-4F24-4BE0-BCDF-2417D04C8E7F}"/>
            </a:ext>
            <a:ext uri="{147F2762-F138-4A5C-976F-8EAC2B608ADB}">
              <a16:predDERef xmlns:a16="http://schemas.microsoft.com/office/drawing/2014/main" pred="{145845DD-6729-4A70-8022-4DFAFD34C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64577</xdr:colOff>
      <xdr:row>55</xdr:row>
      <xdr:rowOff>75338</xdr:rowOff>
    </xdr:from>
    <xdr:to>
      <xdr:col>26</xdr:col>
      <xdr:colOff>41653</xdr:colOff>
      <xdr:row>78</xdr:row>
      <xdr:rowOff>81688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810BD929-6F69-47EA-9E3B-659DF511B5D7}"/>
            </a:ext>
            <a:ext uri="{147F2762-F138-4A5C-976F-8EAC2B608ADB}">
              <a16:predDERef xmlns:a16="http://schemas.microsoft.com/office/drawing/2014/main" pred="{9E841386-4F24-4BE0-BCDF-2417D04C8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355029</xdr:colOff>
      <xdr:row>3</xdr:row>
      <xdr:rowOff>159645</xdr:rowOff>
    </xdr:from>
    <xdr:to>
      <xdr:col>52</xdr:col>
      <xdr:colOff>113110</xdr:colOff>
      <xdr:row>33</xdr:row>
      <xdr:rowOff>98017</xdr:rowOff>
    </xdr:to>
    <xdr:graphicFrame macro="">
      <xdr:nvGraphicFramePr>
        <xdr:cNvPr id="2" name="Chart 17">
          <a:extLst>
            <a:ext uri="{FF2B5EF4-FFF2-40B4-BE49-F238E27FC236}">
              <a16:creationId xmlns:a16="http://schemas.microsoft.com/office/drawing/2014/main" id="{79F41104-6918-4C38-8BFF-D6DA4AB1A56F}"/>
            </a:ext>
            <a:ext uri="{147F2762-F138-4A5C-976F-8EAC2B608ADB}">
              <a16:predDERef xmlns:a16="http://schemas.microsoft.com/office/drawing/2014/main" pred="{810BD929-6F69-47EA-9E3B-659DF511B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408336</xdr:colOff>
      <xdr:row>34</xdr:row>
      <xdr:rowOff>112688</xdr:rowOff>
    </xdr:from>
    <xdr:to>
      <xdr:col>52</xdr:col>
      <xdr:colOff>163242</xdr:colOff>
      <xdr:row>64</xdr:row>
      <xdr:rowOff>47885</xdr:rowOff>
    </xdr:to>
    <xdr:graphicFrame macro="">
      <xdr:nvGraphicFramePr>
        <xdr:cNvPr id="4" name="Chart 17">
          <a:extLst>
            <a:ext uri="{FF2B5EF4-FFF2-40B4-BE49-F238E27FC236}">
              <a16:creationId xmlns:a16="http://schemas.microsoft.com/office/drawing/2014/main" id="{082B23E9-B1F4-FB2F-7D5F-7692AC982BE4}"/>
            </a:ext>
            <a:ext uri="{147F2762-F138-4A5C-976F-8EAC2B608ADB}">
              <a16:predDERef xmlns:a16="http://schemas.microsoft.com/office/drawing/2014/main" pred="{79F41104-6918-4C38-8BFF-D6DA4AB1A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66</xdr:row>
      <xdr:rowOff>0</xdr:rowOff>
    </xdr:from>
    <xdr:to>
      <xdr:col>54</xdr:col>
      <xdr:colOff>280453</xdr:colOff>
      <xdr:row>99</xdr:row>
      <xdr:rowOff>21081</xdr:rowOff>
    </xdr:to>
    <xdr:graphicFrame macro="">
      <xdr:nvGraphicFramePr>
        <xdr:cNvPr id="5" name="Chart 17">
          <a:extLst>
            <a:ext uri="{FF2B5EF4-FFF2-40B4-BE49-F238E27FC236}">
              <a16:creationId xmlns:a16="http://schemas.microsoft.com/office/drawing/2014/main" id="{EDE401D6-BE96-4B8D-A52F-A40135D688C4}"/>
            </a:ext>
            <a:ext uri="{147F2762-F138-4A5C-976F-8EAC2B608ADB}">
              <a16:predDERef xmlns:a16="http://schemas.microsoft.com/office/drawing/2014/main" pred="{082B23E9-B1F4-FB2F-7D5F-7692AC982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220436</xdr:colOff>
      <xdr:row>2</xdr:row>
      <xdr:rowOff>38100</xdr:rowOff>
    </xdr:from>
    <xdr:to>
      <xdr:col>34</xdr:col>
      <xdr:colOff>550636</xdr:colOff>
      <xdr:row>53</xdr:row>
      <xdr:rowOff>152400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20450A6-B45A-4A6C-967F-5BC937F64339}"/>
            </a:ext>
            <a:ext uri="{147F2762-F138-4A5C-976F-8EAC2B608ADB}">
              <a16:predDERef xmlns:a16="http://schemas.microsoft.com/office/drawing/2014/main" pred="{E3F25BE1-2D20-4E1B-9769-2BBC90BB673D}"/>
            </a:ext>
          </a:extLst>
        </xdr:cNvPr>
        <xdr:cNvGrpSpPr/>
      </xdr:nvGrpSpPr>
      <xdr:grpSpPr>
        <a:xfrm>
          <a:off x="220436" y="419100"/>
          <a:ext cx="20085050" cy="9829800"/>
          <a:chOff x="457200" y="-1444"/>
          <a:chExt cx="21061218" cy="9259455"/>
        </a:xfrm>
      </xdr:grpSpPr>
      <xdr:graphicFrame macro="">
        <xdr:nvGraphicFramePr>
          <xdr:cNvPr id="3" name="Chart 1">
            <a:extLst>
              <a:ext uri="{FF2B5EF4-FFF2-40B4-BE49-F238E27FC236}">
                <a16:creationId xmlns:a16="http://schemas.microsoft.com/office/drawing/2014/main" id="{B7EB040B-D2B4-B70F-B7A2-79D8B28C53D2}"/>
              </a:ext>
              <a:ext uri="{147F2762-F138-4A5C-976F-8EAC2B608ADB}">
                <a16:predDERef xmlns:a16="http://schemas.microsoft.com/office/drawing/2014/main" pred="{8C7D2A38-EAB5-4AF8-9A7D-D4E6CB61FAD5}"/>
              </a:ext>
            </a:extLst>
          </xdr:cNvPr>
          <xdr:cNvGraphicFramePr>
            <a:graphicFrameLocks/>
          </xdr:cNvGraphicFramePr>
        </xdr:nvGraphicFramePr>
        <xdr:xfrm>
          <a:off x="457200" y="-1444"/>
          <a:ext cx="21061218" cy="925945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6">
            <a:extLst>
              <a:ext uri="{FF2B5EF4-FFF2-40B4-BE49-F238E27FC236}">
                <a16:creationId xmlns:a16="http://schemas.microsoft.com/office/drawing/2014/main" id="{3D6B23F4-4EC1-B4D6-B28A-3037E40B6F57}"/>
              </a:ext>
              <a:ext uri="{147F2762-F138-4A5C-976F-8EAC2B608ADB}">
                <a16:predDERef xmlns:a16="http://schemas.microsoft.com/office/drawing/2014/main" pred="{A89E5A58-6E70-437F-ACB5-F1FC6C7DF638}"/>
              </a:ext>
            </a:extLst>
          </xdr:cNvPr>
          <xdr:cNvSpPr/>
        </xdr:nvSpPr>
        <xdr:spPr>
          <a:xfrm>
            <a:off x="9734142" y="4905375"/>
            <a:ext cx="295275" cy="895350"/>
          </a:xfrm>
          <a:prstGeom prst="rect">
            <a:avLst/>
          </a:prstGeom>
          <a:noFill/>
          <a:ln w="285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6">
            <a:extLst>
              <a:ext uri="{FF2B5EF4-FFF2-40B4-BE49-F238E27FC236}">
                <a16:creationId xmlns:a16="http://schemas.microsoft.com/office/drawing/2014/main" id="{DA47E7F5-04AD-1EAA-10E5-4081DA74C286}"/>
              </a:ext>
              <a:ext uri="{147F2762-F138-4A5C-976F-8EAC2B608ADB}">
                <a16:predDERef xmlns:a16="http://schemas.microsoft.com/office/drawing/2014/main" pred="{D13A7363-E2F2-4498-AB80-9DA771A11464}"/>
              </a:ext>
            </a:extLst>
          </xdr:cNvPr>
          <xdr:cNvSpPr/>
        </xdr:nvSpPr>
        <xdr:spPr>
          <a:xfrm>
            <a:off x="12124707" y="3801611"/>
            <a:ext cx="401337" cy="651523"/>
          </a:xfrm>
          <a:prstGeom prst="rect">
            <a:avLst/>
          </a:prstGeom>
          <a:noFill/>
          <a:ln w="285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3BE8FD99-95A5-1A6A-3FA6-84822BAB07C6}"/>
              </a:ext>
              <a:ext uri="{147F2762-F138-4A5C-976F-8EAC2B608ADB}">
                <a16:predDERef xmlns:a16="http://schemas.microsoft.com/office/drawing/2014/main" pred="{EB34C83A-AF20-4010-9A5E-09F92FDB8F34}"/>
              </a:ext>
            </a:extLst>
          </xdr:cNvPr>
          <xdr:cNvSpPr txBox="1"/>
        </xdr:nvSpPr>
        <xdr:spPr>
          <a:xfrm>
            <a:off x="12569708" y="4007700"/>
            <a:ext cx="985890" cy="33510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ysClr val="windowText" lastClr="000000"/>
                </a:solidFill>
              </a:rPr>
              <a:t>OPD_0.1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EBA83DA-F63A-A4CD-2116-28B9EE40C114}"/>
              </a:ext>
              <a:ext uri="{147F2762-F138-4A5C-976F-8EAC2B608ADB}">
                <a16:predDERef xmlns:a16="http://schemas.microsoft.com/office/drawing/2014/main" pred="{E3F25BE1-2D20-4E1B-9769-2BBC90BB673D}"/>
              </a:ext>
            </a:extLst>
          </xdr:cNvPr>
          <xdr:cNvSpPr/>
        </xdr:nvSpPr>
        <xdr:spPr>
          <a:xfrm>
            <a:off x="9700202" y="6185765"/>
            <a:ext cx="295275" cy="802995"/>
          </a:xfrm>
          <a:prstGeom prst="rect">
            <a:avLst/>
          </a:prstGeom>
          <a:noFill/>
          <a:ln w="28575"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386D35BD-B711-1B5F-2BA5-6294CB89C4DB}"/>
              </a:ext>
              <a:ext uri="{147F2762-F138-4A5C-976F-8EAC2B608ADB}">
                <a16:predDERef xmlns:a16="http://schemas.microsoft.com/office/drawing/2014/main" pred="{BED9C146-2E04-487B-A75B-C3DA7D164646}"/>
              </a:ext>
            </a:extLst>
          </xdr:cNvPr>
          <xdr:cNvSpPr txBox="1"/>
        </xdr:nvSpPr>
        <xdr:spPr>
          <a:xfrm>
            <a:off x="10009909" y="5956300"/>
            <a:ext cx="685965" cy="266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ysClr val="windowText" lastClr="000000"/>
                </a:solidFill>
              </a:rPr>
              <a:t>EPD</a:t>
            </a:r>
          </a:p>
        </xdr:txBody>
      </xdr:sp>
    </xdr:grpSp>
    <xdr:clientData/>
  </xdr:twoCellAnchor>
  <xdr:twoCellAnchor>
    <xdr:from>
      <xdr:col>16</xdr:col>
      <xdr:colOff>31172</xdr:colOff>
      <xdr:row>25</xdr:row>
      <xdr:rowOff>113722</xdr:rowOff>
    </xdr:from>
    <xdr:to>
      <xdr:col>17</xdr:col>
      <xdr:colOff>340590</xdr:colOff>
      <xdr:row>27</xdr:row>
      <xdr:rowOff>30594</xdr:rowOff>
    </xdr:to>
    <xdr:sp macro="" textlink="">
      <xdr:nvSpPr>
        <xdr:cNvPr id="9" name="TextBox 5">
          <a:extLst>
            <a:ext uri="{FF2B5EF4-FFF2-40B4-BE49-F238E27FC236}">
              <a16:creationId xmlns:a16="http://schemas.microsoft.com/office/drawing/2014/main" id="{EC9EA27E-6EB3-414F-9EC7-4E7C6F4AD383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9784772" y="4717472"/>
          <a:ext cx="919018" cy="2851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OPD_0.2</a:t>
          </a:r>
        </a:p>
      </xdr:txBody>
    </xdr:sp>
    <xdr:clientData/>
  </xdr:twoCellAnchor>
  <xdr:twoCellAnchor>
    <xdr:from>
      <xdr:col>26</xdr:col>
      <xdr:colOff>336096</xdr:colOff>
      <xdr:row>35</xdr:row>
      <xdr:rowOff>48080</xdr:rowOff>
    </xdr:from>
    <xdr:to>
      <xdr:col>28</xdr:col>
      <xdr:colOff>585106</xdr:colOff>
      <xdr:row>36</xdr:row>
      <xdr:rowOff>163287</xdr:rowOff>
    </xdr:to>
    <xdr:sp macro="" textlink="">
      <xdr:nvSpPr>
        <xdr:cNvPr id="10" name="TextBox 5">
          <a:extLst>
            <a:ext uri="{FF2B5EF4-FFF2-40B4-BE49-F238E27FC236}">
              <a16:creationId xmlns:a16="http://schemas.microsoft.com/office/drawing/2014/main" id="{B5647D98-D47D-4047-9A35-9BF10ABD1834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6185696" y="6493330"/>
          <a:ext cx="1468210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2"/>
              </a:solidFill>
            </a:rPr>
            <a:t>Cake TS_ 0.2%</a:t>
          </a:r>
        </a:p>
      </xdr:txBody>
    </xdr:sp>
    <xdr:clientData/>
  </xdr:twoCellAnchor>
  <xdr:twoCellAnchor>
    <xdr:from>
      <xdr:col>29</xdr:col>
      <xdr:colOff>275318</xdr:colOff>
      <xdr:row>37</xdr:row>
      <xdr:rowOff>160110</xdr:rowOff>
    </xdr:from>
    <xdr:to>
      <xdr:col>31</xdr:col>
      <xdr:colOff>489857</xdr:colOff>
      <xdr:row>39</xdr:row>
      <xdr:rowOff>149679</xdr:rowOff>
    </xdr:to>
    <xdr:sp macro="" textlink="">
      <xdr:nvSpPr>
        <xdr:cNvPr id="11" name="TextBox 5">
          <a:extLst>
            <a:ext uri="{FF2B5EF4-FFF2-40B4-BE49-F238E27FC236}">
              <a16:creationId xmlns:a16="http://schemas.microsoft.com/office/drawing/2014/main" id="{5841A3BA-BCC0-4A03-989E-8F43529C283C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7953718" y="6973660"/>
          <a:ext cx="1433739" cy="3578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2"/>
              </a:solidFill>
            </a:rPr>
            <a:t>Cake TS_ 0.1%</a:t>
          </a:r>
        </a:p>
      </xdr:txBody>
    </xdr:sp>
    <xdr:clientData/>
  </xdr:twoCellAnchor>
  <xdr:twoCellAnchor>
    <xdr:from>
      <xdr:col>26</xdr:col>
      <xdr:colOff>312964</xdr:colOff>
      <xdr:row>22</xdr:row>
      <xdr:rowOff>149678</xdr:rowOff>
    </xdr:from>
    <xdr:to>
      <xdr:col>29</xdr:col>
      <xdr:colOff>364219</xdr:colOff>
      <xdr:row>25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B7148C8-2E33-4265-89A5-835FC61B2E89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6162564" y="4200978"/>
          <a:ext cx="1880055" cy="4027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4"/>
              </a:solidFill>
            </a:rPr>
            <a:t>Filtrate TSS_ 0.2%</a:t>
          </a:r>
        </a:p>
      </xdr:txBody>
    </xdr:sp>
    <xdr:clientData/>
  </xdr:twoCellAnchor>
  <xdr:twoCellAnchor>
    <xdr:from>
      <xdr:col>29</xdr:col>
      <xdr:colOff>234497</xdr:colOff>
      <xdr:row>32</xdr:row>
      <xdr:rowOff>64860</xdr:rowOff>
    </xdr:from>
    <xdr:to>
      <xdr:col>32</xdr:col>
      <xdr:colOff>193675</xdr:colOff>
      <xdr:row>34</xdr:row>
      <xdr:rowOff>92074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6D59B5-10CD-4474-99BF-C2B4FA21516F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7912897" y="5957660"/>
          <a:ext cx="1787978" cy="3955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4"/>
              </a:solidFill>
            </a:rPr>
            <a:t>Filtrate TSS_ 0.1%</a:t>
          </a:r>
        </a:p>
      </xdr:txBody>
    </xdr:sp>
    <xdr:clientData/>
  </xdr:twoCellAnchor>
  <xdr:twoCellAnchor>
    <xdr:from>
      <xdr:col>29</xdr:col>
      <xdr:colOff>465820</xdr:colOff>
      <xdr:row>16</xdr:row>
      <xdr:rowOff>116113</xdr:rowOff>
    </xdr:from>
    <xdr:to>
      <xdr:col>31</xdr:col>
      <xdr:colOff>465818</xdr:colOff>
      <xdr:row>18</xdr:row>
      <xdr:rowOff>146503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F165056-9AC5-4026-A8D6-20E86103E3BD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8144220" y="3062513"/>
          <a:ext cx="1219198" cy="398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/>
              </a:solidFill>
            </a:rPr>
            <a:t>CST_ 0.1%</a:t>
          </a:r>
        </a:p>
      </xdr:txBody>
    </xdr:sp>
    <xdr:clientData/>
  </xdr:twoCellAnchor>
  <xdr:twoCellAnchor>
    <xdr:from>
      <xdr:col>26</xdr:col>
      <xdr:colOff>421822</xdr:colOff>
      <xdr:row>28</xdr:row>
      <xdr:rowOff>95251</xdr:rowOff>
    </xdr:from>
    <xdr:to>
      <xdr:col>28</xdr:col>
      <xdr:colOff>421820</xdr:colOff>
      <xdr:row>30</xdr:row>
      <xdr:rowOff>128815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327EFF5-7942-4D39-BFEE-5E4DCAFF1430}"/>
            </a:ext>
            <a:ext uri="{147F2762-F138-4A5C-976F-8EAC2B608ADB}">
              <a16:predDERef xmlns:a16="http://schemas.microsoft.com/office/drawing/2014/main" pred="{12BB69C4-B1E1-4A19-A158-8283D09025E3}"/>
            </a:ext>
          </a:extLst>
        </xdr:cNvPr>
        <xdr:cNvSpPr txBox="1"/>
      </xdr:nvSpPr>
      <xdr:spPr>
        <a:xfrm>
          <a:off x="16271422" y="5251451"/>
          <a:ext cx="1219198" cy="401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/>
              </a:solidFill>
            </a:rPr>
            <a:t>CST_ 0.2%</a:t>
          </a:r>
        </a:p>
      </xdr:txBody>
    </xdr:sp>
    <xdr:clientData/>
  </xdr:twoCellAnchor>
  <xdr:twoCellAnchor>
    <xdr:from>
      <xdr:col>0</xdr:col>
      <xdr:colOff>83820</xdr:colOff>
      <xdr:row>58</xdr:row>
      <xdr:rowOff>45720</xdr:rowOff>
    </xdr:from>
    <xdr:to>
      <xdr:col>34</xdr:col>
      <xdr:colOff>414020</xdr:colOff>
      <xdr:row>109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4CF64F2-DA5F-468F-98EC-CCA923520B21}"/>
            </a:ext>
            <a:ext uri="{147F2762-F138-4A5C-976F-8EAC2B608ADB}">
              <a16:predDERef xmlns:a16="http://schemas.microsoft.com/office/drawing/2014/main" pred="{1327EFF5-7942-4D39-BFEE-5E4DCAFF1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208643</xdr:colOff>
      <xdr:row>0</xdr:row>
      <xdr:rowOff>0</xdr:rowOff>
    </xdr:from>
    <xdr:ext cx="1541840" cy="1066219"/>
    <xdr:pic>
      <xdr:nvPicPr>
        <xdr:cNvPr id="2" name="Picture 1">
          <a:extLst>
            <a:ext uri="{FF2B5EF4-FFF2-40B4-BE49-F238E27FC236}">
              <a16:creationId xmlns:a16="http://schemas.microsoft.com/office/drawing/2014/main" id="{B0123B93-C587-4272-91A8-BA5C3FD21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066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21</xdr:col>
      <xdr:colOff>4280</xdr:colOff>
      <xdr:row>14</xdr:row>
      <xdr:rowOff>207066</xdr:rowOff>
    </xdr:from>
    <xdr:to>
      <xdr:col>30</xdr:col>
      <xdr:colOff>175876</xdr:colOff>
      <xdr:row>38</xdr:row>
      <xdr:rowOff>30867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02EFD8-9E3E-402E-B168-25CD2B376F3D}"/>
            </a:ext>
            <a:ext uri="{147F2762-F138-4A5C-976F-8EAC2B608ADB}">
              <a16:predDERef xmlns:a16="http://schemas.microsoft.com/office/drawing/2014/main" pred="{B0123B93-C587-4272-91A8-BA5C3FD21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513545</xdr:colOff>
      <xdr:row>28</xdr:row>
      <xdr:rowOff>45804</xdr:rowOff>
    </xdr:from>
    <xdr:to>
      <xdr:col>24</xdr:col>
      <xdr:colOff>613010</xdr:colOff>
      <xdr:row>31</xdr:row>
      <xdr:rowOff>357550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A9DEB95-B8F4-40FB-93EA-8D3ABAF97709}"/>
            </a:ext>
          </a:extLst>
        </xdr:cNvPr>
        <xdr:cNvGrpSpPr/>
      </xdr:nvGrpSpPr>
      <xdr:grpSpPr>
        <a:xfrm>
          <a:off x="28960324" y="7317775"/>
          <a:ext cx="887109" cy="952852"/>
          <a:chOff x="31525199" y="6729011"/>
          <a:chExt cx="690217" cy="1265249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A0E7C877-B087-2869-0190-170D02AE9FB8}"/>
              </a:ext>
            </a:extLst>
          </xdr:cNvPr>
          <xdr:cNvSpPr/>
        </xdr:nvSpPr>
        <xdr:spPr>
          <a:xfrm>
            <a:off x="31525199" y="6729011"/>
            <a:ext cx="690217" cy="515041"/>
          </a:xfrm>
          <a:prstGeom prst="ellipse">
            <a:avLst/>
          </a:prstGeom>
          <a:noFill/>
          <a:ln w="34925">
            <a:solidFill>
              <a:srgbClr val="0070C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0070C0"/>
                </a:solidFill>
              </a:rPr>
              <a:t>OPD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BC9FBAA1-2E71-A558-3C9C-B174EB4E6828}"/>
              </a:ext>
            </a:extLst>
          </xdr:cNvPr>
          <xdr:cNvCxnSpPr/>
        </xdr:nvCxnSpPr>
        <xdr:spPr>
          <a:xfrm flipH="1">
            <a:off x="31700266" y="7295474"/>
            <a:ext cx="183531" cy="698786"/>
          </a:xfrm>
          <a:prstGeom prst="straightConnector1">
            <a:avLst/>
          </a:prstGeom>
          <a:ln w="25400">
            <a:solidFill>
              <a:srgbClr val="0070C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278429</xdr:colOff>
      <xdr:row>21</xdr:row>
      <xdr:rowOff>131885</xdr:rowOff>
    </xdr:from>
    <xdr:to>
      <xdr:col>23</xdr:col>
      <xdr:colOff>500200</xdr:colOff>
      <xdr:row>31</xdr:row>
      <xdr:rowOff>718038</xdr:rowOff>
    </xdr:to>
    <xdr:grpSp>
      <xdr:nvGrpSpPr>
        <xdr:cNvPr id="7" name="Group 6" title="epd">
          <a:extLst>
            <a:ext uri="{FF2B5EF4-FFF2-40B4-BE49-F238E27FC236}">
              <a16:creationId xmlns:a16="http://schemas.microsoft.com/office/drawing/2014/main" id="{5D5AA998-E9FE-4025-A6B9-1048C0F28F7C}"/>
            </a:ext>
          </a:extLst>
        </xdr:cNvPr>
        <xdr:cNvGrpSpPr/>
      </xdr:nvGrpSpPr>
      <xdr:grpSpPr>
        <a:xfrm>
          <a:off x="27937564" y="5883520"/>
          <a:ext cx="1009415" cy="2747595"/>
          <a:chOff x="31129742" y="211826"/>
          <a:chExt cx="1538185" cy="707369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82886F52-CAB2-DD5B-13B3-AAA30417427A}"/>
              </a:ext>
            </a:extLst>
          </xdr:cNvPr>
          <xdr:cNvSpPr/>
        </xdr:nvSpPr>
        <xdr:spPr>
          <a:xfrm>
            <a:off x="31728222" y="1639290"/>
            <a:ext cx="939705" cy="1255956"/>
          </a:xfrm>
          <a:prstGeom prst="ellipse">
            <a:avLst/>
          </a:prstGeom>
          <a:noFill/>
          <a:ln w="34925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EPD</a:t>
            </a:r>
          </a:p>
        </xdr:txBody>
      </xdr: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A213D20B-7F47-7B0F-77BD-E7C8FD8D4547}"/>
              </a:ext>
            </a:extLst>
          </xdr:cNvPr>
          <xdr:cNvCxnSpPr/>
        </xdr:nvCxnSpPr>
        <xdr:spPr>
          <a:xfrm flipH="1" flipV="1">
            <a:off x="31129742" y="211826"/>
            <a:ext cx="687574" cy="1900121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EA9D4C29-2911-803E-A449-1D17C63654F1}"/>
              </a:ext>
            </a:extLst>
          </xdr:cNvPr>
          <xdr:cNvCxnSpPr>
            <a:stCxn id="8" idx="3"/>
          </xdr:cNvCxnSpPr>
        </xdr:nvCxnSpPr>
        <xdr:spPr>
          <a:xfrm flipH="1">
            <a:off x="31167042" y="2711315"/>
            <a:ext cx="698815" cy="4574206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662931</xdr:colOff>
      <xdr:row>32</xdr:row>
      <xdr:rowOff>35212</xdr:rowOff>
    </xdr:from>
    <xdr:to>
      <xdr:col>25</xdr:col>
      <xdr:colOff>1371303</xdr:colOff>
      <xdr:row>34</xdr:row>
      <xdr:rowOff>106813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C57C4C1E-535B-407F-A9FA-356BDFC9FEBA}"/>
            </a:ext>
          </a:extLst>
        </xdr:cNvPr>
        <xdr:cNvGrpSpPr/>
      </xdr:nvGrpSpPr>
      <xdr:grpSpPr>
        <a:xfrm>
          <a:off x="30684998" y="8754250"/>
          <a:ext cx="708372" cy="474582"/>
          <a:chOff x="0" y="208170"/>
          <a:chExt cx="709430" cy="494303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A9CF5725-6CB8-040D-0051-66BF7BC6CEDE}"/>
              </a:ext>
            </a:extLst>
          </xdr:cNvPr>
          <xdr:cNvSpPr/>
        </xdr:nvSpPr>
        <xdr:spPr>
          <a:xfrm>
            <a:off x="128850" y="208170"/>
            <a:ext cx="580580" cy="247200"/>
          </a:xfrm>
          <a:prstGeom prst="ellipse">
            <a:avLst/>
          </a:prstGeom>
          <a:noFill/>
          <a:ln w="34925">
            <a:solidFill>
              <a:schemeClr val="tx1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PD</a:t>
            </a:r>
          </a:p>
        </xdr:txBody>
      </xdr: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57126DC4-8D3A-0126-ED48-FDCB9E285CC0}"/>
              </a:ext>
            </a:extLst>
          </xdr:cNvPr>
          <xdr:cNvCxnSpPr/>
        </xdr:nvCxnSpPr>
        <xdr:spPr>
          <a:xfrm flipH="1">
            <a:off x="0" y="479951"/>
            <a:ext cx="193848" cy="222522"/>
          </a:xfrm>
          <a:prstGeom prst="straightConnector1">
            <a:avLst/>
          </a:prstGeom>
          <a:ln w="25400">
            <a:solidFill>
              <a:schemeClr val="tx1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161192</xdr:colOff>
      <xdr:row>40</xdr:row>
      <xdr:rowOff>169860</xdr:rowOff>
    </xdr:from>
    <xdr:to>
      <xdr:col>37</xdr:col>
      <xdr:colOff>677922</xdr:colOff>
      <xdr:row>56</xdr:row>
      <xdr:rowOff>386712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4E6943AB-51E6-443F-BADC-8C336A7FBB3D}"/>
            </a:ext>
            <a:ext uri="{147F2762-F138-4A5C-976F-8EAC2B608ADB}">
              <a16:predDERef xmlns:a16="http://schemas.microsoft.com/office/drawing/2014/main" pred="{41D6C223-EDCF-4C8B-8465-66A96CC24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208643</xdr:colOff>
      <xdr:row>0</xdr:row>
      <xdr:rowOff>0</xdr:rowOff>
    </xdr:from>
    <xdr:ext cx="1541840" cy="1066219"/>
    <xdr:pic>
      <xdr:nvPicPr>
        <xdr:cNvPr id="2" name="Picture 1">
          <a:extLst>
            <a:ext uri="{FF2B5EF4-FFF2-40B4-BE49-F238E27FC236}">
              <a16:creationId xmlns:a16="http://schemas.microsoft.com/office/drawing/2014/main" id="{0D993682-35AE-4FC0-B3CE-205F3450D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066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21</xdr:col>
      <xdr:colOff>4280</xdr:colOff>
      <xdr:row>14</xdr:row>
      <xdr:rowOff>207066</xdr:rowOff>
    </xdr:from>
    <xdr:to>
      <xdr:col>30</xdr:col>
      <xdr:colOff>175876</xdr:colOff>
      <xdr:row>38</xdr:row>
      <xdr:rowOff>30867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BB63DD-543B-448C-8DF8-68D34A8BBDC8}"/>
            </a:ext>
            <a:ext uri="{147F2762-F138-4A5C-976F-8EAC2B608ADB}">
              <a16:predDERef xmlns:a16="http://schemas.microsoft.com/office/drawing/2014/main" pred="{0D993682-35AE-4FC0-B3CE-205F3450D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318892</xdr:colOff>
      <xdr:row>29</xdr:row>
      <xdr:rowOff>119076</xdr:rowOff>
    </xdr:from>
    <xdr:to>
      <xdr:col>27</xdr:col>
      <xdr:colOff>408833</xdr:colOff>
      <xdr:row>31</xdr:row>
      <xdr:rowOff>624008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4034D19-F34F-477B-AE9E-F88BA3FE7542}"/>
            </a:ext>
          </a:extLst>
        </xdr:cNvPr>
        <xdr:cNvGrpSpPr/>
      </xdr:nvGrpSpPr>
      <xdr:grpSpPr>
        <a:xfrm>
          <a:off x="31751392" y="7610855"/>
          <a:ext cx="877585" cy="944547"/>
          <a:chOff x="31525199" y="6729011"/>
          <a:chExt cx="690217" cy="1265249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99236C7E-10E9-2B60-5F3B-9B8B6D834AB8}"/>
              </a:ext>
            </a:extLst>
          </xdr:cNvPr>
          <xdr:cNvSpPr/>
        </xdr:nvSpPr>
        <xdr:spPr>
          <a:xfrm>
            <a:off x="31525199" y="6729011"/>
            <a:ext cx="690217" cy="515041"/>
          </a:xfrm>
          <a:prstGeom prst="ellipse">
            <a:avLst/>
          </a:prstGeom>
          <a:noFill/>
          <a:ln w="34925">
            <a:solidFill>
              <a:srgbClr val="0070C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0070C0"/>
                </a:solidFill>
              </a:rPr>
              <a:t>OPD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73E19E8A-E35A-ED08-69FC-3213FAEC08A8}"/>
              </a:ext>
            </a:extLst>
          </xdr:cNvPr>
          <xdr:cNvCxnSpPr/>
        </xdr:nvCxnSpPr>
        <xdr:spPr>
          <a:xfrm flipH="1">
            <a:off x="31700266" y="7295474"/>
            <a:ext cx="183531" cy="698786"/>
          </a:xfrm>
          <a:prstGeom prst="straightConnector1">
            <a:avLst/>
          </a:prstGeom>
          <a:ln w="25400">
            <a:solidFill>
              <a:srgbClr val="0070C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472354</xdr:colOff>
      <xdr:row>23</xdr:row>
      <xdr:rowOff>220340</xdr:rowOff>
    </xdr:from>
    <xdr:to>
      <xdr:col>26</xdr:col>
      <xdr:colOff>53256</xdr:colOff>
      <xdr:row>31</xdr:row>
      <xdr:rowOff>619578</xdr:rowOff>
    </xdr:to>
    <xdr:grpSp>
      <xdr:nvGrpSpPr>
        <xdr:cNvPr id="7" name="Group 6" title="epd">
          <a:extLst>
            <a:ext uri="{FF2B5EF4-FFF2-40B4-BE49-F238E27FC236}">
              <a16:creationId xmlns:a16="http://schemas.microsoft.com/office/drawing/2014/main" id="{2F70B8F6-9548-441A-BA62-C1AAE5116C50}"/>
            </a:ext>
          </a:extLst>
        </xdr:cNvPr>
        <xdr:cNvGrpSpPr/>
      </xdr:nvGrpSpPr>
      <xdr:grpSpPr>
        <a:xfrm>
          <a:off x="30494421" y="6466542"/>
          <a:ext cx="991335" cy="2084430"/>
          <a:chOff x="31129742" y="211826"/>
          <a:chExt cx="1538193" cy="707369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E76EFBB0-215D-61F4-BDED-E91DBF8D2001}"/>
              </a:ext>
            </a:extLst>
          </xdr:cNvPr>
          <xdr:cNvSpPr/>
        </xdr:nvSpPr>
        <xdr:spPr>
          <a:xfrm>
            <a:off x="31728229" y="1639289"/>
            <a:ext cx="939706" cy="1255957"/>
          </a:xfrm>
          <a:prstGeom prst="ellipse">
            <a:avLst/>
          </a:prstGeom>
          <a:noFill/>
          <a:ln w="34925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EPD</a:t>
            </a:r>
          </a:p>
        </xdr:txBody>
      </xdr: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DF25854E-9F34-99B2-01D0-65396839030F}"/>
              </a:ext>
            </a:extLst>
          </xdr:cNvPr>
          <xdr:cNvCxnSpPr/>
        </xdr:nvCxnSpPr>
        <xdr:spPr>
          <a:xfrm flipH="1" flipV="1">
            <a:off x="31129742" y="211826"/>
            <a:ext cx="687574" cy="1900121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6E8786F0-2F9B-D095-7CC2-63CBB169B173}"/>
              </a:ext>
            </a:extLst>
          </xdr:cNvPr>
          <xdr:cNvCxnSpPr>
            <a:stCxn id="8" idx="3"/>
          </xdr:cNvCxnSpPr>
        </xdr:nvCxnSpPr>
        <xdr:spPr>
          <a:xfrm flipH="1">
            <a:off x="31167042" y="2711316"/>
            <a:ext cx="698814" cy="4574205"/>
          </a:xfrm>
          <a:prstGeom prst="straightConnector1">
            <a:avLst/>
          </a:prstGeom>
          <a:ln w="25400">
            <a:solidFill>
              <a:srgbClr val="FF0000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106084</xdr:colOff>
      <xdr:row>31</xdr:row>
      <xdr:rowOff>767903</xdr:rowOff>
    </xdr:from>
    <xdr:to>
      <xdr:col>27</xdr:col>
      <xdr:colOff>8495</xdr:colOff>
      <xdr:row>34</xdr:row>
      <xdr:rowOff>48196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F6ED78-7B87-4E2E-8F43-A72D577E9EFB}"/>
            </a:ext>
          </a:extLst>
        </xdr:cNvPr>
        <xdr:cNvGrpSpPr/>
      </xdr:nvGrpSpPr>
      <xdr:grpSpPr>
        <a:xfrm>
          <a:off x="31538584" y="8699297"/>
          <a:ext cx="690055" cy="489236"/>
          <a:chOff x="0" y="208170"/>
          <a:chExt cx="709430" cy="494303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DD972ACD-4FA9-5CBB-6903-C87340B3A425}"/>
              </a:ext>
            </a:extLst>
          </xdr:cNvPr>
          <xdr:cNvSpPr/>
        </xdr:nvSpPr>
        <xdr:spPr>
          <a:xfrm>
            <a:off x="128850" y="208170"/>
            <a:ext cx="580580" cy="247200"/>
          </a:xfrm>
          <a:prstGeom prst="ellipse">
            <a:avLst/>
          </a:prstGeom>
          <a:noFill/>
          <a:ln w="34925">
            <a:solidFill>
              <a:schemeClr val="tx1"/>
            </a:solidFill>
            <a:prstDash val="sys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PD</a:t>
            </a:r>
          </a:p>
        </xdr:txBody>
      </xdr: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08BFD48F-E568-3F82-F788-7F5C9E3B275F}"/>
              </a:ext>
            </a:extLst>
          </xdr:cNvPr>
          <xdr:cNvCxnSpPr/>
        </xdr:nvCxnSpPr>
        <xdr:spPr>
          <a:xfrm flipH="1">
            <a:off x="0" y="479951"/>
            <a:ext cx="193848" cy="222522"/>
          </a:xfrm>
          <a:prstGeom prst="straightConnector1">
            <a:avLst/>
          </a:prstGeom>
          <a:ln w="25400">
            <a:solidFill>
              <a:schemeClr val="tx1"/>
            </a:solidFill>
            <a:prstDash val="sysDash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219808</xdr:colOff>
      <xdr:row>40</xdr:row>
      <xdr:rowOff>102576</xdr:rowOff>
    </xdr:from>
    <xdr:to>
      <xdr:col>37</xdr:col>
      <xdr:colOff>699912</xdr:colOff>
      <xdr:row>56</xdr:row>
      <xdr:rowOff>284134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F2BF98CD-30EA-4CEE-AB14-FC0D28FF22BD}"/>
            </a:ext>
            <a:ext uri="{147F2762-F138-4A5C-976F-8EAC2B608ADB}">
              <a16:predDERef xmlns:a16="http://schemas.microsoft.com/office/drawing/2014/main" pred="{41D6C223-EDCF-4C8B-8465-66A96CC24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796627</xdr:colOff>
      <xdr:row>57</xdr:row>
      <xdr:rowOff>151186</xdr:rowOff>
    </xdr:from>
    <xdr:to>
      <xdr:col>37</xdr:col>
      <xdr:colOff>200207</xdr:colOff>
      <xdr:row>73</xdr:row>
      <xdr:rowOff>178474</xdr:rowOff>
    </xdr:to>
    <xdr:graphicFrame macro="">
      <xdr:nvGraphicFramePr>
        <xdr:cNvPr id="18" name="Chart 9">
          <a:extLst>
            <a:ext uri="{FF2B5EF4-FFF2-40B4-BE49-F238E27FC236}">
              <a16:creationId xmlns:a16="http://schemas.microsoft.com/office/drawing/2014/main" id="{DCBCDABE-73FF-4110-ABED-C7F493CFDCBB}"/>
            </a:ext>
            <a:ext uri="{147F2762-F138-4A5C-976F-8EAC2B608ADB}">
              <a16:predDERef xmlns:a16="http://schemas.microsoft.com/office/drawing/2014/main" pred="{C37B9D7A-9D18-4DC0-A9C2-82903D669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785134</xdr:colOff>
      <xdr:row>74</xdr:row>
      <xdr:rowOff>27135</xdr:rowOff>
    </xdr:from>
    <xdr:to>
      <xdr:col>37</xdr:col>
      <xdr:colOff>232495</xdr:colOff>
      <xdr:row>89</xdr:row>
      <xdr:rowOff>46542</xdr:rowOff>
    </xdr:to>
    <xdr:graphicFrame macro="">
      <xdr:nvGraphicFramePr>
        <xdr:cNvPr id="19" name="Chart 20">
          <a:extLst>
            <a:ext uri="{FF2B5EF4-FFF2-40B4-BE49-F238E27FC236}">
              <a16:creationId xmlns:a16="http://schemas.microsoft.com/office/drawing/2014/main" id="{01682614-3377-478F-ADED-F210F37A86E0}"/>
            </a:ext>
            <a:ext uri="{147F2762-F138-4A5C-976F-8EAC2B608ADB}">
              <a16:predDERef xmlns:a16="http://schemas.microsoft.com/office/drawing/2014/main" pred="{196CCA4C-EB5E-42D9-80F9-0E08D6CAE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4FC3FE-BB34-4C2B-86D9-A10511321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27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349583</xdr:colOff>
      <xdr:row>25</xdr:row>
      <xdr:rowOff>180094</xdr:rowOff>
    </xdr:from>
    <xdr:to>
      <xdr:col>31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84542309-18BA-47CE-A203-0D6A6C8D407F}"/>
            </a:ext>
            <a:ext uri="{147F2762-F138-4A5C-976F-8EAC2B608ADB}">
              <a16:predDERef xmlns:a16="http://schemas.microsoft.com/office/drawing/2014/main" pred="{F687BAB2-086A-4619-A4DF-E2DFDDB12D1A}"/>
            </a:ext>
          </a:extLst>
        </xdr:cNvPr>
        <xdr:cNvSpPr/>
      </xdr:nvSpPr>
      <xdr:spPr>
        <a:xfrm>
          <a:off x="36849383" y="5647444"/>
          <a:ext cx="395171" cy="2445253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508000</xdr:colOff>
      <xdr:row>8</xdr:row>
      <xdr:rowOff>81328</xdr:rowOff>
    </xdr:from>
    <xdr:to>
      <xdr:col>37</xdr:col>
      <xdr:colOff>455897</xdr:colOff>
      <xdr:row>38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1095AC-4118-4A19-ADFC-B181990A2CB9}"/>
            </a:ext>
            <a:ext uri="{147F2762-F138-4A5C-976F-8EAC2B608ADB}">
              <a16:predDERef xmlns:a16="http://schemas.microsoft.com/office/drawing/2014/main" pred="{84542309-18BA-47CE-A203-0D6A6C8D4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71094</xdr:colOff>
      <xdr:row>27</xdr:row>
      <xdr:rowOff>194327</xdr:rowOff>
    </xdr:from>
    <xdr:to>
      <xdr:col>32</xdr:col>
      <xdr:colOff>757252</xdr:colOff>
      <xdr:row>29</xdr:row>
      <xdr:rowOff>34689</xdr:rowOff>
    </xdr:to>
    <xdr:sp macro="" textlink="">
      <xdr:nvSpPr>
        <xdr:cNvPr id="5" name="TextBox 5">
          <a:extLst>
            <a:ext uri="{FF2B5EF4-FFF2-40B4-BE49-F238E27FC236}">
              <a16:creationId xmlns:a16="http://schemas.microsoft.com/office/drawing/2014/main" id="{E00B2384-A7D3-47DE-BBFF-5F58EF1CDC10}"/>
            </a:ext>
            <a:ext uri="{147F2762-F138-4A5C-976F-8EAC2B608ADB}">
              <a16:predDERef xmlns:a16="http://schemas.microsoft.com/office/drawing/2014/main" pred="{06D459A8-5B88-473A-8027-24662786431F}"/>
            </a:ext>
          </a:extLst>
        </xdr:cNvPr>
        <xdr:cNvSpPr txBox="1"/>
      </xdr:nvSpPr>
      <xdr:spPr>
        <a:xfrm>
          <a:off x="37390044" y="6074427"/>
          <a:ext cx="686158" cy="2467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282795</xdr:colOff>
      <xdr:row>30</xdr:row>
      <xdr:rowOff>26410</xdr:rowOff>
    </xdr:from>
    <xdr:to>
      <xdr:col>32</xdr:col>
      <xdr:colOff>578070</xdr:colOff>
      <xdr:row>31</xdr:row>
      <xdr:rowOff>595706</xdr:rowOff>
    </xdr:to>
    <xdr:sp macro="" textlink="">
      <xdr:nvSpPr>
        <xdr:cNvPr id="6" name="Rectangle 6">
          <a:extLst>
            <a:ext uri="{FF2B5EF4-FFF2-40B4-BE49-F238E27FC236}">
              <a16:creationId xmlns:a16="http://schemas.microsoft.com/office/drawing/2014/main" id="{1B2F3768-E824-433A-B39B-7CDC238465DB}"/>
            </a:ext>
            <a:ext uri="{147F2762-F138-4A5C-976F-8EAC2B608ADB}">
              <a16:predDERef xmlns:a16="http://schemas.microsoft.com/office/drawing/2014/main" pred="{DE940269-FF3D-4DF2-93AD-966A0151A9AB}"/>
            </a:ext>
          </a:extLst>
        </xdr:cNvPr>
        <xdr:cNvSpPr/>
      </xdr:nvSpPr>
      <xdr:spPr>
        <a:xfrm>
          <a:off x="37601745" y="6516110"/>
          <a:ext cx="295275" cy="804246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104999</xdr:colOff>
      <xdr:row>30</xdr:row>
      <xdr:rowOff>116914</xdr:rowOff>
    </xdr:from>
    <xdr:to>
      <xdr:col>29</xdr:col>
      <xdr:colOff>670959</xdr:colOff>
      <xdr:row>31</xdr:row>
      <xdr:rowOff>185635</xdr:rowOff>
    </xdr:to>
    <xdr:sp macro="" textlink="">
      <xdr:nvSpPr>
        <xdr:cNvPr id="7" name="TextBox 7">
          <a:extLst>
            <a:ext uri="{FF2B5EF4-FFF2-40B4-BE49-F238E27FC236}">
              <a16:creationId xmlns:a16="http://schemas.microsoft.com/office/drawing/2014/main" id="{D24B6302-4BF2-4592-8DC1-58B520D24941}"/>
            </a:ext>
            <a:ext uri="{147F2762-F138-4A5C-976F-8EAC2B608ADB}">
              <a16:predDERef xmlns:a16="http://schemas.microsoft.com/office/drawing/2014/main" pred="{F00538E5-80F8-4455-B6F8-50B567CCED78}"/>
            </a:ext>
          </a:extLst>
        </xdr:cNvPr>
        <xdr:cNvSpPr txBox="1"/>
      </xdr:nvSpPr>
      <xdr:spPr>
        <a:xfrm>
          <a:off x="34966499" y="6606614"/>
          <a:ext cx="565960" cy="3036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29</xdr:col>
      <xdr:colOff>188217</xdr:colOff>
      <xdr:row>31</xdr:row>
      <xdr:rowOff>198742</xdr:rowOff>
    </xdr:from>
    <xdr:to>
      <xdr:col>29</xdr:col>
      <xdr:colOff>483492</xdr:colOff>
      <xdr:row>32</xdr:row>
      <xdr:rowOff>181920</xdr:rowOff>
    </xdr:to>
    <xdr:sp macro="" textlink="">
      <xdr:nvSpPr>
        <xdr:cNvPr id="8" name="Rectangle 4">
          <a:extLst>
            <a:ext uri="{FF2B5EF4-FFF2-40B4-BE49-F238E27FC236}">
              <a16:creationId xmlns:a16="http://schemas.microsoft.com/office/drawing/2014/main" id="{993D26A7-0D3A-49E2-9480-59BD3224803E}"/>
            </a:ext>
            <a:ext uri="{147F2762-F138-4A5C-976F-8EAC2B608ADB}">
              <a16:predDERef xmlns:a16="http://schemas.microsoft.com/office/drawing/2014/main" pred="{96B4EEDB-8164-445B-BDEA-1EA5B3CE7576}"/>
            </a:ext>
          </a:extLst>
        </xdr:cNvPr>
        <xdr:cNvSpPr/>
      </xdr:nvSpPr>
      <xdr:spPr>
        <a:xfrm>
          <a:off x="35049717" y="6923392"/>
          <a:ext cx="295275" cy="795978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179103</xdr:colOff>
      <xdr:row>45</xdr:row>
      <xdr:rowOff>81411</xdr:rowOff>
    </xdr:from>
    <xdr:to>
      <xdr:col>37</xdr:col>
      <xdr:colOff>748975</xdr:colOff>
      <xdr:row>58</xdr:row>
      <xdr:rowOff>113975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id="{554AB8DD-6121-4336-B5BC-AADC0354DE21}"/>
            </a:ext>
            <a:ext uri="{147F2762-F138-4A5C-976F-8EAC2B608ADB}">
              <a16:predDERef xmlns:a16="http://schemas.microsoft.com/office/drawing/2014/main" pred="{993D26A7-0D3A-49E2-9480-59BD32248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87BAB2-086A-4619-A4DF-E2DFDDB12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15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349583</xdr:colOff>
      <xdr:row>25</xdr:row>
      <xdr:rowOff>180094</xdr:rowOff>
    </xdr:from>
    <xdr:to>
      <xdr:col>31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FBD1610A-4B0D-44C8-85DD-C9D3495FBFFB}"/>
            </a:ext>
            <a:ext uri="{147F2762-F138-4A5C-976F-8EAC2B608ADB}">
              <a16:predDERef xmlns:a16="http://schemas.microsoft.com/office/drawing/2014/main" pred="{F687BAB2-086A-4619-A4DF-E2DFDDB12D1A}"/>
            </a:ext>
          </a:extLst>
        </xdr:cNvPr>
        <xdr:cNvSpPr/>
      </xdr:nvSpPr>
      <xdr:spPr>
        <a:xfrm>
          <a:off x="35163458" y="5580769"/>
          <a:ext cx="395171" cy="2416678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593725</xdr:colOff>
      <xdr:row>12</xdr:row>
      <xdr:rowOff>52753</xdr:rowOff>
    </xdr:from>
    <xdr:to>
      <xdr:col>37</xdr:col>
      <xdr:colOff>541622</xdr:colOff>
      <xdr:row>42</xdr:row>
      <xdr:rowOff>47625</xdr:rowOff>
    </xdr:to>
    <xdr:graphicFrame macro="">
      <xdr:nvGraphicFramePr>
        <xdr:cNvPr id="33" name="Chart 3">
          <a:extLst>
            <a:ext uri="{FF2B5EF4-FFF2-40B4-BE49-F238E27FC236}">
              <a16:creationId xmlns:a16="http://schemas.microsoft.com/office/drawing/2014/main" id="{06D459A8-5B88-473A-8027-24662786431F}"/>
            </a:ext>
            <a:ext uri="{147F2762-F138-4A5C-976F-8EAC2B608ADB}">
              <a16:predDERef xmlns:a16="http://schemas.microsoft.com/office/drawing/2014/main" pred="{FBD1610A-4B0D-44C8-85DD-C9D3495FB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71094</xdr:colOff>
      <xdr:row>27</xdr:row>
      <xdr:rowOff>194327</xdr:rowOff>
    </xdr:from>
    <xdr:to>
      <xdr:col>32</xdr:col>
      <xdr:colOff>757252</xdr:colOff>
      <xdr:row>29</xdr:row>
      <xdr:rowOff>34689</xdr:rowOff>
    </xdr:to>
    <xdr:sp macro="" textlink="">
      <xdr:nvSpPr>
        <xdr:cNvPr id="5" name="TextBox 5">
          <a:extLst>
            <a:ext uri="{FF2B5EF4-FFF2-40B4-BE49-F238E27FC236}">
              <a16:creationId xmlns:a16="http://schemas.microsoft.com/office/drawing/2014/main" id="{DE940269-FF3D-4DF2-93AD-966A0151A9AB}"/>
            </a:ext>
            <a:ext uri="{147F2762-F138-4A5C-976F-8EAC2B608ADB}">
              <a16:predDERef xmlns:a16="http://schemas.microsoft.com/office/drawing/2014/main" pred="{06D459A8-5B88-473A-8027-24662786431F}"/>
            </a:ext>
          </a:extLst>
        </xdr:cNvPr>
        <xdr:cNvSpPr txBox="1"/>
      </xdr:nvSpPr>
      <xdr:spPr>
        <a:xfrm>
          <a:off x="35666019" y="6004577"/>
          <a:ext cx="686158" cy="240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282795</xdr:colOff>
      <xdr:row>30</xdr:row>
      <xdr:rowOff>26410</xdr:rowOff>
    </xdr:from>
    <xdr:to>
      <xdr:col>32</xdr:col>
      <xdr:colOff>578070</xdr:colOff>
      <xdr:row>31</xdr:row>
      <xdr:rowOff>595706</xdr:rowOff>
    </xdr:to>
    <xdr:sp macro="" textlink="">
      <xdr:nvSpPr>
        <xdr:cNvPr id="6" name="Rectangle 6">
          <a:extLst>
            <a:ext uri="{FF2B5EF4-FFF2-40B4-BE49-F238E27FC236}">
              <a16:creationId xmlns:a16="http://schemas.microsoft.com/office/drawing/2014/main" id="{F00538E5-80F8-4455-B6F8-50B567CCED78}"/>
            </a:ext>
            <a:ext uri="{147F2762-F138-4A5C-976F-8EAC2B608ADB}">
              <a16:predDERef xmlns:a16="http://schemas.microsoft.com/office/drawing/2014/main" pred="{DE940269-FF3D-4DF2-93AD-966A0151A9AB}"/>
            </a:ext>
          </a:extLst>
        </xdr:cNvPr>
        <xdr:cNvSpPr/>
      </xdr:nvSpPr>
      <xdr:spPr>
        <a:xfrm>
          <a:off x="35877720" y="6436735"/>
          <a:ext cx="295275" cy="797896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104999</xdr:colOff>
      <xdr:row>30</xdr:row>
      <xdr:rowOff>116914</xdr:rowOff>
    </xdr:from>
    <xdr:to>
      <xdr:col>29</xdr:col>
      <xdr:colOff>670959</xdr:colOff>
      <xdr:row>31</xdr:row>
      <xdr:rowOff>185635</xdr:rowOff>
    </xdr:to>
    <xdr:sp macro="" textlink="">
      <xdr:nvSpPr>
        <xdr:cNvPr id="7" name="TextBox 7">
          <a:extLst>
            <a:ext uri="{FF2B5EF4-FFF2-40B4-BE49-F238E27FC236}">
              <a16:creationId xmlns:a16="http://schemas.microsoft.com/office/drawing/2014/main" id="{96B4EEDB-8164-445B-BDEA-1EA5B3CE7576}"/>
            </a:ext>
            <a:ext uri="{147F2762-F138-4A5C-976F-8EAC2B608ADB}">
              <a16:predDERef xmlns:a16="http://schemas.microsoft.com/office/drawing/2014/main" pred="{F00538E5-80F8-4455-B6F8-50B567CCED78}"/>
            </a:ext>
          </a:extLst>
        </xdr:cNvPr>
        <xdr:cNvSpPr txBox="1"/>
      </xdr:nvSpPr>
      <xdr:spPr>
        <a:xfrm>
          <a:off x="33356774" y="6527239"/>
          <a:ext cx="565960" cy="2973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29</xdr:col>
      <xdr:colOff>188217</xdr:colOff>
      <xdr:row>31</xdr:row>
      <xdr:rowOff>198742</xdr:rowOff>
    </xdr:from>
    <xdr:to>
      <xdr:col>29</xdr:col>
      <xdr:colOff>483492</xdr:colOff>
      <xdr:row>32</xdr:row>
      <xdr:rowOff>181920</xdr:rowOff>
    </xdr:to>
    <xdr:sp macro="" textlink="">
      <xdr:nvSpPr>
        <xdr:cNvPr id="8" name="Rectangle 4">
          <a:extLst>
            <a:ext uri="{FF2B5EF4-FFF2-40B4-BE49-F238E27FC236}">
              <a16:creationId xmlns:a16="http://schemas.microsoft.com/office/drawing/2014/main" id="{1EB6443D-6284-45DF-9F30-F6F9FE307CE4}"/>
            </a:ext>
            <a:ext uri="{147F2762-F138-4A5C-976F-8EAC2B608ADB}">
              <a16:predDERef xmlns:a16="http://schemas.microsoft.com/office/drawing/2014/main" pred="{96B4EEDB-8164-445B-BDEA-1EA5B3CE7576}"/>
            </a:ext>
          </a:extLst>
        </xdr:cNvPr>
        <xdr:cNvSpPr/>
      </xdr:nvSpPr>
      <xdr:spPr>
        <a:xfrm>
          <a:off x="33439992" y="6837667"/>
          <a:ext cx="295275" cy="792803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179103</xdr:colOff>
      <xdr:row>45</xdr:row>
      <xdr:rowOff>81411</xdr:rowOff>
    </xdr:from>
    <xdr:to>
      <xdr:col>37</xdr:col>
      <xdr:colOff>748975</xdr:colOff>
      <xdr:row>58</xdr:row>
      <xdr:rowOff>113975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id="{9F936810-0B56-473F-9780-20E7A2C9E7E3}"/>
            </a:ext>
            <a:ext uri="{147F2762-F138-4A5C-976F-8EAC2B608ADB}">
              <a16:predDERef xmlns:a16="http://schemas.microsoft.com/office/drawing/2014/main" pred="{1EB6443D-6284-45DF-9F30-F6F9FE307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E1A561-16A1-4AF8-B062-6E9C23550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15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349583</xdr:colOff>
      <xdr:row>25</xdr:row>
      <xdr:rowOff>180094</xdr:rowOff>
    </xdr:from>
    <xdr:to>
      <xdr:col>31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FCFD9598-47A2-43D7-808A-33FF962688B0}"/>
            </a:ext>
            <a:ext uri="{147F2762-F138-4A5C-976F-8EAC2B608ADB}">
              <a16:predDERef xmlns:a16="http://schemas.microsoft.com/office/drawing/2014/main" pred="{1BE1A561-16A1-4AF8-B062-6E9C235500E7}"/>
            </a:ext>
          </a:extLst>
        </xdr:cNvPr>
        <xdr:cNvSpPr/>
      </xdr:nvSpPr>
      <xdr:spPr>
        <a:xfrm>
          <a:off x="34382408" y="5590294"/>
          <a:ext cx="395171" cy="2435728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508000</xdr:colOff>
      <xdr:row>8</xdr:row>
      <xdr:rowOff>167053</xdr:rowOff>
    </xdr:from>
    <xdr:to>
      <xdr:col>37</xdr:col>
      <xdr:colOff>455897</xdr:colOff>
      <xdr:row>38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4C3EE5-247D-4E42-BDA4-3F1BBDEF84E1}"/>
            </a:ext>
            <a:ext uri="{147F2762-F138-4A5C-976F-8EAC2B608ADB}">
              <a16:predDERef xmlns:a16="http://schemas.microsoft.com/office/drawing/2014/main" pred="{FCFD9598-47A2-43D7-808A-33FF96268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71094</xdr:colOff>
      <xdr:row>27</xdr:row>
      <xdr:rowOff>194327</xdr:rowOff>
    </xdr:from>
    <xdr:to>
      <xdr:col>32</xdr:col>
      <xdr:colOff>757252</xdr:colOff>
      <xdr:row>29</xdr:row>
      <xdr:rowOff>34689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44AD06-39E0-4596-B546-56C2C468CC53}"/>
            </a:ext>
            <a:ext uri="{147F2762-F138-4A5C-976F-8EAC2B608ADB}">
              <a16:predDERef xmlns:a16="http://schemas.microsoft.com/office/drawing/2014/main" pred="{484C3EE5-247D-4E42-BDA4-3F1BBDEF84E1}"/>
            </a:ext>
          </a:extLst>
        </xdr:cNvPr>
        <xdr:cNvSpPr txBox="1"/>
      </xdr:nvSpPr>
      <xdr:spPr>
        <a:xfrm>
          <a:off x="37469252" y="6031871"/>
          <a:ext cx="686158" cy="2414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282795</xdr:colOff>
      <xdr:row>30</xdr:row>
      <xdr:rowOff>26410</xdr:rowOff>
    </xdr:from>
    <xdr:to>
      <xdr:col>32</xdr:col>
      <xdr:colOff>578070</xdr:colOff>
      <xdr:row>31</xdr:row>
      <xdr:rowOff>595706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00A817D-7277-4667-B397-11A8229CDEC9}"/>
            </a:ext>
            <a:ext uri="{147F2762-F138-4A5C-976F-8EAC2B608ADB}">
              <a16:predDERef xmlns:a16="http://schemas.microsoft.com/office/drawing/2014/main" pred="{8044AD06-39E0-4596-B546-56C2C468CC53}"/>
            </a:ext>
          </a:extLst>
        </xdr:cNvPr>
        <xdr:cNvSpPr/>
      </xdr:nvSpPr>
      <xdr:spPr>
        <a:xfrm>
          <a:off x="37566366" y="6622634"/>
          <a:ext cx="295275" cy="802562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104999</xdr:colOff>
      <xdr:row>30</xdr:row>
      <xdr:rowOff>116914</xdr:rowOff>
    </xdr:from>
    <xdr:to>
      <xdr:col>29</xdr:col>
      <xdr:colOff>670959</xdr:colOff>
      <xdr:row>31</xdr:row>
      <xdr:rowOff>185635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6F6FC58-77D5-4056-B435-3C53E39AC2A8}"/>
            </a:ext>
            <a:ext uri="{147F2762-F138-4A5C-976F-8EAC2B608ADB}">
              <a16:predDERef xmlns:a16="http://schemas.microsoft.com/office/drawing/2014/main" pred="{A00A817D-7277-4667-B397-11A8229CDEC9}"/>
            </a:ext>
          </a:extLst>
        </xdr:cNvPr>
        <xdr:cNvSpPr txBox="1"/>
      </xdr:nvSpPr>
      <xdr:spPr>
        <a:xfrm>
          <a:off x="35029999" y="6556037"/>
          <a:ext cx="565960" cy="3026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29</xdr:col>
      <xdr:colOff>188217</xdr:colOff>
      <xdr:row>31</xdr:row>
      <xdr:rowOff>198742</xdr:rowOff>
    </xdr:from>
    <xdr:to>
      <xdr:col>29</xdr:col>
      <xdr:colOff>483492</xdr:colOff>
      <xdr:row>32</xdr:row>
      <xdr:rowOff>181920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DEC6ED5-E022-6AB2-74DA-94E8F9FFDA3B}"/>
            </a:ext>
            <a:ext uri="{147F2762-F138-4A5C-976F-8EAC2B608ADB}">
              <a16:predDERef xmlns:a16="http://schemas.microsoft.com/office/drawing/2014/main" pred="{8044AD06-39E0-4596-B546-56C2C468CC53}"/>
            </a:ext>
          </a:extLst>
        </xdr:cNvPr>
        <xdr:cNvSpPr/>
      </xdr:nvSpPr>
      <xdr:spPr>
        <a:xfrm>
          <a:off x="35113217" y="6871812"/>
          <a:ext cx="295275" cy="796424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179103</xdr:colOff>
      <xdr:row>45</xdr:row>
      <xdr:rowOff>81411</xdr:rowOff>
    </xdr:from>
    <xdr:to>
      <xdr:col>37</xdr:col>
      <xdr:colOff>748975</xdr:colOff>
      <xdr:row>58</xdr:row>
      <xdr:rowOff>113975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3F8E2CB-9160-4DCF-AB98-536EA2076DBF}"/>
            </a:ext>
            <a:ext uri="{147F2762-F138-4A5C-976F-8EAC2B608ADB}">
              <a16:predDERef xmlns:a16="http://schemas.microsoft.com/office/drawing/2014/main" pred="{FDEC6ED5-E022-6AB2-74DA-94E8F9FF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208643</xdr:colOff>
      <xdr:row>0</xdr:row>
      <xdr:rowOff>0</xdr:rowOff>
    </xdr:from>
    <xdr:to>
      <xdr:col>0</xdr:col>
      <xdr:colOff>1750483</xdr:colOff>
      <xdr:row>4</xdr:row>
      <xdr:rowOff>314914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5A8ED0-E080-434D-9679-93AAA7F58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43" y="0"/>
          <a:ext cx="1541840" cy="1127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349583</xdr:colOff>
      <xdr:row>25</xdr:row>
      <xdr:rowOff>180094</xdr:rowOff>
    </xdr:from>
    <xdr:to>
      <xdr:col>30</xdr:col>
      <xdr:colOff>744754</xdr:colOff>
      <xdr:row>34</xdr:row>
      <xdr:rowOff>148847</xdr:rowOff>
    </xdr:to>
    <xdr:sp macro="" textlink="">
      <xdr:nvSpPr>
        <xdr:cNvPr id="3" name="Rectangle 12">
          <a:extLst>
            <a:ext uri="{FF2B5EF4-FFF2-40B4-BE49-F238E27FC236}">
              <a16:creationId xmlns:a16="http://schemas.microsoft.com/office/drawing/2014/main" id="{178301E6-318B-47C0-B98D-28E08EBDE74A}"/>
            </a:ext>
            <a:ext uri="{147F2762-F138-4A5C-976F-8EAC2B608ADB}">
              <a16:predDERef xmlns:a16="http://schemas.microsoft.com/office/drawing/2014/main" pred="{463B2716-8BE0-4B40-869A-3E75EC18A566}"/>
            </a:ext>
          </a:extLst>
        </xdr:cNvPr>
        <xdr:cNvSpPr/>
      </xdr:nvSpPr>
      <xdr:spPr>
        <a:xfrm>
          <a:off x="36030233" y="5622044"/>
          <a:ext cx="395171" cy="2457953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508000</xdr:colOff>
      <xdr:row>8</xdr:row>
      <xdr:rowOff>167053</xdr:rowOff>
    </xdr:from>
    <xdr:to>
      <xdr:col>36</xdr:col>
      <xdr:colOff>455897</xdr:colOff>
      <xdr:row>38</xdr:row>
      <xdr:rowOff>190500</xdr:rowOff>
    </xdr:to>
    <xdr:graphicFrame macro="">
      <xdr:nvGraphicFramePr>
        <xdr:cNvPr id="15" name="Chart 3">
          <a:extLst>
            <a:ext uri="{FF2B5EF4-FFF2-40B4-BE49-F238E27FC236}">
              <a16:creationId xmlns:a16="http://schemas.microsoft.com/office/drawing/2014/main" id="{D4C23AC4-3431-474E-B57C-7CBAA97077D0}"/>
            </a:ext>
            <a:ext uri="{147F2762-F138-4A5C-976F-8EAC2B608ADB}">
              <a16:predDERef xmlns:a16="http://schemas.microsoft.com/office/drawing/2014/main" pred="{178301E6-318B-47C0-B98D-28E08EBDE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1335302</xdr:colOff>
      <xdr:row>18</xdr:row>
      <xdr:rowOff>1</xdr:rowOff>
    </xdr:from>
    <xdr:to>
      <xdr:col>26</xdr:col>
      <xdr:colOff>285749</xdr:colOff>
      <xdr:row>33</xdr:row>
      <xdr:rowOff>67504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8982315-E9F8-4206-AED6-D8DFA084AFA8}"/>
            </a:ext>
            <a:ext uri="{147F2762-F138-4A5C-976F-8EAC2B608ADB}">
              <a16:predDERef xmlns:a16="http://schemas.microsoft.com/office/drawing/2014/main" pred="{D4C23AC4-3431-474E-B57C-7CBAA97077D0}"/>
            </a:ext>
          </a:extLst>
        </xdr:cNvPr>
        <xdr:cNvSpPr/>
      </xdr:nvSpPr>
      <xdr:spPr>
        <a:xfrm>
          <a:off x="32237123" y="3905251"/>
          <a:ext cx="447233" cy="3836682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477940</xdr:colOff>
      <xdr:row>26</xdr:row>
      <xdr:rowOff>194160</xdr:rowOff>
    </xdr:from>
    <xdr:to>
      <xdr:col>33</xdr:col>
      <xdr:colOff>339712</xdr:colOff>
      <xdr:row>28</xdr:row>
      <xdr:rowOff>35023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538D453-5AF1-4BA2-9FBA-EB6AACE4B802}"/>
            </a:ext>
          </a:extLst>
        </xdr:cNvPr>
        <xdr:cNvSpPr txBox="1"/>
      </xdr:nvSpPr>
      <xdr:spPr>
        <a:xfrm>
          <a:off x="37815940" y="5874524"/>
          <a:ext cx="681499" cy="256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OPD</a:t>
          </a:r>
        </a:p>
      </xdr:txBody>
    </xdr:sp>
    <xdr:clientData/>
  </xdr:twoCellAnchor>
  <xdr:twoCellAnchor>
    <xdr:from>
      <xdr:col>32</xdr:col>
      <xdr:colOff>647700</xdr:colOff>
      <xdr:row>31</xdr:row>
      <xdr:rowOff>180975</xdr:rowOff>
    </xdr:from>
    <xdr:to>
      <xdr:col>33</xdr:col>
      <xdr:colOff>161925</xdr:colOff>
      <xdr:row>33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0B8125A-3AC3-470C-8176-1D4774FCACCC}"/>
            </a:ext>
            <a:ext uri="{147F2762-F138-4A5C-976F-8EAC2B608ADB}">
              <a16:predDERef xmlns:a16="http://schemas.microsoft.com/office/drawing/2014/main" pred="{A538D453-5AF1-4BA2-9FBA-EB6AACE4B802}"/>
            </a:ext>
          </a:extLst>
        </xdr:cNvPr>
        <xdr:cNvSpPr/>
      </xdr:nvSpPr>
      <xdr:spPr>
        <a:xfrm>
          <a:off x="36242625" y="6848475"/>
          <a:ext cx="295275" cy="828675"/>
        </a:xfrm>
        <a:prstGeom prst="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1263596</xdr:colOff>
      <xdr:row>16</xdr:row>
      <xdr:rowOff>27791</xdr:rowOff>
    </xdr:from>
    <xdr:to>
      <xdr:col>26</xdr:col>
      <xdr:colOff>325609</xdr:colOff>
      <xdr:row>17</xdr:row>
      <xdr:rowOff>129933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EB203A-86D6-4E0D-B91E-93080D254C9E}"/>
            </a:ext>
          </a:extLst>
        </xdr:cNvPr>
        <xdr:cNvSpPr txBox="1"/>
      </xdr:nvSpPr>
      <xdr:spPr>
        <a:xfrm>
          <a:off x="32165417" y="3524827"/>
          <a:ext cx="558799" cy="3062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EPD</a:t>
          </a:r>
        </a:p>
      </xdr:txBody>
    </xdr:sp>
    <xdr:clientData/>
  </xdr:twoCellAnchor>
  <xdr:twoCellAnchor>
    <xdr:from>
      <xdr:col>28</xdr:col>
      <xdr:colOff>300182</xdr:colOff>
      <xdr:row>46</xdr:row>
      <xdr:rowOff>80819</xdr:rowOff>
    </xdr:from>
    <xdr:to>
      <xdr:col>36</xdr:col>
      <xdr:colOff>369455</xdr:colOff>
      <xdr:row>58</xdr:row>
      <xdr:rowOff>57727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E095870-4D42-4055-AA75-0CFF09C065B0}"/>
            </a:ext>
            <a:ext uri="{147F2762-F138-4A5C-976F-8EAC2B608ADB}">
              <a16:predDERef xmlns:a16="http://schemas.microsoft.com/office/drawing/2014/main" pred="{33EB203A-86D6-4E0D-B91E-93080D254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fiza Khadija Ijaz" id="{C73B6DB0-5B0D-4BF4-A87B-476DDC1EDF8A}" userId="S::hljaz@dcwater.com::18df4640-6973-445c-83f4-148f3ddfa906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37A8AC05-575B-4004-9BFC-775C45E939EA}">
    <text>Red highlighted value comes from plant data conversion table</text>
  </threadedComment>
  <threadedComment ref="D32" dT="2024-03-18T18:47:19.88" personId="{C73B6DB0-5B0D-4BF4-A87B-476DDC1EDF8A}" id="{413DE2A9-6A6D-4426-993A-E75BC18BFB67}">
    <text xml:space="preserve">Sub-sample weight 
</text>
  </threadedComment>
  <threadedComment ref="D40" dT="2024-03-18T16:27:45.01" personId="{C73B6DB0-5B0D-4BF4-A87B-476DDC1EDF8A}" id="{35962336-29D4-4C66-9CBD-6DC81AF739F6}">
    <text>Take min 3 readings</text>
  </threadedComment>
  <threadedComment ref="I40" dT="2024-03-18T16:27:33.80" personId="{C73B6DB0-5B0D-4BF4-A87B-476DDC1EDF8A}" id="{75229362-39A8-499A-AB65-FDB29A820DC0}">
    <text>Take min 3 reading
Extra slots are given for outliers</text>
  </threadedComment>
  <threadedComment ref="D50" dT="2024-03-18T18:43:00.87" personId="{C73B6DB0-5B0D-4BF4-A87B-476DDC1EDF8A}" id="{8D7530F2-6E46-4420-9CD6-5535C7591E1A}">
    <text xml:space="preserve">Sample volume will remain same unless need to change due to thickness of filtrate </text>
  </threadedComment>
  <threadedComment ref="D61" dT="2024-03-18T18:46:02.76" personId="{C73B6DB0-5B0D-4BF4-A87B-476DDC1EDF8A}" id="{96D0D1A0-84E1-4D62-BF90-06428D4F815E}">
    <text>Sample + Tray weight &gt;= 5g</text>
  </threadedComment>
  <threadedComment ref="D75" dT="2024-03-18T18:43:00.87" personId="{C73B6DB0-5B0D-4BF4-A87B-476DDC1EDF8A}" id="{7BDD9662-5624-478A-9DF7-38B1D2F8823B}">
    <text xml:space="preserve">Sample volume will remain same unless need to change due to thickness of filtrate </text>
  </threadedComment>
  <threadedComment ref="D84" dT="2024-03-18T18:46:02.76" personId="{C73B6DB0-5B0D-4BF4-A87B-476DDC1EDF8A}" id="{A58C4F26-0242-4086-A8CB-7CA64F7D1724}">
    <text>Sample + Tray weight &gt;= 5g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BFC5D63F-905C-4B56-A7B3-8D010BD92365}">
    <text>Red highlighted value comes from plant data conversion table</text>
  </threadedComment>
  <threadedComment ref="D32" dT="2024-03-18T18:47:19.88" personId="{C73B6DB0-5B0D-4BF4-A87B-476DDC1EDF8A}" id="{7D53739C-6A5B-4519-A5B4-05F467C7B26E}">
    <text xml:space="preserve">Sub-sample weight 
</text>
  </threadedComment>
  <threadedComment ref="D40" dT="2024-03-18T16:27:45.01" personId="{C73B6DB0-5B0D-4BF4-A87B-476DDC1EDF8A}" id="{54661109-7212-4378-959E-5C31F4D062B4}">
    <text>Take min 3 readings</text>
  </threadedComment>
  <threadedComment ref="I40" dT="2024-03-18T16:27:33.80" personId="{C73B6DB0-5B0D-4BF4-A87B-476DDC1EDF8A}" id="{B2289BA8-A869-4186-8D1C-B5FB84AE8CB3}">
    <text>Take min 3 reading
Extra slots are given for outliers</text>
  </threadedComment>
  <threadedComment ref="D50" dT="2024-03-18T18:43:00.87" personId="{C73B6DB0-5B0D-4BF4-A87B-476DDC1EDF8A}" id="{1958E322-239A-4FFA-B697-84B8CD3ADE8A}">
    <text xml:space="preserve">Sample volume will remain same unless need to change due to thickness of filtrate </text>
  </threadedComment>
  <threadedComment ref="D61" dT="2024-03-18T18:46:02.76" personId="{C73B6DB0-5B0D-4BF4-A87B-476DDC1EDF8A}" id="{A14142DE-18C7-4A66-8C7D-5C68FE92748F}">
    <text>Sample + Tray weight &gt;= 5g</text>
  </threadedComment>
  <threadedComment ref="D75" dT="2024-03-18T18:43:00.87" personId="{C73B6DB0-5B0D-4BF4-A87B-476DDC1EDF8A}" id="{8D01D1A0-8573-468A-84EB-CB6EC2B4931D}">
    <text xml:space="preserve">Sample volume will remain same unless need to change due to thickness of filtrate </text>
  </threadedComment>
  <threadedComment ref="D84" dT="2024-03-18T18:46:02.76" personId="{C73B6DB0-5B0D-4BF4-A87B-476DDC1EDF8A}" id="{CCF5A466-09AA-435B-B130-833631CFEEEC}">
    <text>Sample + Tray weight &gt;= 5g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D63A71C3-D0DC-48BC-B8F3-C9B37A37A723}">
    <text>Red highlighted value comes from plant data conversion table</text>
  </threadedComment>
  <threadedComment ref="D32" dT="2024-03-18T18:47:19.88" personId="{C73B6DB0-5B0D-4BF4-A87B-476DDC1EDF8A}" id="{0BC5545E-F27C-42A3-A145-E797B0260653}">
    <text xml:space="preserve">Sub-sample weight 
</text>
  </threadedComment>
  <threadedComment ref="D40" dT="2024-03-18T16:27:45.01" personId="{C73B6DB0-5B0D-4BF4-A87B-476DDC1EDF8A}" id="{74F98B96-4229-48C5-A468-B0FFD9F87B6C}">
    <text>Take min 3 readings</text>
  </threadedComment>
  <threadedComment ref="I40" dT="2024-03-18T16:27:33.80" personId="{C73B6DB0-5B0D-4BF4-A87B-476DDC1EDF8A}" id="{359591ED-F9E3-4F8B-AC07-60178109E543}">
    <text>Take min 3 reading
Extra slots are given for outliers</text>
  </threadedComment>
  <threadedComment ref="D49" dT="2024-03-18T18:43:00.87" personId="{C73B6DB0-5B0D-4BF4-A87B-476DDC1EDF8A}" id="{DA3499F7-12D1-4315-8A1B-B885F38D890B}">
    <text xml:space="preserve">Sample volume will remain same unless need to change due to thickness of filtrate </text>
  </threadedComment>
  <threadedComment ref="D60" dT="2024-03-18T18:46:02.76" personId="{C73B6DB0-5B0D-4BF4-A87B-476DDC1EDF8A}" id="{B5789C9F-7227-465E-8F17-70D59183A8B6}">
    <text>Sample + Tray weight &gt;= 5g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9CBD257E-F308-4B63-9183-DABC96123391}">
    <text>Red highlighted value comes from plant data conversion table</text>
  </threadedComment>
  <threadedComment ref="D32" dT="2024-03-18T18:47:19.88" personId="{C73B6DB0-5B0D-4BF4-A87B-476DDC1EDF8A}" id="{BD7956F2-B241-4FFA-B966-61BCBD484D06}">
    <text xml:space="preserve">Sub-sample weight 
</text>
  </threadedComment>
  <threadedComment ref="D40" dT="2024-03-18T16:27:45.01" personId="{C73B6DB0-5B0D-4BF4-A87B-476DDC1EDF8A}" id="{C486F203-C75F-476D-92F2-5D91A3A5F0DE}">
    <text>Take min 3 readings</text>
  </threadedComment>
  <threadedComment ref="I40" dT="2024-03-18T16:27:33.80" personId="{C73B6DB0-5B0D-4BF4-A87B-476DDC1EDF8A}" id="{EEAEA38A-006E-4B20-92A7-522D000CF799}">
    <text>Take min 3 reading
Extra slots are given for outliers</text>
  </threadedComment>
  <threadedComment ref="D49" dT="2024-03-18T18:43:00.87" personId="{C73B6DB0-5B0D-4BF4-A87B-476DDC1EDF8A}" id="{8E1D691A-67F6-4AE1-9954-841FBC01993A}">
    <text xml:space="preserve">Sample volume will remain same unless need to change due to thickness of filtrate </text>
  </threadedComment>
  <threadedComment ref="D60" dT="2024-03-18T18:46:02.76" personId="{C73B6DB0-5B0D-4BF4-A87B-476DDC1EDF8A}" id="{CA69E9D0-10C7-460A-937B-BF5BAB7B9B21}">
    <text>Sample + Tray weight &gt;= 5g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C1653695-95EA-4ABF-B5E7-67946FFE1AA8}">
    <text>Red highlighted value comes from plant data conversion table</text>
  </threadedComment>
  <threadedComment ref="D32" dT="2024-03-18T18:47:19.88" personId="{C73B6DB0-5B0D-4BF4-A87B-476DDC1EDF8A}" id="{6B35169B-2AB7-4E2F-B949-29B755CD3C55}">
    <text xml:space="preserve">Sub-sample weight 
</text>
  </threadedComment>
  <threadedComment ref="D40" dT="2024-03-18T16:27:45.01" personId="{C73B6DB0-5B0D-4BF4-A87B-476DDC1EDF8A}" id="{44440CD6-0241-4CF4-B5E2-563F52ADA55E}">
    <text>Take min 3 readings</text>
  </threadedComment>
  <threadedComment ref="I40" dT="2024-03-18T16:27:33.80" personId="{C73B6DB0-5B0D-4BF4-A87B-476DDC1EDF8A}" id="{61EF9EAA-E620-4A46-A500-A2D27308F2C4}">
    <text>Take min 3 reading
Extra slots are given for outliers</text>
  </threadedComment>
  <threadedComment ref="D49" dT="2024-03-18T18:43:00.87" personId="{C73B6DB0-5B0D-4BF4-A87B-476DDC1EDF8A}" id="{A6BF2A8B-4F08-4DAB-806A-2561BB766FF6}">
    <text xml:space="preserve">Sample volume will remain same unless need to change due to thickness of filtrate </text>
  </threadedComment>
  <threadedComment ref="D60" dT="2024-03-18T18:46:02.76" personId="{C73B6DB0-5B0D-4BF4-A87B-476DDC1EDF8A}" id="{DD629C78-E201-41DD-8F75-A5B23DF56801}">
    <text>Sample + Tray weight &gt;= 5g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32" dT="2024-03-18T18:46:56.38" personId="{C73B6DB0-5B0D-4BF4-A87B-476DDC1EDF8A}" id="{BE8505A2-9196-419D-AA39-AA517EEB10DA}">
    <text>Red highlighted value comes from plant data conversion table</text>
  </threadedComment>
  <threadedComment ref="D32" dT="2024-03-18T18:47:19.88" personId="{C73B6DB0-5B0D-4BF4-A87B-476DDC1EDF8A}" id="{E6C340E4-F2A2-46AF-A6E6-131BFA6C455D}">
    <text xml:space="preserve">Sub-sample weight 
</text>
  </threadedComment>
  <threadedComment ref="D40" dT="2024-03-18T16:27:45.01" personId="{C73B6DB0-5B0D-4BF4-A87B-476DDC1EDF8A}" id="{06149157-A6B7-41A9-9926-18E7716BE99E}">
    <text>Take min 3 readings</text>
  </threadedComment>
  <threadedComment ref="I40" dT="2024-03-18T16:27:33.80" personId="{C73B6DB0-5B0D-4BF4-A87B-476DDC1EDF8A}" id="{42B054BF-0EAD-447F-B16F-6813A0A4C1EA}">
    <text>Take min 3 reading
Extra slots are given for outliers</text>
  </threadedComment>
  <threadedComment ref="D49" dT="2024-03-18T18:43:00.87" personId="{C73B6DB0-5B0D-4BF4-A87B-476DDC1EDF8A}" id="{0DE714C4-6271-4EB2-A0DD-45CCEB006790}">
    <text xml:space="preserve">Sample volume will remain same unless need to change due to thickness of filtrate </text>
  </threadedComment>
  <threadedComment ref="D60" dT="2024-03-18T18:46:02.76" personId="{C73B6DB0-5B0D-4BF4-A87B-476DDC1EDF8A}" id="{1B856DFB-471E-45AA-9A75-26F87332E4A7}">
    <text>Sample + Tray weight &gt;= 5g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DA1-CCF9-4431-AEFF-4F255192AA11}">
  <sheetPr codeName="Sheet2"/>
  <dimension ref="A1:K6"/>
  <sheetViews>
    <sheetView workbookViewId="0"/>
  </sheetViews>
  <sheetFormatPr defaultColWidth="8.7109375" defaultRowHeight="15" x14ac:dyDescent="0.25"/>
  <cols>
    <col min="1" max="1" width="125.28515625" bestFit="1" customWidth="1"/>
    <col min="4" max="4" width="31.28515625" bestFit="1" customWidth="1"/>
  </cols>
  <sheetData>
    <row r="1" spans="1:11" x14ac:dyDescent="0.25">
      <c r="A1" s="41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x14ac:dyDescent="0.25">
      <c r="A2" s="37" t="s">
        <v>1</v>
      </c>
      <c r="B2" s="36"/>
      <c r="C2" s="36"/>
      <c r="D2" s="37"/>
      <c r="E2" s="36"/>
      <c r="F2" s="36"/>
      <c r="G2" s="36"/>
      <c r="H2" s="36"/>
      <c r="I2" s="36"/>
      <c r="J2" s="36"/>
      <c r="K2" s="36"/>
    </row>
    <row r="3" spans="1:11" ht="15.75" x14ac:dyDescent="0.25">
      <c r="A3" s="38" t="s">
        <v>2</v>
      </c>
      <c r="B3" s="39"/>
      <c r="C3" s="39"/>
      <c r="D3" s="39"/>
      <c r="E3" s="39"/>
      <c r="F3" s="39"/>
      <c r="G3" s="36"/>
      <c r="H3" s="36"/>
      <c r="I3" s="36"/>
      <c r="J3" s="36"/>
      <c r="K3" s="36"/>
    </row>
    <row r="4" spans="1:11" ht="15.75" x14ac:dyDescent="0.25">
      <c r="A4" s="39"/>
      <c r="B4" s="39"/>
      <c r="C4" s="39"/>
      <c r="D4" s="39"/>
      <c r="E4" s="39"/>
      <c r="F4" s="39"/>
      <c r="G4" s="36"/>
      <c r="H4" s="36"/>
      <c r="I4" s="36"/>
      <c r="J4" s="36"/>
      <c r="K4" s="36"/>
    </row>
    <row r="5" spans="1:11" ht="15.75" x14ac:dyDescent="0.25">
      <c r="A5" s="39"/>
      <c r="B5" s="39"/>
      <c r="C5" s="39"/>
      <c r="D5" s="39"/>
      <c r="E5" s="40"/>
      <c r="F5" s="39"/>
      <c r="G5" s="36"/>
      <c r="H5" s="36"/>
      <c r="I5" s="36"/>
      <c r="J5" s="36"/>
      <c r="K5" s="36"/>
    </row>
    <row r="6" spans="1:11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3DB4-DD06-497D-A04D-A41A4A8F9A5D}">
  <sheetPr codeName="Sheet115"/>
  <dimension ref="A1:AH1167"/>
  <sheetViews>
    <sheetView workbookViewId="0">
      <selection sqref="A1:M1"/>
    </sheetView>
  </sheetViews>
  <sheetFormatPr defaultColWidth="8.7109375" defaultRowHeight="15" x14ac:dyDescent="0.25"/>
  <cols>
    <col min="1" max="1" width="15.42578125" style="118" bestFit="1" customWidth="1"/>
    <col min="2" max="2" width="15.42578125" style="118" customWidth="1"/>
    <col min="3" max="3" width="12.7109375" style="118" bestFit="1" customWidth="1"/>
    <col min="4" max="4" width="29.28515625" style="118" bestFit="1" customWidth="1"/>
    <col min="5" max="5" width="25" style="118" bestFit="1" customWidth="1"/>
    <col min="6" max="6" width="17.42578125" style="118" bestFit="1" customWidth="1"/>
    <col min="7" max="7" width="23.42578125" style="118" bestFit="1" customWidth="1"/>
    <col min="8" max="8" width="24.42578125" style="118" bestFit="1" customWidth="1"/>
    <col min="9" max="9" width="14.42578125" style="118" bestFit="1" customWidth="1"/>
    <col min="10" max="10" width="23.28515625" style="118" bestFit="1" customWidth="1"/>
    <col min="11" max="11" width="24.42578125" style="118" bestFit="1" customWidth="1"/>
    <col min="12" max="12" width="14.42578125" style="118" bestFit="1" customWidth="1"/>
    <col min="13" max="13" width="23.28515625" style="118" bestFit="1" customWidth="1"/>
    <col min="14" max="16" width="23.28515625" style="99" customWidth="1"/>
    <col min="17" max="16384" width="8.7109375" style="99"/>
  </cols>
  <sheetData>
    <row r="1" spans="1:16" x14ac:dyDescent="0.25">
      <c r="A1" s="284" t="s">
        <v>155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98"/>
      <c r="O1" s="98"/>
      <c r="P1" s="98"/>
    </row>
    <row r="2" spans="1:16" x14ac:dyDescent="0.25">
      <c r="A2" s="118" t="s">
        <v>272</v>
      </c>
      <c r="B2" s="118" t="s">
        <v>154</v>
      </c>
      <c r="C2" s="118" t="s">
        <v>156</v>
      </c>
      <c r="D2" s="118" t="s">
        <v>157</v>
      </c>
      <c r="E2" s="118" t="s">
        <v>158</v>
      </c>
      <c r="F2" s="118" t="s">
        <v>273</v>
      </c>
      <c r="G2" s="118" t="s">
        <v>159</v>
      </c>
      <c r="H2" s="118" t="s">
        <v>160</v>
      </c>
      <c r="I2" s="118" t="s">
        <v>161</v>
      </c>
      <c r="J2" s="118" t="s">
        <v>162</v>
      </c>
      <c r="K2" s="118" t="s">
        <v>163</v>
      </c>
      <c r="L2" s="118" t="s">
        <v>164</v>
      </c>
      <c r="M2" s="118" t="s">
        <v>165</v>
      </c>
    </row>
    <row r="3" spans="1:16" x14ac:dyDescent="0.25">
      <c r="A3" s="119" t="s">
        <v>166</v>
      </c>
      <c r="B3" s="119">
        <v>44456</v>
      </c>
      <c r="C3" s="120" t="e">
        <f t="shared" ref="C3:C66" ca="1" si="0">INDIRECT(CONCATENATE("",$A3,"!H10"))</f>
        <v>#REF!</v>
      </c>
      <c r="D3" s="120" t="e">
        <f t="shared" ref="D3:D66" ca="1" si="1">INDIRECT(CONCATENATE("",$A3,"!H11"))</f>
        <v>#REF!</v>
      </c>
      <c r="E3" s="120" t="e">
        <f t="shared" ref="E3:E66" ca="1" si="2">INDIRECT(CONCATENATE("",$A3,"!H12"))</f>
        <v>#REF!</v>
      </c>
      <c r="F3" s="120" t="e">
        <f t="shared" ref="F3:F66" ca="1" si="3">INDIRECT(CONCATENATE("",$A3,"!H13"))</f>
        <v>#REF!</v>
      </c>
      <c r="G3" s="120" t="e">
        <f t="shared" ref="G3:G66" ca="1" si="4">INDIRECT(CONCATENATE("",$A3,"!H14"))</f>
        <v>#REF!</v>
      </c>
      <c r="H3" s="120" t="e">
        <f t="shared" ref="H3:H66" ca="1" si="5">INDIRECT(CONCATENATE("",$A3,"!i12"))</f>
        <v>#REF!</v>
      </c>
      <c r="I3" s="120" t="e">
        <f t="shared" ref="I3:I66" ca="1" si="6">INDIRECT(CONCATENATE("",$A3,"!i13"))</f>
        <v>#REF!</v>
      </c>
      <c r="J3" s="120" t="e">
        <f t="shared" ref="J3:J66" ca="1" si="7">INDIRECT(CONCATENATE("",$A3,"!i14"))</f>
        <v>#REF!</v>
      </c>
      <c r="K3" s="120" t="e">
        <f t="shared" ref="K3:K66" ca="1" si="8">INDIRECT(CONCATENATE("",$A3,"!J12"))</f>
        <v>#REF!</v>
      </c>
      <c r="L3" s="120" t="e">
        <f t="shared" ref="L3:L66" ca="1" si="9">INDIRECT(CONCATENATE("",$A3,"!J13"))</f>
        <v>#REF!</v>
      </c>
      <c r="M3" s="120" t="e">
        <f t="shared" ref="M3:M66" ca="1" si="10">INDIRECT(CONCATENATE("",$A3,"!J14"))</f>
        <v>#REF!</v>
      </c>
    </row>
    <row r="4" spans="1:16" x14ac:dyDescent="0.25">
      <c r="A4" s="119" t="s">
        <v>274</v>
      </c>
      <c r="B4" s="119">
        <v>44457</v>
      </c>
      <c r="C4" s="120" t="e">
        <f t="shared" ca="1" si="0"/>
        <v>#REF!</v>
      </c>
      <c r="D4" s="120" t="e">
        <f t="shared" ca="1" si="1"/>
        <v>#REF!</v>
      </c>
      <c r="E4" s="120" t="e">
        <f t="shared" ca="1" si="2"/>
        <v>#REF!</v>
      </c>
      <c r="F4" s="120" t="e">
        <f t="shared" ca="1" si="3"/>
        <v>#REF!</v>
      </c>
      <c r="G4" s="120" t="e">
        <f t="shared" ca="1" si="4"/>
        <v>#REF!</v>
      </c>
      <c r="H4" s="120" t="e">
        <f t="shared" ca="1" si="5"/>
        <v>#REF!</v>
      </c>
      <c r="I4" s="120" t="e">
        <f t="shared" ca="1" si="6"/>
        <v>#REF!</v>
      </c>
      <c r="J4" s="120" t="e">
        <f t="shared" ca="1" si="7"/>
        <v>#REF!</v>
      </c>
      <c r="K4" s="120" t="e">
        <f t="shared" ca="1" si="8"/>
        <v>#REF!</v>
      </c>
      <c r="L4" s="120" t="e">
        <f t="shared" ca="1" si="9"/>
        <v>#REF!</v>
      </c>
      <c r="M4" s="120" t="e">
        <f t="shared" ca="1" si="10"/>
        <v>#REF!</v>
      </c>
    </row>
    <row r="5" spans="1:16" x14ac:dyDescent="0.25">
      <c r="A5" s="119" t="s">
        <v>275</v>
      </c>
      <c r="B5" s="119">
        <v>44458</v>
      </c>
      <c r="C5" s="120" t="e">
        <f t="shared" ca="1" si="0"/>
        <v>#REF!</v>
      </c>
      <c r="D5" s="120" t="e">
        <f t="shared" ca="1" si="1"/>
        <v>#REF!</v>
      </c>
      <c r="E5" s="120" t="e">
        <f t="shared" ca="1" si="2"/>
        <v>#REF!</v>
      </c>
      <c r="F5" s="120" t="e">
        <f t="shared" ca="1" si="3"/>
        <v>#REF!</v>
      </c>
      <c r="G5" s="120" t="e">
        <f t="shared" ca="1" si="4"/>
        <v>#REF!</v>
      </c>
      <c r="H5" s="120" t="e">
        <f t="shared" ca="1" si="5"/>
        <v>#REF!</v>
      </c>
      <c r="I5" s="120" t="e">
        <f t="shared" ca="1" si="6"/>
        <v>#REF!</v>
      </c>
      <c r="J5" s="120" t="e">
        <f t="shared" ca="1" si="7"/>
        <v>#REF!</v>
      </c>
      <c r="K5" s="120" t="e">
        <f t="shared" ca="1" si="8"/>
        <v>#REF!</v>
      </c>
      <c r="L5" s="120" t="e">
        <f t="shared" ca="1" si="9"/>
        <v>#REF!</v>
      </c>
      <c r="M5" s="120" t="e">
        <f t="shared" ca="1" si="10"/>
        <v>#REF!</v>
      </c>
    </row>
    <row r="6" spans="1:16" x14ac:dyDescent="0.25">
      <c r="A6" s="119">
        <v>44459</v>
      </c>
      <c r="B6" s="119">
        <v>44459</v>
      </c>
      <c r="C6" s="120" t="e">
        <f t="shared" ca="1" si="0"/>
        <v>#REF!</v>
      </c>
      <c r="D6" s="120" t="e">
        <f t="shared" ca="1" si="1"/>
        <v>#REF!</v>
      </c>
      <c r="E6" s="120" t="e">
        <f t="shared" ca="1" si="2"/>
        <v>#REF!</v>
      </c>
      <c r="F6" s="120" t="e">
        <f t="shared" ca="1" si="3"/>
        <v>#REF!</v>
      </c>
      <c r="G6" s="120" t="e">
        <f t="shared" ca="1" si="4"/>
        <v>#REF!</v>
      </c>
      <c r="H6" s="120" t="e">
        <f t="shared" ca="1" si="5"/>
        <v>#REF!</v>
      </c>
      <c r="I6" s="120" t="e">
        <f t="shared" ca="1" si="6"/>
        <v>#REF!</v>
      </c>
      <c r="J6" s="120" t="e">
        <f t="shared" ca="1" si="7"/>
        <v>#REF!</v>
      </c>
      <c r="K6" s="120" t="e">
        <f t="shared" ca="1" si="8"/>
        <v>#REF!</v>
      </c>
      <c r="L6" s="120" t="e">
        <f t="shared" ca="1" si="9"/>
        <v>#REF!</v>
      </c>
      <c r="M6" s="120" t="e">
        <f t="shared" ca="1" si="10"/>
        <v>#REF!</v>
      </c>
    </row>
    <row r="7" spans="1:16" x14ac:dyDescent="0.25">
      <c r="A7" s="119">
        <v>44460</v>
      </c>
      <c r="B7" s="119">
        <v>44460</v>
      </c>
      <c r="C7" s="120" t="e">
        <f t="shared" ca="1" si="0"/>
        <v>#REF!</v>
      </c>
      <c r="D7" s="120" t="e">
        <f t="shared" ca="1" si="1"/>
        <v>#REF!</v>
      </c>
      <c r="E7" s="120" t="e">
        <f t="shared" ca="1" si="2"/>
        <v>#REF!</v>
      </c>
      <c r="F7" s="120" t="e">
        <f t="shared" ca="1" si="3"/>
        <v>#REF!</v>
      </c>
      <c r="G7" s="120" t="e">
        <f t="shared" ca="1" si="4"/>
        <v>#REF!</v>
      </c>
      <c r="H7" s="120" t="e">
        <f t="shared" ca="1" si="5"/>
        <v>#REF!</v>
      </c>
      <c r="I7" s="120" t="e">
        <f t="shared" ca="1" si="6"/>
        <v>#REF!</v>
      </c>
      <c r="J7" s="120" t="e">
        <f t="shared" ca="1" si="7"/>
        <v>#REF!</v>
      </c>
      <c r="K7" s="120" t="e">
        <f t="shared" ca="1" si="8"/>
        <v>#REF!</v>
      </c>
      <c r="L7" s="120" t="e">
        <f t="shared" ca="1" si="9"/>
        <v>#REF!</v>
      </c>
      <c r="M7" s="120" t="e">
        <f t="shared" ca="1" si="10"/>
        <v>#REF!</v>
      </c>
    </row>
    <row r="8" spans="1:16" x14ac:dyDescent="0.25">
      <c r="A8" s="119">
        <v>44461</v>
      </c>
      <c r="B8" s="119">
        <v>44461</v>
      </c>
      <c r="C8" s="120" t="e">
        <f t="shared" ca="1" si="0"/>
        <v>#REF!</v>
      </c>
      <c r="D8" s="120" t="e">
        <f t="shared" ca="1" si="1"/>
        <v>#REF!</v>
      </c>
      <c r="E8" s="120" t="e">
        <f t="shared" ca="1" si="2"/>
        <v>#REF!</v>
      </c>
      <c r="F8" s="120" t="e">
        <f t="shared" ca="1" si="3"/>
        <v>#REF!</v>
      </c>
      <c r="G8" s="120" t="e">
        <f t="shared" ca="1" si="4"/>
        <v>#REF!</v>
      </c>
      <c r="H8" s="120" t="e">
        <f t="shared" ca="1" si="5"/>
        <v>#REF!</v>
      </c>
      <c r="I8" s="120" t="e">
        <f t="shared" ca="1" si="6"/>
        <v>#REF!</v>
      </c>
      <c r="J8" s="120" t="e">
        <f t="shared" ca="1" si="7"/>
        <v>#REF!</v>
      </c>
      <c r="K8" s="120" t="e">
        <f t="shared" ca="1" si="8"/>
        <v>#REF!</v>
      </c>
      <c r="L8" s="120" t="e">
        <f t="shared" ca="1" si="9"/>
        <v>#REF!</v>
      </c>
      <c r="M8" s="120" t="e">
        <f t="shared" ca="1" si="10"/>
        <v>#REF!</v>
      </c>
    </row>
    <row r="9" spans="1:16" x14ac:dyDescent="0.25">
      <c r="A9" s="119">
        <v>44462</v>
      </c>
      <c r="B9" s="119">
        <v>44462</v>
      </c>
      <c r="C9" s="120" t="e">
        <f t="shared" ca="1" si="0"/>
        <v>#REF!</v>
      </c>
      <c r="D9" s="120" t="e">
        <f t="shared" ca="1" si="1"/>
        <v>#REF!</v>
      </c>
      <c r="E9" s="120" t="e">
        <f t="shared" ca="1" si="2"/>
        <v>#REF!</v>
      </c>
      <c r="F9" s="120" t="e">
        <f t="shared" ca="1" si="3"/>
        <v>#REF!</v>
      </c>
      <c r="G9" s="120" t="e">
        <f t="shared" ca="1" si="4"/>
        <v>#REF!</v>
      </c>
      <c r="H9" s="120" t="e">
        <f t="shared" ca="1" si="5"/>
        <v>#REF!</v>
      </c>
      <c r="I9" s="120" t="e">
        <f t="shared" ca="1" si="6"/>
        <v>#REF!</v>
      </c>
      <c r="J9" s="120" t="e">
        <f t="shared" ca="1" si="7"/>
        <v>#REF!</v>
      </c>
      <c r="K9" s="120" t="e">
        <f t="shared" ca="1" si="8"/>
        <v>#REF!</v>
      </c>
      <c r="L9" s="120" t="e">
        <f t="shared" ca="1" si="9"/>
        <v>#REF!</v>
      </c>
      <c r="M9" s="120" t="e">
        <f t="shared" ca="1" si="10"/>
        <v>#REF!</v>
      </c>
    </row>
    <row r="10" spans="1:16" x14ac:dyDescent="0.25">
      <c r="A10" s="119">
        <v>44463</v>
      </c>
      <c r="B10" s="119">
        <v>44463</v>
      </c>
      <c r="C10" s="120" t="e">
        <f t="shared" ca="1" si="0"/>
        <v>#REF!</v>
      </c>
      <c r="D10" s="120" t="e">
        <f t="shared" ca="1" si="1"/>
        <v>#REF!</v>
      </c>
      <c r="E10" s="120" t="e">
        <f t="shared" ca="1" si="2"/>
        <v>#REF!</v>
      </c>
      <c r="F10" s="120" t="e">
        <f t="shared" ca="1" si="3"/>
        <v>#REF!</v>
      </c>
      <c r="G10" s="120" t="e">
        <f t="shared" ca="1" si="4"/>
        <v>#REF!</v>
      </c>
      <c r="H10" s="120" t="e">
        <f t="shared" ca="1" si="5"/>
        <v>#REF!</v>
      </c>
      <c r="I10" s="120" t="e">
        <f t="shared" ca="1" si="6"/>
        <v>#REF!</v>
      </c>
      <c r="J10" s="120" t="e">
        <f t="shared" ca="1" si="7"/>
        <v>#REF!</v>
      </c>
      <c r="K10" s="120" t="e">
        <f t="shared" ca="1" si="8"/>
        <v>#REF!</v>
      </c>
      <c r="L10" s="120" t="e">
        <f t="shared" ca="1" si="9"/>
        <v>#REF!</v>
      </c>
      <c r="M10" s="120" t="e">
        <f t="shared" ca="1" si="10"/>
        <v>#REF!</v>
      </c>
    </row>
    <row r="11" spans="1:16" x14ac:dyDescent="0.25">
      <c r="A11" s="119">
        <v>44464</v>
      </c>
      <c r="B11" s="119">
        <v>44464</v>
      </c>
      <c r="C11" s="120" t="e">
        <f t="shared" ca="1" si="0"/>
        <v>#REF!</v>
      </c>
      <c r="D11" s="120" t="e">
        <f t="shared" ca="1" si="1"/>
        <v>#REF!</v>
      </c>
      <c r="E11" s="120" t="e">
        <f t="shared" ca="1" si="2"/>
        <v>#REF!</v>
      </c>
      <c r="F11" s="120" t="e">
        <f t="shared" ca="1" si="3"/>
        <v>#REF!</v>
      </c>
      <c r="G11" s="120" t="e">
        <f t="shared" ca="1" si="4"/>
        <v>#REF!</v>
      </c>
      <c r="H11" s="120" t="e">
        <f t="shared" ca="1" si="5"/>
        <v>#REF!</v>
      </c>
      <c r="I11" s="120" t="e">
        <f t="shared" ca="1" si="6"/>
        <v>#REF!</v>
      </c>
      <c r="J11" s="120" t="e">
        <f t="shared" ca="1" si="7"/>
        <v>#REF!</v>
      </c>
      <c r="K11" s="120" t="e">
        <f t="shared" ca="1" si="8"/>
        <v>#REF!</v>
      </c>
      <c r="L11" s="120" t="e">
        <f t="shared" ca="1" si="9"/>
        <v>#REF!</v>
      </c>
      <c r="M11" s="120" t="e">
        <f t="shared" ca="1" si="10"/>
        <v>#REF!</v>
      </c>
    </row>
    <row r="12" spans="1:16" x14ac:dyDescent="0.25">
      <c r="A12" s="119">
        <v>44465</v>
      </c>
      <c r="B12" s="119">
        <v>44465</v>
      </c>
      <c r="C12" s="120" t="e">
        <f t="shared" ca="1" si="0"/>
        <v>#REF!</v>
      </c>
      <c r="D12" s="120" t="e">
        <f t="shared" ca="1" si="1"/>
        <v>#REF!</v>
      </c>
      <c r="E12" s="120" t="e">
        <f t="shared" ca="1" si="2"/>
        <v>#REF!</v>
      </c>
      <c r="F12" s="120" t="e">
        <f t="shared" ca="1" si="3"/>
        <v>#REF!</v>
      </c>
      <c r="G12" s="120" t="e">
        <f t="shared" ca="1" si="4"/>
        <v>#REF!</v>
      </c>
      <c r="H12" s="120" t="e">
        <f t="shared" ca="1" si="5"/>
        <v>#REF!</v>
      </c>
      <c r="I12" s="120" t="e">
        <f t="shared" ca="1" si="6"/>
        <v>#REF!</v>
      </c>
      <c r="J12" s="120" t="e">
        <f t="shared" ca="1" si="7"/>
        <v>#REF!</v>
      </c>
      <c r="K12" s="120" t="e">
        <f t="shared" ca="1" si="8"/>
        <v>#REF!</v>
      </c>
      <c r="L12" s="120" t="e">
        <f t="shared" ca="1" si="9"/>
        <v>#REF!</v>
      </c>
      <c r="M12" s="120" t="e">
        <f t="shared" ca="1" si="10"/>
        <v>#REF!</v>
      </c>
    </row>
    <row r="13" spans="1:16" x14ac:dyDescent="0.25">
      <c r="A13" s="119">
        <v>44466</v>
      </c>
      <c r="B13" s="119">
        <v>44466</v>
      </c>
      <c r="C13" s="120" t="e">
        <f t="shared" ca="1" si="0"/>
        <v>#REF!</v>
      </c>
      <c r="D13" s="120" t="e">
        <f t="shared" ca="1" si="1"/>
        <v>#REF!</v>
      </c>
      <c r="E13" s="120" t="e">
        <f t="shared" ca="1" si="2"/>
        <v>#REF!</v>
      </c>
      <c r="F13" s="120" t="e">
        <f t="shared" ca="1" si="3"/>
        <v>#REF!</v>
      </c>
      <c r="G13" s="120" t="e">
        <f t="shared" ca="1" si="4"/>
        <v>#REF!</v>
      </c>
      <c r="H13" s="120" t="e">
        <f t="shared" ca="1" si="5"/>
        <v>#REF!</v>
      </c>
      <c r="I13" s="120" t="e">
        <f t="shared" ca="1" si="6"/>
        <v>#REF!</v>
      </c>
      <c r="J13" s="120" t="e">
        <f t="shared" ca="1" si="7"/>
        <v>#REF!</v>
      </c>
      <c r="K13" s="120" t="e">
        <f t="shared" ca="1" si="8"/>
        <v>#REF!</v>
      </c>
      <c r="L13" s="120" t="e">
        <f t="shared" ca="1" si="9"/>
        <v>#REF!</v>
      </c>
      <c r="M13" s="120" t="e">
        <f t="shared" ca="1" si="10"/>
        <v>#REF!</v>
      </c>
    </row>
    <row r="14" spans="1:16" x14ac:dyDescent="0.25">
      <c r="A14" s="119">
        <v>44467</v>
      </c>
      <c r="B14" s="119">
        <v>44467</v>
      </c>
      <c r="C14" s="120" t="e">
        <f t="shared" ca="1" si="0"/>
        <v>#REF!</v>
      </c>
      <c r="D14" s="120" t="e">
        <f t="shared" ca="1" si="1"/>
        <v>#REF!</v>
      </c>
      <c r="E14" s="120" t="e">
        <f t="shared" ca="1" si="2"/>
        <v>#REF!</v>
      </c>
      <c r="F14" s="120" t="e">
        <f t="shared" ca="1" si="3"/>
        <v>#REF!</v>
      </c>
      <c r="G14" s="120" t="e">
        <f t="shared" ca="1" si="4"/>
        <v>#REF!</v>
      </c>
      <c r="H14" s="120" t="e">
        <f t="shared" ca="1" si="5"/>
        <v>#REF!</v>
      </c>
      <c r="I14" s="120" t="e">
        <f t="shared" ca="1" si="6"/>
        <v>#REF!</v>
      </c>
      <c r="J14" s="120" t="e">
        <f t="shared" ca="1" si="7"/>
        <v>#REF!</v>
      </c>
      <c r="K14" s="120" t="e">
        <f t="shared" ca="1" si="8"/>
        <v>#REF!</v>
      </c>
      <c r="L14" s="120" t="e">
        <f t="shared" ca="1" si="9"/>
        <v>#REF!</v>
      </c>
      <c r="M14" s="120" t="e">
        <f t="shared" ca="1" si="10"/>
        <v>#REF!</v>
      </c>
    </row>
    <row r="15" spans="1:16" x14ac:dyDescent="0.25">
      <c r="A15" s="119">
        <v>44468</v>
      </c>
      <c r="B15" s="119">
        <v>44468</v>
      </c>
      <c r="C15" s="120" t="e">
        <f t="shared" ca="1" si="0"/>
        <v>#REF!</v>
      </c>
      <c r="D15" s="120" t="e">
        <f t="shared" ca="1" si="1"/>
        <v>#REF!</v>
      </c>
      <c r="E15" s="120" t="e">
        <f t="shared" ca="1" si="2"/>
        <v>#REF!</v>
      </c>
      <c r="F15" s="120" t="e">
        <f t="shared" ca="1" si="3"/>
        <v>#REF!</v>
      </c>
      <c r="G15" s="120" t="e">
        <f t="shared" ca="1" si="4"/>
        <v>#REF!</v>
      </c>
      <c r="H15" s="120" t="e">
        <f t="shared" ca="1" si="5"/>
        <v>#REF!</v>
      </c>
      <c r="I15" s="120" t="e">
        <f t="shared" ca="1" si="6"/>
        <v>#REF!</v>
      </c>
      <c r="J15" s="120" t="e">
        <f t="shared" ca="1" si="7"/>
        <v>#REF!</v>
      </c>
      <c r="K15" s="120" t="e">
        <f t="shared" ca="1" si="8"/>
        <v>#REF!</v>
      </c>
      <c r="L15" s="120" t="e">
        <f t="shared" ca="1" si="9"/>
        <v>#REF!</v>
      </c>
      <c r="M15" s="120" t="e">
        <f t="shared" ca="1" si="10"/>
        <v>#REF!</v>
      </c>
    </row>
    <row r="16" spans="1:16" x14ac:dyDescent="0.25">
      <c r="A16" s="119">
        <v>44469</v>
      </c>
      <c r="B16" s="119">
        <v>44469</v>
      </c>
      <c r="C16" s="120" t="e">
        <f t="shared" ca="1" si="0"/>
        <v>#REF!</v>
      </c>
      <c r="D16" s="120" t="e">
        <f t="shared" ca="1" si="1"/>
        <v>#REF!</v>
      </c>
      <c r="E16" s="120" t="e">
        <f t="shared" ca="1" si="2"/>
        <v>#REF!</v>
      </c>
      <c r="F16" s="120" t="e">
        <f t="shared" ca="1" si="3"/>
        <v>#REF!</v>
      </c>
      <c r="G16" s="120" t="e">
        <f t="shared" ca="1" si="4"/>
        <v>#REF!</v>
      </c>
      <c r="H16" s="120" t="e">
        <f t="shared" ca="1" si="5"/>
        <v>#REF!</v>
      </c>
      <c r="I16" s="120" t="e">
        <f t="shared" ca="1" si="6"/>
        <v>#REF!</v>
      </c>
      <c r="J16" s="120" t="e">
        <f t="shared" ca="1" si="7"/>
        <v>#REF!</v>
      </c>
      <c r="K16" s="120" t="e">
        <f t="shared" ca="1" si="8"/>
        <v>#REF!</v>
      </c>
      <c r="L16" s="120" t="e">
        <f t="shared" ca="1" si="9"/>
        <v>#REF!</v>
      </c>
      <c r="M16" s="120" t="e">
        <f t="shared" ca="1" si="10"/>
        <v>#REF!</v>
      </c>
    </row>
    <row r="17" spans="1:13" x14ac:dyDescent="0.25">
      <c r="A17" s="119">
        <v>44470</v>
      </c>
      <c r="B17" s="119">
        <v>44470</v>
      </c>
      <c r="C17" s="120" t="e">
        <f t="shared" ca="1" si="0"/>
        <v>#REF!</v>
      </c>
      <c r="D17" s="120" t="e">
        <f t="shared" ca="1" si="1"/>
        <v>#REF!</v>
      </c>
      <c r="E17" s="120" t="e">
        <f t="shared" ca="1" si="2"/>
        <v>#REF!</v>
      </c>
      <c r="F17" s="120" t="e">
        <f t="shared" ca="1" si="3"/>
        <v>#REF!</v>
      </c>
      <c r="G17" s="120" t="e">
        <f t="shared" ca="1" si="4"/>
        <v>#REF!</v>
      </c>
      <c r="H17" s="120" t="e">
        <f t="shared" ca="1" si="5"/>
        <v>#REF!</v>
      </c>
      <c r="I17" s="120" t="e">
        <f t="shared" ca="1" si="6"/>
        <v>#REF!</v>
      </c>
      <c r="J17" s="120" t="e">
        <f t="shared" ca="1" si="7"/>
        <v>#REF!</v>
      </c>
      <c r="K17" s="120" t="e">
        <f t="shared" ca="1" si="8"/>
        <v>#REF!</v>
      </c>
      <c r="L17" s="120" t="e">
        <f t="shared" ca="1" si="9"/>
        <v>#REF!</v>
      </c>
      <c r="M17" s="120" t="e">
        <f t="shared" ca="1" si="10"/>
        <v>#REF!</v>
      </c>
    </row>
    <row r="18" spans="1:13" x14ac:dyDescent="0.25">
      <c r="A18" s="119">
        <v>44471</v>
      </c>
      <c r="B18" s="119">
        <v>44471</v>
      </c>
      <c r="C18" s="120" t="e">
        <f t="shared" ca="1" si="0"/>
        <v>#REF!</v>
      </c>
      <c r="D18" s="120" t="e">
        <f t="shared" ca="1" si="1"/>
        <v>#REF!</v>
      </c>
      <c r="E18" s="120" t="e">
        <f t="shared" ca="1" si="2"/>
        <v>#REF!</v>
      </c>
      <c r="F18" s="120" t="e">
        <f t="shared" ca="1" si="3"/>
        <v>#REF!</v>
      </c>
      <c r="G18" s="120" t="e">
        <f t="shared" ca="1" si="4"/>
        <v>#REF!</v>
      </c>
      <c r="H18" s="120" t="e">
        <f t="shared" ca="1" si="5"/>
        <v>#REF!</v>
      </c>
      <c r="I18" s="120" t="e">
        <f t="shared" ca="1" si="6"/>
        <v>#REF!</v>
      </c>
      <c r="J18" s="120" t="e">
        <f t="shared" ca="1" si="7"/>
        <v>#REF!</v>
      </c>
      <c r="K18" s="120" t="e">
        <f t="shared" ca="1" si="8"/>
        <v>#REF!</v>
      </c>
      <c r="L18" s="120" t="e">
        <f t="shared" ca="1" si="9"/>
        <v>#REF!</v>
      </c>
      <c r="M18" s="120" t="e">
        <f t="shared" ca="1" si="10"/>
        <v>#REF!</v>
      </c>
    </row>
    <row r="19" spans="1:13" x14ac:dyDescent="0.25">
      <c r="A19" s="119">
        <v>44472</v>
      </c>
      <c r="B19" s="119">
        <v>44472</v>
      </c>
      <c r="C19" s="120" t="e">
        <f t="shared" ca="1" si="0"/>
        <v>#REF!</v>
      </c>
      <c r="D19" s="120" t="e">
        <f t="shared" ca="1" si="1"/>
        <v>#REF!</v>
      </c>
      <c r="E19" s="120" t="e">
        <f t="shared" ca="1" si="2"/>
        <v>#REF!</v>
      </c>
      <c r="F19" s="120" t="e">
        <f t="shared" ca="1" si="3"/>
        <v>#REF!</v>
      </c>
      <c r="G19" s="120" t="e">
        <f t="shared" ca="1" si="4"/>
        <v>#REF!</v>
      </c>
      <c r="H19" s="120" t="e">
        <f t="shared" ca="1" si="5"/>
        <v>#REF!</v>
      </c>
      <c r="I19" s="120" t="e">
        <f t="shared" ca="1" si="6"/>
        <v>#REF!</v>
      </c>
      <c r="J19" s="120" t="e">
        <f t="shared" ca="1" si="7"/>
        <v>#REF!</v>
      </c>
      <c r="K19" s="120" t="e">
        <f t="shared" ca="1" si="8"/>
        <v>#REF!</v>
      </c>
      <c r="L19" s="120" t="e">
        <f t="shared" ca="1" si="9"/>
        <v>#REF!</v>
      </c>
      <c r="M19" s="120" t="e">
        <f t="shared" ca="1" si="10"/>
        <v>#REF!</v>
      </c>
    </row>
    <row r="20" spans="1:13" x14ac:dyDescent="0.25">
      <c r="A20" s="119">
        <v>44473</v>
      </c>
      <c r="B20" s="119">
        <v>44473</v>
      </c>
      <c r="C20" s="120" t="e">
        <f t="shared" ca="1" si="0"/>
        <v>#REF!</v>
      </c>
      <c r="D20" s="120" t="e">
        <f t="shared" ca="1" si="1"/>
        <v>#REF!</v>
      </c>
      <c r="E20" s="120" t="e">
        <f t="shared" ca="1" si="2"/>
        <v>#REF!</v>
      </c>
      <c r="F20" s="120" t="e">
        <f t="shared" ca="1" si="3"/>
        <v>#REF!</v>
      </c>
      <c r="G20" s="120" t="e">
        <f t="shared" ca="1" si="4"/>
        <v>#REF!</v>
      </c>
      <c r="H20" s="120" t="e">
        <f t="shared" ca="1" si="5"/>
        <v>#REF!</v>
      </c>
      <c r="I20" s="120" t="e">
        <f t="shared" ca="1" si="6"/>
        <v>#REF!</v>
      </c>
      <c r="J20" s="120" t="e">
        <f t="shared" ca="1" si="7"/>
        <v>#REF!</v>
      </c>
      <c r="K20" s="120" t="e">
        <f t="shared" ca="1" si="8"/>
        <v>#REF!</v>
      </c>
      <c r="L20" s="120" t="e">
        <f t="shared" ca="1" si="9"/>
        <v>#REF!</v>
      </c>
      <c r="M20" s="120" t="e">
        <f t="shared" ca="1" si="10"/>
        <v>#REF!</v>
      </c>
    </row>
    <row r="21" spans="1:13" x14ac:dyDescent="0.25">
      <c r="A21" s="119">
        <v>44474</v>
      </c>
      <c r="B21" s="119">
        <v>44474</v>
      </c>
      <c r="C21" s="120" t="e">
        <f t="shared" ca="1" si="0"/>
        <v>#REF!</v>
      </c>
      <c r="D21" s="120" t="e">
        <f t="shared" ca="1" si="1"/>
        <v>#REF!</v>
      </c>
      <c r="E21" s="120" t="e">
        <f t="shared" ca="1" si="2"/>
        <v>#REF!</v>
      </c>
      <c r="F21" s="120" t="e">
        <f t="shared" ca="1" si="3"/>
        <v>#REF!</v>
      </c>
      <c r="G21" s="120" t="e">
        <f t="shared" ca="1" si="4"/>
        <v>#REF!</v>
      </c>
      <c r="H21" s="120" t="e">
        <f t="shared" ca="1" si="5"/>
        <v>#REF!</v>
      </c>
      <c r="I21" s="120" t="e">
        <f t="shared" ca="1" si="6"/>
        <v>#REF!</v>
      </c>
      <c r="J21" s="120" t="e">
        <f t="shared" ca="1" si="7"/>
        <v>#REF!</v>
      </c>
      <c r="K21" s="120" t="e">
        <f t="shared" ca="1" si="8"/>
        <v>#REF!</v>
      </c>
      <c r="L21" s="120" t="e">
        <f t="shared" ca="1" si="9"/>
        <v>#REF!</v>
      </c>
      <c r="M21" s="120" t="e">
        <f t="shared" ca="1" si="10"/>
        <v>#REF!</v>
      </c>
    </row>
    <row r="22" spans="1:13" x14ac:dyDescent="0.25">
      <c r="A22" s="119">
        <v>44475</v>
      </c>
      <c r="B22" s="119">
        <v>44475</v>
      </c>
      <c r="C22" s="120" t="e">
        <f t="shared" ca="1" si="0"/>
        <v>#REF!</v>
      </c>
      <c r="D22" s="120" t="e">
        <f t="shared" ca="1" si="1"/>
        <v>#REF!</v>
      </c>
      <c r="E22" s="120" t="e">
        <f t="shared" ca="1" si="2"/>
        <v>#REF!</v>
      </c>
      <c r="F22" s="120" t="e">
        <f t="shared" ca="1" si="3"/>
        <v>#REF!</v>
      </c>
      <c r="G22" s="120" t="e">
        <f t="shared" ca="1" si="4"/>
        <v>#REF!</v>
      </c>
      <c r="H22" s="120" t="e">
        <f t="shared" ca="1" si="5"/>
        <v>#REF!</v>
      </c>
      <c r="I22" s="120" t="e">
        <f t="shared" ca="1" si="6"/>
        <v>#REF!</v>
      </c>
      <c r="J22" s="120" t="e">
        <f t="shared" ca="1" si="7"/>
        <v>#REF!</v>
      </c>
      <c r="K22" s="120" t="e">
        <f t="shared" ca="1" si="8"/>
        <v>#REF!</v>
      </c>
      <c r="L22" s="120" t="e">
        <f t="shared" ca="1" si="9"/>
        <v>#REF!</v>
      </c>
      <c r="M22" s="120" t="e">
        <f t="shared" ca="1" si="10"/>
        <v>#REF!</v>
      </c>
    </row>
    <row r="23" spans="1:13" x14ac:dyDescent="0.25">
      <c r="A23" s="119">
        <v>44476</v>
      </c>
      <c r="B23" s="119">
        <v>44476</v>
      </c>
      <c r="C23" s="120" t="e">
        <f t="shared" ca="1" si="0"/>
        <v>#REF!</v>
      </c>
      <c r="D23" s="120" t="e">
        <f t="shared" ca="1" si="1"/>
        <v>#REF!</v>
      </c>
      <c r="E23" s="120" t="e">
        <f t="shared" ca="1" si="2"/>
        <v>#REF!</v>
      </c>
      <c r="F23" s="120" t="e">
        <f t="shared" ca="1" si="3"/>
        <v>#REF!</v>
      </c>
      <c r="G23" s="120" t="e">
        <f t="shared" ca="1" si="4"/>
        <v>#REF!</v>
      </c>
      <c r="H23" s="120" t="e">
        <f t="shared" ca="1" si="5"/>
        <v>#REF!</v>
      </c>
      <c r="I23" s="120" t="e">
        <f t="shared" ca="1" si="6"/>
        <v>#REF!</v>
      </c>
      <c r="J23" s="120" t="e">
        <f t="shared" ca="1" si="7"/>
        <v>#REF!</v>
      </c>
      <c r="K23" s="120" t="e">
        <f t="shared" ca="1" si="8"/>
        <v>#REF!</v>
      </c>
      <c r="L23" s="120" t="e">
        <f t="shared" ca="1" si="9"/>
        <v>#REF!</v>
      </c>
      <c r="M23" s="120" t="e">
        <f t="shared" ca="1" si="10"/>
        <v>#REF!</v>
      </c>
    </row>
    <row r="24" spans="1:13" x14ac:dyDescent="0.25">
      <c r="A24" s="119">
        <v>44477</v>
      </c>
      <c r="B24" s="119">
        <v>44477</v>
      </c>
      <c r="C24" s="120" t="e">
        <f t="shared" ca="1" si="0"/>
        <v>#REF!</v>
      </c>
      <c r="D24" s="120" t="e">
        <f t="shared" ca="1" si="1"/>
        <v>#REF!</v>
      </c>
      <c r="E24" s="120" t="e">
        <f t="shared" ca="1" si="2"/>
        <v>#REF!</v>
      </c>
      <c r="F24" s="120" t="e">
        <f t="shared" ca="1" si="3"/>
        <v>#REF!</v>
      </c>
      <c r="G24" s="120" t="e">
        <f t="shared" ca="1" si="4"/>
        <v>#REF!</v>
      </c>
      <c r="H24" s="120" t="e">
        <f t="shared" ca="1" si="5"/>
        <v>#REF!</v>
      </c>
      <c r="I24" s="120" t="e">
        <f t="shared" ca="1" si="6"/>
        <v>#REF!</v>
      </c>
      <c r="J24" s="120" t="e">
        <f t="shared" ca="1" si="7"/>
        <v>#REF!</v>
      </c>
      <c r="K24" s="120" t="e">
        <f t="shared" ca="1" si="8"/>
        <v>#REF!</v>
      </c>
      <c r="L24" s="120" t="e">
        <f t="shared" ca="1" si="9"/>
        <v>#REF!</v>
      </c>
      <c r="M24" s="120" t="e">
        <f t="shared" ca="1" si="10"/>
        <v>#REF!</v>
      </c>
    </row>
    <row r="25" spans="1:13" x14ac:dyDescent="0.25">
      <c r="A25" s="119">
        <v>44478</v>
      </c>
      <c r="B25" s="119">
        <v>44478</v>
      </c>
      <c r="C25" s="120" t="e">
        <f t="shared" ca="1" si="0"/>
        <v>#REF!</v>
      </c>
      <c r="D25" s="120" t="e">
        <f t="shared" ca="1" si="1"/>
        <v>#REF!</v>
      </c>
      <c r="E25" s="120" t="e">
        <f t="shared" ca="1" si="2"/>
        <v>#REF!</v>
      </c>
      <c r="F25" s="120" t="e">
        <f t="shared" ca="1" si="3"/>
        <v>#REF!</v>
      </c>
      <c r="G25" s="120" t="e">
        <f t="shared" ca="1" si="4"/>
        <v>#REF!</v>
      </c>
      <c r="H25" s="120" t="e">
        <f t="shared" ca="1" si="5"/>
        <v>#REF!</v>
      </c>
      <c r="I25" s="120" t="e">
        <f t="shared" ca="1" si="6"/>
        <v>#REF!</v>
      </c>
      <c r="J25" s="120" t="e">
        <f t="shared" ca="1" si="7"/>
        <v>#REF!</v>
      </c>
      <c r="K25" s="120" t="e">
        <f t="shared" ca="1" si="8"/>
        <v>#REF!</v>
      </c>
      <c r="L25" s="120" t="e">
        <f t="shared" ca="1" si="9"/>
        <v>#REF!</v>
      </c>
      <c r="M25" s="120" t="e">
        <f t="shared" ca="1" si="10"/>
        <v>#REF!</v>
      </c>
    </row>
    <row r="26" spans="1:13" x14ac:dyDescent="0.25">
      <c r="A26" s="119">
        <v>44479</v>
      </c>
      <c r="B26" s="119">
        <v>44479</v>
      </c>
      <c r="C26" s="120" t="e">
        <f t="shared" ca="1" si="0"/>
        <v>#REF!</v>
      </c>
      <c r="D26" s="120" t="e">
        <f t="shared" ca="1" si="1"/>
        <v>#REF!</v>
      </c>
      <c r="E26" s="120" t="e">
        <f t="shared" ca="1" si="2"/>
        <v>#REF!</v>
      </c>
      <c r="F26" s="120" t="e">
        <f t="shared" ca="1" si="3"/>
        <v>#REF!</v>
      </c>
      <c r="G26" s="120" t="e">
        <f t="shared" ca="1" si="4"/>
        <v>#REF!</v>
      </c>
      <c r="H26" s="120" t="e">
        <f t="shared" ca="1" si="5"/>
        <v>#REF!</v>
      </c>
      <c r="I26" s="120" t="e">
        <f t="shared" ca="1" si="6"/>
        <v>#REF!</v>
      </c>
      <c r="J26" s="120" t="e">
        <f t="shared" ca="1" si="7"/>
        <v>#REF!</v>
      </c>
      <c r="K26" s="120" t="e">
        <f t="shared" ca="1" si="8"/>
        <v>#REF!</v>
      </c>
      <c r="L26" s="120" t="e">
        <f t="shared" ca="1" si="9"/>
        <v>#REF!</v>
      </c>
      <c r="M26" s="120" t="e">
        <f t="shared" ca="1" si="10"/>
        <v>#REF!</v>
      </c>
    </row>
    <row r="27" spans="1:13" x14ac:dyDescent="0.25">
      <c r="A27" s="119">
        <v>44480</v>
      </c>
      <c r="B27" s="119">
        <v>44480</v>
      </c>
      <c r="C27" s="120" t="e">
        <f t="shared" ca="1" si="0"/>
        <v>#REF!</v>
      </c>
      <c r="D27" s="120" t="e">
        <f t="shared" ca="1" si="1"/>
        <v>#REF!</v>
      </c>
      <c r="E27" s="120" t="e">
        <f t="shared" ca="1" si="2"/>
        <v>#REF!</v>
      </c>
      <c r="F27" s="120" t="e">
        <f t="shared" ca="1" si="3"/>
        <v>#REF!</v>
      </c>
      <c r="G27" s="120" t="e">
        <f t="shared" ca="1" si="4"/>
        <v>#REF!</v>
      </c>
      <c r="H27" s="120" t="e">
        <f t="shared" ca="1" si="5"/>
        <v>#REF!</v>
      </c>
      <c r="I27" s="120" t="e">
        <f t="shared" ca="1" si="6"/>
        <v>#REF!</v>
      </c>
      <c r="J27" s="120" t="e">
        <f t="shared" ca="1" si="7"/>
        <v>#REF!</v>
      </c>
      <c r="K27" s="120" t="e">
        <f t="shared" ca="1" si="8"/>
        <v>#REF!</v>
      </c>
      <c r="L27" s="120" t="e">
        <f t="shared" ca="1" si="9"/>
        <v>#REF!</v>
      </c>
      <c r="M27" s="120" t="e">
        <f t="shared" ca="1" si="10"/>
        <v>#REF!</v>
      </c>
    </row>
    <row r="28" spans="1:13" x14ac:dyDescent="0.25">
      <c r="A28" s="119">
        <v>44481</v>
      </c>
      <c r="B28" s="119">
        <v>44481</v>
      </c>
      <c r="C28" s="120" t="e">
        <f t="shared" ca="1" si="0"/>
        <v>#REF!</v>
      </c>
      <c r="D28" s="120" t="e">
        <f t="shared" ca="1" si="1"/>
        <v>#REF!</v>
      </c>
      <c r="E28" s="120" t="e">
        <f t="shared" ca="1" si="2"/>
        <v>#REF!</v>
      </c>
      <c r="F28" s="120" t="e">
        <f t="shared" ca="1" si="3"/>
        <v>#REF!</v>
      </c>
      <c r="G28" s="120" t="e">
        <f t="shared" ca="1" si="4"/>
        <v>#REF!</v>
      </c>
      <c r="H28" s="120" t="e">
        <f t="shared" ca="1" si="5"/>
        <v>#REF!</v>
      </c>
      <c r="I28" s="120" t="e">
        <f t="shared" ca="1" si="6"/>
        <v>#REF!</v>
      </c>
      <c r="J28" s="120" t="e">
        <f t="shared" ca="1" si="7"/>
        <v>#REF!</v>
      </c>
      <c r="K28" s="120" t="e">
        <f t="shared" ca="1" si="8"/>
        <v>#REF!</v>
      </c>
      <c r="L28" s="120" t="e">
        <f t="shared" ca="1" si="9"/>
        <v>#REF!</v>
      </c>
      <c r="M28" s="120" t="e">
        <f t="shared" ca="1" si="10"/>
        <v>#REF!</v>
      </c>
    </row>
    <row r="29" spans="1:13" x14ac:dyDescent="0.25">
      <c r="A29" s="119">
        <v>44482</v>
      </c>
      <c r="B29" s="119">
        <v>44482</v>
      </c>
      <c r="C29" s="120" t="e">
        <f t="shared" ca="1" si="0"/>
        <v>#REF!</v>
      </c>
      <c r="D29" s="120" t="e">
        <f t="shared" ca="1" si="1"/>
        <v>#REF!</v>
      </c>
      <c r="E29" s="120" t="e">
        <f t="shared" ca="1" si="2"/>
        <v>#REF!</v>
      </c>
      <c r="F29" s="120" t="e">
        <f t="shared" ca="1" si="3"/>
        <v>#REF!</v>
      </c>
      <c r="G29" s="120" t="e">
        <f t="shared" ca="1" si="4"/>
        <v>#REF!</v>
      </c>
      <c r="H29" s="120" t="e">
        <f t="shared" ca="1" si="5"/>
        <v>#REF!</v>
      </c>
      <c r="I29" s="120" t="e">
        <f t="shared" ca="1" si="6"/>
        <v>#REF!</v>
      </c>
      <c r="J29" s="120" t="e">
        <f t="shared" ca="1" si="7"/>
        <v>#REF!</v>
      </c>
      <c r="K29" s="120" t="e">
        <f t="shared" ca="1" si="8"/>
        <v>#REF!</v>
      </c>
      <c r="L29" s="120" t="e">
        <f t="shared" ca="1" si="9"/>
        <v>#REF!</v>
      </c>
      <c r="M29" s="120" t="e">
        <f t="shared" ca="1" si="10"/>
        <v>#REF!</v>
      </c>
    </row>
    <row r="30" spans="1:13" x14ac:dyDescent="0.25">
      <c r="A30" s="119">
        <v>44483</v>
      </c>
      <c r="B30" s="119">
        <v>44483</v>
      </c>
      <c r="C30" s="120" t="e">
        <f t="shared" ca="1" si="0"/>
        <v>#REF!</v>
      </c>
      <c r="D30" s="120" t="e">
        <f t="shared" ca="1" si="1"/>
        <v>#REF!</v>
      </c>
      <c r="E30" s="120" t="e">
        <f t="shared" ca="1" si="2"/>
        <v>#REF!</v>
      </c>
      <c r="F30" s="120" t="e">
        <f t="shared" ca="1" si="3"/>
        <v>#REF!</v>
      </c>
      <c r="G30" s="120" t="e">
        <f t="shared" ca="1" si="4"/>
        <v>#REF!</v>
      </c>
      <c r="H30" s="120" t="e">
        <f t="shared" ca="1" si="5"/>
        <v>#REF!</v>
      </c>
      <c r="I30" s="120" t="e">
        <f t="shared" ca="1" si="6"/>
        <v>#REF!</v>
      </c>
      <c r="J30" s="120" t="e">
        <f t="shared" ca="1" si="7"/>
        <v>#REF!</v>
      </c>
      <c r="K30" s="120" t="e">
        <f t="shared" ca="1" si="8"/>
        <v>#REF!</v>
      </c>
      <c r="L30" s="120" t="e">
        <f t="shared" ca="1" si="9"/>
        <v>#REF!</v>
      </c>
      <c r="M30" s="120" t="e">
        <f t="shared" ca="1" si="10"/>
        <v>#REF!</v>
      </c>
    </row>
    <row r="31" spans="1:13" x14ac:dyDescent="0.25">
      <c r="A31" s="119">
        <v>44484</v>
      </c>
      <c r="B31" s="119">
        <v>44484</v>
      </c>
      <c r="C31" s="120" t="e">
        <f t="shared" ca="1" si="0"/>
        <v>#REF!</v>
      </c>
      <c r="D31" s="120" t="e">
        <f t="shared" ca="1" si="1"/>
        <v>#REF!</v>
      </c>
      <c r="E31" s="120" t="e">
        <f t="shared" ca="1" si="2"/>
        <v>#REF!</v>
      </c>
      <c r="F31" s="120" t="e">
        <f t="shared" ca="1" si="3"/>
        <v>#REF!</v>
      </c>
      <c r="G31" s="120" t="e">
        <f t="shared" ca="1" si="4"/>
        <v>#REF!</v>
      </c>
      <c r="H31" s="120" t="e">
        <f t="shared" ca="1" si="5"/>
        <v>#REF!</v>
      </c>
      <c r="I31" s="120" t="e">
        <f t="shared" ca="1" si="6"/>
        <v>#REF!</v>
      </c>
      <c r="J31" s="120" t="e">
        <f t="shared" ca="1" si="7"/>
        <v>#REF!</v>
      </c>
      <c r="K31" s="120" t="e">
        <f t="shared" ca="1" si="8"/>
        <v>#REF!</v>
      </c>
      <c r="L31" s="120" t="e">
        <f t="shared" ca="1" si="9"/>
        <v>#REF!</v>
      </c>
      <c r="M31" s="120" t="e">
        <f t="shared" ca="1" si="10"/>
        <v>#REF!</v>
      </c>
    </row>
    <row r="32" spans="1:13" x14ac:dyDescent="0.25">
      <c r="A32" s="119">
        <v>44485</v>
      </c>
      <c r="B32" s="119">
        <v>44485</v>
      </c>
      <c r="C32" s="120" t="e">
        <f t="shared" ca="1" si="0"/>
        <v>#REF!</v>
      </c>
      <c r="D32" s="120" t="e">
        <f t="shared" ca="1" si="1"/>
        <v>#REF!</v>
      </c>
      <c r="E32" s="120" t="e">
        <f t="shared" ca="1" si="2"/>
        <v>#REF!</v>
      </c>
      <c r="F32" s="120" t="e">
        <f t="shared" ca="1" si="3"/>
        <v>#REF!</v>
      </c>
      <c r="G32" s="120" t="e">
        <f t="shared" ca="1" si="4"/>
        <v>#REF!</v>
      </c>
      <c r="H32" s="120" t="e">
        <f t="shared" ca="1" si="5"/>
        <v>#REF!</v>
      </c>
      <c r="I32" s="120" t="e">
        <f t="shared" ca="1" si="6"/>
        <v>#REF!</v>
      </c>
      <c r="J32" s="120" t="e">
        <f t="shared" ca="1" si="7"/>
        <v>#REF!</v>
      </c>
      <c r="K32" s="120" t="e">
        <f t="shared" ca="1" si="8"/>
        <v>#REF!</v>
      </c>
      <c r="L32" s="120" t="e">
        <f t="shared" ca="1" si="9"/>
        <v>#REF!</v>
      </c>
      <c r="M32" s="120" t="e">
        <f t="shared" ca="1" si="10"/>
        <v>#REF!</v>
      </c>
    </row>
    <row r="33" spans="1:13" x14ac:dyDescent="0.25">
      <c r="A33" s="119">
        <v>44486</v>
      </c>
      <c r="B33" s="119">
        <v>44486</v>
      </c>
      <c r="C33" s="120" t="e">
        <f t="shared" ca="1" si="0"/>
        <v>#REF!</v>
      </c>
      <c r="D33" s="120" t="e">
        <f t="shared" ca="1" si="1"/>
        <v>#REF!</v>
      </c>
      <c r="E33" s="120" t="e">
        <f t="shared" ca="1" si="2"/>
        <v>#REF!</v>
      </c>
      <c r="F33" s="120" t="e">
        <f t="shared" ca="1" si="3"/>
        <v>#REF!</v>
      </c>
      <c r="G33" s="120" t="e">
        <f t="shared" ca="1" si="4"/>
        <v>#REF!</v>
      </c>
      <c r="H33" s="120" t="e">
        <f t="shared" ca="1" si="5"/>
        <v>#REF!</v>
      </c>
      <c r="I33" s="120" t="e">
        <f t="shared" ca="1" si="6"/>
        <v>#REF!</v>
      </c>
      <c r="J33" s="120" t="e">
        <f t="shared" ca="1" si="7"/>
        <v>#REF!</v>
      </c>
      <c r="K33" s="120" t="e">
        <f t="shared" ca="1" si="8"/>
        <v>#REF!</v>
      </c>
      <c r="L33" s="120" t="e">
        <f t="shared" ca="1" si="9"/>
        <v>#REF!</v>
      </c>
      <c r="M33" s="120" t="e">
        <f t="shared" ca="1" si="10"/>
        <v>#REF!</v>
      </c>
    </row>
    <row r="34" spans="1:13" x14ac:dyDescent="0.25">
      <c r="A34" s="119">
        <v>44487</v>
      </c>
      <c r="B34" s="119">
        <v>44487</v>
      </c>
      <c r="C34" s="120" t="e">
        <f t="shared" ca="1" si="0"/>
        <v>#REF!</v>
      </c>
      <c r="D34" s="120" t="e">
        <f t="shared" ca="1" si="1"/>
        <v>#REF!</v>
      </c>
      <c r="E34" s="120" t="e">
        <f t="shared" ca="1" si="2"/>
        <v>#REF!</v>
      </c>
      <c r="F34" s="120" t="e">
        <f t="shared" ca="1" si="3"/>
        <v>#REF!</v>
      </c>
      <c r="G34" s="120" t="e">
        <f t="shared" ca="1" si="4"/>
        <v>#REF!</v>
      </c>
      <c r="H34" s="120" t="e">
        <f t="shared" ca="1" si="5"/>
        <v>#REF!</v>
      </c>
      <c r="I34" s="120" t="e">
        <f t="shared" ca="1" si="6"/>
        <v>#REF!</v>
      </c>
      <c r="J34" s="120" t="e">
        <f t="shared" ca="1" si="7"/>
        <v>#REF!</v>
      </c>
      <c r="K34" s="120" t="e">
        <f t="shared" ca="1" si="8"/>
        <v>#REF!</v>
      </c>
      <c r="L34" s="120" t="e">
        <f t="shared" ca="1" si="9"/>
        <v>#REF!</v>
      </c>
      <c r="M34" s="120" t="e">
        <f t="shared" ca="1" si="10"/>
        <v>#REF!</v>
      </c>
    </row>
    <row r="35" spans="1:13" x14ac:dyDescent="0.25">
      <c r="A35" s="119">
        <v>44488</v>
      </c>
      <c r="B35" s="119">
        <v>44488</v>
      </c>
      <c r="C35" s="120" t="e">
        <f t="shared" ca="1" si="0"/>
        <v>#REF!</v>
      </c>
      <c r="D35" s="120" t="e">
        <f t="shared" ca="1" si="1"/>
        <v>#REF!</v>
      </c>
      <c r="E35" s="120" t="e">
        <f t="shared" ca="1" si="2"/>
        <v>#REF!</v>
      </c>
      <c r="F35" s="120" t="e">
        <f t="shared" ca="1" si="3"/>
        <v>#REF!</v>
      </c>
      <c r="G35" s="120" t="e">
        <f t="shared" ca="1" si="4"/>
        <v>#REF!</v>
      </c>
      <c r="H35" s="120" t="e">
        <f t="shared" ca="1" si="5"/>
        <v>#REF!</v>
      </c>
      <c r="I35" s="120" t="e">
        <f t="shared" ca="1" si="6"/>
        <v>#REF!</v>
      </c>
      <c r="J35" s="120" t="e">
        <f t="shared" ca="1" si="7"/>
        <v>#REF!</v>
      </c>
      <c r="K35" s="120" t="e">
        <f t="shared" ca="1" si="8"/>
        <v>#REF!</v>
      </c>
      <c r="L35" s="120" t="e">
        <f t="shared" ca="1" si="9"/>
        <v>#REF!</v>
      </c>
      <c r="M35" s="120" t="e">
        <f t="shared" ca="1" si="10"/>
        <v>#REF!</v>
      </c>
    </row>
    <row r="36" spans="1:13" x14ac:dyDescent="0.25">
      <c r="A36" s="119">
        <v>44489</v>
      </c>
      <c r="B36" s="119">
        <v>44489</v>
      </c>
      <c r="C36" s="120" t="e">
        <f t="shared" ca="1" si="0"/>
        <v>#REF!</v>
      </c>
      <c r="D36" s="120" t="e">
        <f t="shared" ca="1" si="1"/>
        <v>#REF!</v>
      </c>
      <c r="E36" s="120" t="e">
        <f t="shared" ca="1" si="2"/>
        <v>#REF!</v>
      </c>
      <c r="F36" s="120" t="e">
        <f t="shared" ca="1" si="3"/>
        <v>#REF!</v>
      </c>
      <c r="G36" s="120" t="e">
        <f t="shared" ca="1" si="4"/>
        <v>#REF!</v>
      </c>
      <c r="H36" s="120" t="e">
        <f t="shared" ca="1" si="5"/>
        <v>#REF!</v>
      </c>
      <c r="I36" s="120" t="e">
        <f t="shared" ca="1" si="6"/>
        <v>#REF!</v>
      </c>
      <c r="J36" s="120" t="e">
        <f t="shared" ca="1" si="7"/>
        <v>#REF!</v>
      </c>
      <c r="K36" s="120" t="e">
        <f t="shared" ca="1" si="8"/>
        <v>#REF!</v>
      </c>
      <c r="L36" s="120" t="e">
        <f t="shared" ca="1" si="9"/>
        <v>#REF!</v>
      </c>
      <c r="M36" s="120" t="e">
        <f t="shared" ca="1" si="10"/>
        <v>#REF!</v>
      </c>
    </row>
    <row r="37" spans="1:13" x14ac:dyDescent="0.25">
      <c r="A37" s="119">
        <v>44490</v>
      </c>
      <c r="B37" s="119">
        <v>44490</v>
      </c>
      <c r="C37" s="120" t="e">
        <f t="shared" ca="1" si="0"/>
        <v>#REF!</v>
      </c>
      <c r="D37" s="120" t="e">
        <f t="shared" ca="1" si="1"/>
        <v>#REF!</v>
      </c>
      <c r="E37" s="120" t="e">
        <f t="shared" ca="1" si="2"/>
        <v>#REF!</v>
      </c>
      <c r="F37" s="120" t="e">
        <f t="shared" ca="1" si="3"/>
        <v>#REF!</v>
      </c>
      <c r="G37" s="120" t="e">
        <f t="shared" ca="1" si="4"/>
        <v>#REF!</v>
      </c>
      <c r="H37" s="120" t="e">
        <f t="shared" ca="1" si="5"/>
        <v>#REF!</v>
      </c>
      <c r="I37" s="120" t="e">
        <f t="shared" ca="1" si="6"/>
        <v>#REF!</v>
      </c>
      <c r="J37" s="120" t="e">
        <f t="shared" ca="1" si="7"/>
        <v>#REF!</v>
      </c>
      <c r="K37" s="120" t="e">
        <f t="shared" ca="1" si="8"/>
        <v>#REF!</v>
      </c>
      <c r="L37" s="120" t="e">
        <f t="shared" ca="1" si="9"/>
        <v>#REF!</v>
      </c>
      <c r="M37" s="120" t="e">
        <f t="shared" ca="1" si="10"/>
        <v>#REF!</v>
      </c>
    </row>
    <row r="38" spans="1:13" x14ac:dyDescent="0.25">
      <c r="A38" s="119">
        <v>44491</v>
      </c>
      <c r="B38" s="119">
        <v>44491</v>
      </c>
      <c r="C38" s="120" t="e">
        <f t="shared" ca="1" si="0"/>
        <v>#REF!</v>
      </c>
      <c r="D38" s="120" t="e">
        <f t="shared" ca="1" si="1"/>
        <v>#REF!</v>
      </c>
      <c r="E38" s="120" t="e">
        <f t="shared" ca="1" si="2"/>
        <v>#REF!</v>
      </c>
      <c r="F38" s="120" t="e">
        <f t="shared" ca="1" si="3"/>
        <v>#REF!</v>
      </c>
      <c r="G38" s="120" t="e">
        <f t="shared" ca="1" si="4"/>
        <v>#REF!</v>
      </c>
      <c r="H38" s="120" t="e">
        <f t="shared" ca="1" si="5"/>
        <v>#REF!</v>
      </c>
      <c r="I38" s="120" t="e">
        <f t="shared" ca="1" si="6"/>
        <v>#REF!</v>
      </c>
      <c r="J38" s="120" t="e">
        <f t="shared" ca="1" si="7"/>
        <v>#REF!</v>
      </c>
      <c r="K38" s="120" t="e">
        <f t="shared" ca="1" si="8"/>
        <v>#REF!</v>
      </c>
      <c r="L38" s="120" t="e">
        <f t="shared" ca="1" si="9"/>
        <v>#REF!</v>
      </c>
      <c r="M38" s="120" t="e">
        <f t="shared" ca="1" si="10"/>
        <v>#REF!</v>
      </c>
    </row>
    <row r="39" spans="1:13" x14ac:dyDescent="0.25">
      <c r="A39" s="119">
        <v>44492</v>
      </c>
      <c r="B39" s="119">
        <v>44492</v>
      </c>
      <c r="C39" s="120" t="e">
        <f t="shared" ca="1" si="0"/>
        <v>#REF!</v>
      </c>
      <c r="D39" s="120" t="e">
        <f t="shared" ca="1" si="1"/>
        <v>#REF!</v>
      </c>
      <c r="E39" s="120" t="e">
        <f t="shared" ca="1" si="2"/>
        <v>#REF!</v>
      </c>
      <c r="F39" s="120" t="e">
        <f t="shared" ca="1" si="3"/>
        <v>#REF!</v>
      </c>
      <c r="G39" s="120" t="e">
        <f t="shared" ca="1" si="4"/>
        <v>#REF!</v>
      </c>
      <c r="H39" s="120" t="e">
        <f t="shared" ca="1" si="5"/>
        <v>#REF!</v>
      </c>
      <c r="I39" s="120" t="e">
        <f t="shared" ca="1" si="6"/>
        <v>#REF!</v>
      </c>
      <c r="J39" s="120" t="e">
        <f t="shared" ca="1" si="7"/>
        <v>#REF!</v>
      </c>
      <c r="K39" s="120" t="e">
        <f t="shared" ca="1" si="8"/>
        <v>#REF!</v>
      </c>
      <c r="L39" s="120" t="e">
        <f t="shared" ca="1" si="9"/>
        <v>#REF!</v>
      </c>
      <c r="M39" s="120" t="e">
        <f t="shared" ca="1" si="10"/>
        <v>#REF!</v>
      </c>
    </row>
    <row r="40" spans="1:13" x14ac:dyDescent="0.25">
      <c r="A40" s="119">
        <v>44493</v>
      </c>
      <c r="B40" s="119">
        <v>44493</v>
      </c>
      <c r="C40" s="120" t="e">
        <f t="shared" ca="1" si="0"/>
        <v>#REF!</v>
      </c>
      <c r="D40" s="120" t="e">
        <f t="shared" ca="1" si="1"/>
        <v>#REF!</v>
      </c>
      <c r="E40" s="120" t="e">
        <f t="shared" ca="1" si="2"/>
        <v>#REF!</v>
      </c>
      <c r="F40" s="120" t="e">
        <f t="shared" ca="1" si="3"/>
        <v>#REF!</v>
      </c>
      <c r="G40" s="120" t="e">
        <f t="shared" ca="1" si="4"/>
        <v>#REF!</v>
      </c>
      <c r="H40" s="120" t="e">
        <f t="shared" ca="1" si="5"/>
        <v>#REF!</v>
      </c>
      <c r="I40" s="120" t="e">
        <f t="shared" ca="1" si="6"/>
        <v>#REF!</v>
      </c>
      <c r="J40" s="120" t="e">
        <f t="shared" ca="1" si="7"/>
        <v>#REF!</v>
      </c>
      <c r="K40" s="120" t="e">
        <f t="shared" ca="1" si="8"/>
        <v>#REF!</v>
      </c>
      <c r="L40" s="120" t="e">
        <f t="shared" ca="1" si="9"/>
        <v>#REF!</v>
      </c>
      <c r="M40" s="120" t="e">
        <f t="shared" ca="1" si="10"/>
        <v>#REF!</v>
      </c>
    </row>
    <row r="41" spans="1:13" x14ac:dyDescent="0.25">
      <c r="A41" s="119">
        <v>44494</v>
      </c>
      <c r="B41" s="119">
        <v>44494</v>
      </c>
      <c r="C41" s="120" t="e">
        <f t="shared" ca="1" si="0"/>
        <v>#REF!</v>
      </c>
      <c r="D41" s="120" t="e">
        <f t="shared" ca="1" si="1"/>
        <v>#REF!</v>
      </c>
      <c r="E41" s="120" t="e">
        <f t="shared" ca="1" si="2"/>
        <v>#REF!</v>
      </c>
      <c r="F41" s="120" t="e">
        <f t="shared" ca="1" si="3"/>
        <v>#REF!</v>
      </c>
      <c r="G41" s="120" t="e">
        <f t="shared" ca="1" si="4"/>
        <v>#REF!</v>
      </c>
      <c r="H41" s="120" t="e">
        <f t="shared" ca="1" si="5"/>
        <v>#REF!</v>
      </c>
      <c r="I41" s="120" t="e">
        <f t="shared" ca="1" si="6"/>
        <v>#REF!</v>
      </c>
      <c r="J41" s="120" t="e">
        <f t="shared" ca="1" si="7"/>
        <v>#REF!</v>
      </c>
      <c r="K41" s="120" t="e">
        <f t="shared" ca="1" si="8"/>
        <v>#REF!</v>
      </c>
      <c r="L41" s="120" t="e">
        <f t="shared" ca="1" si="9"/>
        <v>#REF!</v>
      </c>
      <c r="M41" s="120" t="e">
        <f t="shared" ca="1" si="10"/>
        <v>#REF!</v>
      </c>
    </row>
    <row r="42" spans="1:13" x14ac:dyDescent="0.25">
      <c r="A42" s="119">
        <v>44495</v>
      </c>
      <c r="B42" s="119">
        <v>44495</v>
      </c>
      <c r="C42" s="120" t="e">
        <f t="shared" ca="1" si="0"/>
        <v>#REF!</v>
      </c>
      <c r="D42" s="120" t="e">
        <f t="shared" ca="1" si="1"/>
        <v>#REF!</v>
      </c>
      <c r="E42" s="120" t="e">
        <f t="shared" ca="1" si="2"/>
        <v>#REF!</v>
      </c>
      <c r="F42" s="120" t="e">
        <f t="shared" ca="1" si="3"/>
        <v>#REF!</v>
      </c>
      <c r="G42" s="120" t="e">
        <f t="shared" ca="1" si="4"/>
        <v>#REF!</v>
      </c>
      <c r="H42" s="120" t="e">
        <f t="shared" ca="1" si="5"/>
        <v>#REF!</v>
      </c>
      <c r="I42" s="120" t="e">
        <f t="shared" ca="1" si="6"/>
        <v>#REF!</v>
      </c>
      <c r="J42" s="120" t="e">
        <f t="shared" ca="1" si="7"/>
        <v>#REF!</v>
      </c>
      <c r="K42" s="120" t="e">
        <f t="shared" ca="1" si="8"/>
        <v>#REF!</v>
      </c>
      <c r="L42" s="120" t="e">
        <f t="shared" ca="1" si="9"/>
        <v>#REF!</v>
      </c>
      <c r="M42" s="120" t="e">
        <f t="shared" ca="1" si="10"/>
        <v>#REF!</v>
      </c>
    </row>
    <row r="43" spans="1:13" x14ac:dyDescent="0.25">
      <c r="A43" s="119" t="s">
        <v>276</v>
      </c>
      <c r="B43" s="119">
        <v>44496</v>
      </c>
      <c r="C43" s="120" t="e">
        <f t="shared" ca="1" si="0"/>
        <v>#REF!</v>
      </c>
      <c r="D43" s="120" t="e">
        <f t="shared" ca="1" si="1"/>
        <v>#REF!</v>
      </c>
      <c r="E43" s="120" t="e">
        <f t="shared" ca="1" si="2"/>
        <v>#REF!</v>
      </c>
      <c r="F43" s="120" t="e">
        <f t="shared" ca="1" si="3"/>
        <v>#REF!</v>
      </c>
      <c r="G43" s="120" t="e">
        <f t="shared" ca="1" si="4"/>
        <v>#REF!</v>
      </c>
      <c r="H43" s="120" t="e">
        <f t="shared" ca="1" si="5"/>
        <v>#REF!</v>
      </c>
      <c r="I43" s="120" t="e">
        <f t="shared" ca="1" si="6"/>
        <v>#REF!</v>
      </c>
      <c r="J43" s="120" t="e">
        <f t="shared" ca="1" si="7"/>
        <v>#REF!</v>
      </c>
      <c r="K43" s="120" t="e">
        <f t="shared" ca="1" si="8"/>
        <v>#REF!</v>
      </c>
      <c r="L43" s="120" t="e">
        <f t="shared" ca="1" si="9"/>
        <v>#REF!</v>
      </c>
      <c r="M43" s="120" t="e">
        <f t="shared" ca="1" si="10"/>
        <v>#REF!</v>
      </c>
    </row>
    <row r="44" spans="1:13" x14ac:dyDescent="0.25">
      <c r="A44" s="119">
        <v>44497</v>
      </c>
      <c r="B44" s="119">
        <v>44497</v>
      </c>
      <c r="C44" s="120" t="e">
        <f t="shared" ca="1" si="0"/>
        <v>#REF!</v>
      </c>
      <c r="D44" s="120" t="e">
        <f t="shared" ca="1" si="1"/>
        <v>#REF!</v>
      </c>
      <c r="E44" s="120" t="e">
        <f t="shared" ca="1" si="2"/>
        <v>#REF!</v>
      </c>
      <c r="F44" s="120" t="e">
        <f t="shared" ca="1" si="3"/>
        <v>#REF!</v>
      </c>
      <c r="G44" s="120" t="e">
        <f t="shared" ca="1" si="4"/>
        <v>#REF!</v>
      </c>
      <c r="H44" s="120" t="e">
        <f t="shared" ca="1" si="5"/>
        <v>#REF!</v>
      </c>
      <c r="I44" s="120" t="e">
        <f t="shared" ca="1" si="6"/>
        <v>#REF!</v>
      </c>
      <c r="J44" s="120" t="e">
        <f t="shared" ca="1" si="7"/>
        <v>#REF!</v>
      </c>
      <c r="K44" s="120" t="e">
        <f t="shared" ca="1" si="8"/>
        <v>#REF!</v>
      </c>
      <c r="L44" s="120" t="e">
        <f t="shared" ca="1" si="9"/>
        <v>#REF!</v>
      </c>
      <c r="M44" s="120" t="e">
        <f t="shared" ca="1" si="10"/>
        <v>#REF!</v>
      </c>
    </row>
    <row r="45" spans="1:13" x14ac:dyDescent="0.25">
      <c r="A45" s="119">
        <v>44498</v>
      </c>
      <c r="B45" s="119">
        <v>44498</v>
      </c>
      <c r="C45" s="120" t="e">
        <f t="shared" ca="1" si="0"/>
        <v>#REF!</v>
      </c>
      <c r="D45" s="120" t="e">
        <f t="shared" ca="1" si="1"/>
        <v>#REF!</v>
      </c>
      <c r="E45" s="120" t="e">
        <f t="shared" ca="1" si="2"/>
        <v>#REF!</v>
      </c>
      <c r="F45" s="120" t="e">
        <f t="shared" ca="1" si="3"/>
        <v>#REF!</v>
      </c>
      <c r="G45" s="120" t="e">
        <f t="shared" ca="1" si="4"/>
        <v>#REF!</v>
      </c>
      <c r="H45" s="120" t="e">
        <f t="shared" ca="1" si="5"/>
        <v>#REF!</v>
      </c>
      <c r="I45" s="120" t="e">
        <f t="shared" ca="1" si="6"/>
        <v>#REF!</v>
      </c>
      <c r="J45" s="120" t="e">
        <f t="shared" ca="1" si="7"/>
        <v>#REF!</v>
      </c>
      <c r="K45" s="120" t="e">
        <f t="shared" ca="1" si="8"/>
        <v>#REF!</v>
      </c>
      <c r="L45" s="120" t="e">
        <f t="shared" ca="1" si="9"/>
        <v>#REF!</v>
      </c>
      <c r="M45" s="120" t="e">
        <f t="shared" ca="1" si="10"/>
        <v>#REF!</v>
      </c>
    </row>
    <row r="46" spans="1:13" x14ac:dyDescent="0.25">
      <c r="A46" s="119">
        <v>44499</v>
      </c>
      <c r="B46" s="119">
        <v>44499</v>
      </c>
      <c r="C46" s="120" t="e">
        <f t="shared" ca="1" si="0"/>
        <v>#REF!</v>
      </c>
      <c r="D46" s="120" t="e">
        <f t="shared" ca="1" si="1"/>
        <v>#REF!</v>
      </c>
      <c r="E46" s="120" t="e">
        <f t="shared" ca="1" si="2"/>
        <v>#REF!</v>
      </c>
      <c r="F46" s="120" t="e">
        <f t="shared" ca="1" si="3"/>
        <v>#REF!</v>
      </c>
      <c r="G46" s="120" t="e">
        <f t="shared" ca="1" si="4"/>
        <v>#REF!</v>
      </c>
      <c r="H46" s="120" t="e">
        <f t="shared" ca="1" si="5"/>
        <v>#REF!</v>
      </c>
      <c r="I46" s="120" t="e">
        <f t="shared" ca="1" si="6"/>
        <v>#REF!</v>
      </c>
      <c r="J46" s="120" t="e">
        <f t="shared" ca="1" si="7"/>
        <v>#REF!</v>
      </c>
      <c r="K46" s="120" t="e">
        <f t="shared" ca="1" si="8"/>
        <v>#REF!</v>
      </c>
      <c r="L46" s="120" t="e">
        <f t="shared" ca="1" si="9"/>
        <v>#REF!</v>
      </c>
      <c r="M46" s="120" t="e">
        <f t="shared" ca="1" si="10"/>
        <v>#REF!</v>
      </c>
    </row>
    <row r="47" spans="1:13" x14ac:dyDescent="0.25">
      <c r="A47" s="119">
        <v>44500</v>
      </c>
      <c r="B47" s="119">
        <v>44500</v>
      </c>
      <c r="C47" s="120" t="e">
        <f t="shared" ca="1" si="0"/>
        <v>#REF!</v>
      </c>
      <c r="D47" s="120" t="e">
        <f t="shared" ca="1" si="1"/>
        <v>#REF!</v>
      </c>
      <c r="E47" s="120" t="e">
        <f t="shared" ca="1" si="2"/>
        <v>#REF!</v>
      </c>
      <c r="F47" s="120" t="e">
        <f t="shared" ca="1" si="3"/>
        <v>#REF!</v>
      </c>
      <c r="G47" s="120" t="e">
        <f t="shared" ca="1" si="4"/>
        <v>#REF!</v>
      </c>
      <c r="H47" s="120" t="e">
        <f t="shared" ca="1" si="5"/>
        <v>#REF!</v>
      </c>
      <c r="I47" s="120" t="e">
        <f t="shared" ca="1" si="6"/>
        <v>#REF!</v>
      </c>
      <c r="J47" s="120" t="e">
        <f t="shared" ca="1" si="7"/>
        <v>#REF!</v>
      </c>
      <c r="K47" s="120" t="e">
        <f t="shared" ca="1" si="8"/>
        <v>#REF!</v>
      </c>
      <c r="L47" s="120" t="e">
        <f t="shared" ca="1" si="9"/>
        <v>#REF!</v>
      </c>
      <c r="M47" s="120" t="e">
        <f t="shared" ca="1" si="10"/>
        <v>#REF!</v>
      </c>
    </row>
    <row r="48" spans="1:13" x14ac:dyDescent="0.25">
      <c r="A48" s="119">
        <v>44501</v>
      </c>
      <c r="B48" s="119">
        <v>44501</v>
      </c>
      <c r="C48" s="120" t="e">
        <f t="shared" ca="1" si="0"/>
        <v>#REF!</v>
      </c>
      <c r="D48" s="120" t="e">
        <f t="shared" ca="1" si="1"/>
        <v>#REF!</v>
      </c>
      <c r="E48" s="120" t="e">
        <f t="shared" ca="1" si="2"/>
        <v>#REF!</v>
      </c>
      <c r="F48" s="120" t="e">
        <f t="shared" ca="1" si="3"/>
        <v>#REF!</v>
      </c>
      <c r="G48" s="120" t="e">
        <f t="shared" ca="1" si="4"/>
        <v>#REF!</v>
      </c>
      <c r="H48" s="120" t="e">
        <f t="shared" ca="1" si="5"/>
        <v>#REF!</v>
      </c>
      <c r="I48" s="120" t="e">
        <f t="shared" ca="1" si="6"/>
        <v>#REF!</v>
      </c>
      <c r="J48" s="120" t="e">
        <f t="shared" ca="1" si="7"/>
        <v>#REF!</v>
      </c>
      <c r="K48" s="120" t="e">
        <f t="shared" ca="1" si="8"/>
        <v>#REF!</v>
      </c>
      <c r="L48" s="120" t="e">
        <f t="shared" ca="1" si="9"/>
        <v>#REF!</v>
      </c>
      <c r="M48" s="120" t="e">
        <f t="shared" ca="1" si="10"/>
        <v>#REF!</v>
      </c>
    </row>
    <row r="49" spans="1:15" x14ac:dyDescent="0.25">
      <c r="A49" s="119">
        <v>44502</v>
      </c>
      <c r="B49" s="119">
        <v>44502</v>
      </c>
      <c r="C49" s="120" t="e">
        <f t="shared" ca="1" si="0"/>
        <v>#REF!</v>
      </c>
      <c r="D49" s="120" t="e">
        <f t="shared" ca="1" si="1"/>
        <v>#REF!</v>
      </c>
      <c r="E49" s="120" t="e">
        <f t="shared" ca="1" si="2"/>
        <v>#REF!</v>
      </c>
      <c r="F49" s="120" t="e">
        <f t="shared" ca="1" si="3"/>
        <v>#REF!</v>
      </c>
      <c r="G49" s="120" t="e">
        <f t="shared" ca="1" si="4"/>
        <v>#REF!</v>
      </c>
      <c r="H49" s="120" t="e">
        <f t="shared" ca="1" si="5"/>
        <v>#REF!</v>
      </c>
      <c r="I49" s="120" t="e">
        <f t="shared" ca="1" si="6"/>
        <v>#REF!</v>
      </c>
      <c r="J49" s="120" t="e">
        <f t="shared" ca="1" si="7"/>
        <v>#REF!</v>
      </c>
      <c r="K49" s="120" t="e">
        <f t="shared" ca="1" si="8"/>
        <v>#REF!</v>
      </c>
      <c r="L49" s="120" t="e">
        <f t="shared" ca="1" si="9"/>
        <v>#REF!</v>
      </c>
      <c r="M49" s="120" t="e">
        <f t="shared" ca="1" si="10"/>
        <v>#REF!</v>
      </c>
    </row>
    <row r="50" spans="1:15" x14ac:dyDescent="0.25">
      <c r="A50" s="119" t="s">
        <v>167</v>
      </c>
      <c r="B50" s="119">
        <v>44503</v>
      </c>
      <c r="C50" s="120" t="e">
        <f t="shared" ca="1" si="0"/>
        <v>#REF!</v>
      </c>
      <c r="D50" s="120" t="e">
        <f t="shared" ca="1" si="1"/>
        <v>#REF!</v>
      </c>
      <c r="E50" s="120" t="e">
        <f t="shared" ca="1" si="2"/>
        <v>#REF!</v>
      </c>
      <c r="F50" s="120" t="e">
        <f t="shared" ca="1" si="3"/>
        <v>#REF!</v>
      </c>
      <c r="G50" s="120" t="e">
        <f t="shared" ca="1" si="4"/>
        <v>#REF!</v>
      </c>
      <c r="H50" s="120" t="e">
        <f t="shared" ca="1" si="5"/>
        <v>#REF!</v>
      </c>
      <c r="I50" s="120" t="e">
        <f t="shared" ca="1" si="6"/>
        <v>#REF!</v>
      </c>
      <c r="J50" s="120" t="e">
        <f t="shared" ca="1" si="7"/>
        <v>#REF!</v>
      </c>
      <c r="K50" s="120" t="e">
        <f t="shared" ca="1" si="8"/>
        <v>#REF!</v>
      </c>
      <c r="L50" s="120" t="e">
        <f t="shared" ca="1" si="9"/>
        <v>#REF!</v>
      </c>
      <c r="M50" s="120" t="e">
        <f t="shared" ca="1" si="10"/>
        <v>#REF!</v>
      </c>
    </row>
    <row r="51" spans="1:15" x14ac:dyDescent="0.25">
      <c r="A51" s="119">
        <v>44504</v>
      </c>
      <c r="B51" s="119">
        <v>44504</v>
      </c>
      <c r="C51" s="120" t="e">
        <f t="shared" ca="1" si="0"/>
        <v>#REF!</v>
      </c>
      <c r="D51" s="120" t="e">
        <f t="shared" ca="1" si="1"/>
        <v>#REF!</v>
      </c>
      <c r="E51" s="120" t="e">
        <f t="shared" ca="1" si="2"/>
        <v>#REF!</v>
      </c>
      <c r="F51" s="120" t="e">
        <f t="shared" ca="1" si="3"/>
        <v>#REF!</v>
      </c>
      <c r="G51" s="120" t="e">
        <f t="shared" ca="1" si="4"/>
        <v>#REF!</v>
      </c>
      <c r="H51" s="120" t="e">
        <f t="shared" ca="1" si="5"/>
        <v>#REF!</v>
      </c>
      <c r="I51" s="120" t="e">
        <f t="shared" ca="1" si="6"/>
        <v>#REF!</v>
      </c>
      <c r="J51" s="120" t="e">
        <f t="shared" ca="1" si="7"/>
        <v>#REF!</v>
      </c>
      <c r="K51" s="120" t="e">
        <f t="shared" ca="1" si="8"/>
        <v>#REF!</v>
      </c>
      <c r="L51" s="120" t="e">
        <f t="shared" ca="1" si="9"/>
        <v>#REF!</v>
      </c>
      <c r="M51" s="120" t="e">
        <f t="shared" ca="1" si="10"/>
        <v>#REF!</v>
      </c>
    </row>
    <row r="52" spans="1:15" x14ac:dyDescent="0.25">
      <c r="A52" s="119">
        <v>44505</v>
      </c>
      <c r="B52" s="119">
        <v>44505</v>
      </c>
      <c r="C52" s="120" t="e">
        <f t="shared" ca="1" si="0"/>
        <v>#REF!</v>
      </c>
      <c r="D52" s="120" t="e">
        <f t="shared" ca="1" si="1"/>
        <v>#REF!</v>
      </c>
      <c r="E52" s="120" t="e">
        <f t="shared" ca="1" si="2"/>
        <v>#REF!</v>
      </c>
      <c r="F52" s="120" t="e">
        <f t="shared" ca="1" si="3"/>
        <v>#REF!</v>
      </c>
      <c r="G52" s="120" t="e">
        <f t="shared" ca="1" si="4"/>
        <v>#REF!</v>
      </c>
      <c r="H52" s="120" t="e">
        <f t="shared" ca="1" si="5"/>
        <v>#REF!</v>
      </c>
      <c r="I52" s="120" t="e">
        <f t="shared" ca="1" si="6"/>
        <v>#REF!</v>
      </c>
      <c r="J52" s="120" t="e">
        <f t="shared" ca="1" si="7"/>
        <v>#REF!</v>
      </c>
      <c r="K52" s="120" t="e">
        <f t="shared" ca="1" si="8"/>
        <v>#REF!</v>
      </c>
      <c r="L52" s="120" t="e">
        <f t="shared" ca="1" si="9"/>
        <v>#REF!</v>
      </c>
      <c r="M52" s="120" t="e">
        <f t="shared" ca="1" si="10"/>
        <v>#REF!</v>
      </c>
    </row>
    <row r="53" spans="1:15" x14ac:dyDescent="0.25">
      <c r="A53" s="119">
        <v>44506</v>
      </c>
      <c r="B53" s="119">
        <v>44506</v>
      </c>
      <c r="C53" s="120" t="e">
        <f t="shared" ca="1" si="0"/>
        <v>#REF!</v>
      </c>
      <c r="D53" s="120" t="e">
        <f t="shared" ca="1" si="1"/>
        <v>#REF!</v>
      </c>
      <c r="E53" s="120" t="e">
        <f t="shared" ca="1" si="2"/>
        <v>#REF!</v>
      </c>
      <c r="F53" s="120" t="e">
        <f t="shared" ca="1" si="3"/>
        <v>#REF!</v>
      </c>
      <c r="G53" s="120" t="e">
        <f t="shared" ca="1" si="4"/>
        <v>#REF!</v>
      </c>
      <c r="H53" s="120" t="e">
        <f t="shared" ca="1" si="5"/>
        <v>#REF!</v>
      </c>
      <c r="I53" s="120" t="e">
        <f t="shared" ca="1" si="6"/>
        <v>#REF!</v>
      </c>
      <c r="J53" s="120" t="e">
        <f t="shared" ca="1" si="7"/>
        <v>#REF!</v>
      </c>
      <c r="K53" s="120" t="e">
        <f t="shared" ca="1" si="8"/>
        <v>#REF!</v>
      </c>
      <c r="L53" s="120" t="e">
        <f t="shared" ca="1" si="9"/>
        <v>#REF!</v>
      </c>
      <c r="M53" s="120" t="e">
        <f t="shared" ca="1" si="10"/>
        <v>#REF!</v>
      </c>
    </row>
    <row r="54" spans="1:15" x14ac:dyDescent="0.25">
      <c r="A54" s="119">
        <v>44507</v>
      </c>
      <c r="B54" s="119">
        <v>44507</v>
      </c>
      <c r="C54" s="120" t="e">
        <f t="shared" ca="1" si="0"/>
        <v>#REF!</v>
      </c>
      <c r="D54" s="120" t="e">
        <f t="shared" ca="1" si="1"/>
        <v>#REF!</v>
      </c>
      <c r="E54" s="120" t="e">
        <f t="shared" ca="1" si="2"/>
        <v>#REF!</v>
      </c>
      <c r="F54" s="120" t="e">
        <f t="shared" ca="1" si="3"/>
        <v>#REF!</v>
      </c>
      <c r="G54" s="120" t="e">
        <f t="shared" ca="1" si="4"/>
        <v>#REF!</v>
      </c>
      <c r="H54" s="120" t="e">
        <f t="shared" ca="1" si="5"/>
        <v>#REF!</v>
      </c>
      <c r="I54" s="120" t="e">
        <f t="shared" ca="1" si="6"/>
        <v>#REF!</v>
      </c>
      <c r="J54" s="120" t="e">
        <f t="shared" ca="1" si="7"/>
        <v>#REF!</v>
      </c>
      <c r="K54" s="120" t="e">
        <f t="shared" ca="1" si="8"/>
        <v>#REF!</v>
      </c>
      <c r="L54" s="120" t="e">
        <f t="shared" ca="1" si="9"/>
        <v>#REF!</v>
      </c>
      <c r="M54" s="120" t="e">
        <f t="shared" ca="1" si="10"/>
        <v>#REF!</v>
      </c>
    </row>
    <row r="55" spans="1:15" x14ac:dyDescent="0.25">
      <c r="A55" s="119">
        <v>44508</v>
      </c>
      <c r="B55" s="119">
        <v>44508</v>
      </c>
      <c r="C55" s="120" t="e">
        <f t="shared" ca="1" si="0"/>
        <v>#REF!</v>
      </c>
      <c r="D55" s="120" t="e">
        <f t="shared" ca="1" si="1"/>
        <v>#REF!</v>
      </c>
      <c r="E55" s="120" t="e">
        <f t="shared" ca="1" si="2"/>
        <v>#REF!</v>
      </c>
      <c r="F55" s="120" t="e">
        <f t="shared" ca="1" si="3"/>
        <v>#REF!</v>
      </c>
      <c r="G55" s="120" t="e">
        <f t="shared" ca="1" si="4"/>
        <v>#REF!</v>
      </c>
      <c r="H55" s="120" t="e">
        <f t="shared" ca="1" si="5"/>
        <v>#REF!</v>
      </c>
      <c r="I55" s="120" t="e">
        <f t="shared" ca="1" si="6"/>
        <v>#REF!</v>
      </c>
      <c r="J55" s="120" t="e">
        <f t="shared" ca="1" si="7"/>
        <v>#REF!</v>
      </c>
      <c r="K55" s="120" t="e">
        <f t="shared" ca="1" si="8"/>
        <v>#REF!</v>
      </c>
      <c r="L55" s="120" t="e">
        <f t="shared" ca="1" si="9"/>
        <v>#REF!</v>
      </c>
      <c r="M55" s="120" t="e">
        <f t="shared" ca="1" si="10"/>
        <v>#REF!</v>
      </c>
    </row>
    <row r="56" spans="1:15" x14ac:dyDescent="0.25">
      <c r="A56" s="119">
        <v>44509</v>
      </c>
      <c r="B56" s="119">
        <v>44509</v>
      </c>
      <c r="C56" s="120" t="e">
        <f t="shared" ca="1" si="0"/>
        <v>#REF!</v>
      </c>
      <c r="D56" s="120" t="e">
        <f t="shared" ca="1" si="1"/>
        <v>#REF!</v>
      </c>
      <c r="E56" s="120" t="e">
        <f t="shared" ca="1" si="2"/>
        <v>#REF!</v>
      </c>
      <c r="F56" s="120" t="e">
        <f t="shared" ca="1" si="3"/>
        <v>#REF!</v>
      </c>
      <c r="G56" s="120" t="e">
        <f t="shared" ca="1" si="4"/>
        <v>#REF!</v>
      </c>
      <c r="H56" s="120" t="e">
        <f t="shared" ca="1" si="5"/>
        <v>#REF!</v>
      </c>
      <c r="I56" s="120" t="e">
        <f t="shared" ca="1" si="6"/>
        <v>#REF!</v>
      </c>
      <c r="J56" s="120" t="e">
        <f t="shared" ca="1" si="7"/>
        <v>#REF!</v>
      </c>
      <c r="K56" s="120" t="e">
        <f t="shared" ca="1" si="8"/>
        <v>#REF!</v>
      </c>
      <c r="L56" s="120" t="e">
        <f t="shared" ca="1" si="9"/>
        <v>#REF!</v>
      </c>
      <c r="M56" s="120" t="e">
        <f t="shared" ca="1" si="10"/>
        <v>#REF!</v>
      </c>
    </row>
    <row r="57" spans="1:15" x14ac:dyDescent="0.25">
      <c r="A57" s="119" t="s">
        <v>168</v>
      </c>
      <c r="B57" s="119">
        <v>44510</v>
      </c>
      <c r="C57" s="120" t="e">
        <f t="shared" ca="1" si="0"/>
        <v>#REF!</v>
      </c>
      <c r="D57" s="120" t="e">
        <f t="shared" ca="1" si="1"/>
        <v>#REF!</v>
      </c>
      <c r="E57" s="120" t="e">
        <f t="shared" ca="1" si="2"/>
        <v>#REF!</v>
      </c>
      <c r="F57" s="120" t="e">
        <f t="shared" ca="1" si="3"/>
        <v>#REF!</v>
      </c>
      <c r="G57" s="120" t="e">
        <f t="shared" ca="1" si="4"/>
        <v>#REF!</v>
      </c>
      <c r="H57" s="120" t="e">
        <f t="shared" ca="1" si="5"/>
        <v>#REF!</v>
      </c>
      <c r="I57" s="120" t="e">
        <f t="shared" ca="1" si="6"/>
        <v>#REF!</v>
      </c>
      <c r="J57" s="120" t="e">
        <f t="shared" ca="1" si="7"/>
        <v>#REF!</v>
      </c>
      <c r="K57" s="120" t="e">
        <f t="shared" ca="1" si="8"/>
        <v>#REF!</v>
      </c>
      <c r="L57" s="120" t="e">
        <f t="shared" ca="1" si="9"/>
        <v>#REF!</v>
      </c>
      <c r="M57" s="120" t="e">
        <f t="shared" ca="1" si="10"/>
        <v>#REF!</v>
      </c>
    </row>
    <row r="58" spans="1:15" x14ac:dyDescent="0.25">
      <c r="A58" s="119">
        <v>44511</v>
      </c>
      <c r="B58" s="119">
        <v>44511</v>
      </c>
      <c r="C58" s="120" t="e">
        <f t="shared" ca="1" si="0"/>
        <v>#REF!</v>
      </c>
      <c r="D58" s="120" t="e">
        <f t="shared" ca="1" si="1"/>
        <v>#REF!</v>
      </c>
      <c r="E58" s="120" t="e">
        <f t="shared" ca="1" si="2"/>
        <v>#REF!</v>
      </c>
      <c r="F58" s="120" t="e">
        <f t="shared" ca="1" si="3"/>
        <v>#REF!</v>
      </c>
      <c r="G58" s="120" t="e">
        <f t="shared" ca="1" si="4"/>
        <v>#REF!</v>
      </c>
      <c r="H58" s="120" t="e">
        <f t="shared" ca="1" si="5"/>
        <v>#REF!</v>
      </c>
      <c r="I58" s="120" t="e">
        <f t="shared" ca="1" si="6"/>
        <v>#REF!</v>
      </c>
      <c r="J58" s="120" t="e">
        <f t="shared" ca="1" si="7"/>
        <v>#REF!</v>
      </c>
      <c r="K58" s="120" t="e">
        <f t="shared" ca="1" si="8"/>
        <v>#REF!</v>
      </c>
      <c r="L58" s="120" t="e">
        <f t="shared" ca="1" si="9"/>
        <v>#REF!</v>
      </c>
      <c r="M58" s="120" t="e">
        <f t="shared" ca="1" si="10"/>
        <v>#REF!</v>
      </c>
    </row>
    <row r="59" spans="1:15" x14ac:dyDescent="0.25">
      <c r="A59" s="119">
        <v>44512</v>
      </c>
      <c r="B59" s="119">
        <v>44512</v>
      </c>
      <c r="C59" s="120" t="e">
        <f t="shared" ca="1" si="0"/>
        <v>#REF!</v>
      </c>
      <c r="D59" s="120" t="e">
        <f t="shared" ca="1" si="1"/>
        <v>#REF!</v>
      </c>
      <c r="E59" s="120" t="e">
        <f t="shared" ca="1" si="2"/>
        <v>#REF!</v>
      </c>
      <c r="F59" s="120" t="e">
        <f t="shared" ca="1" si="3"/>
        <v>#REF!</v>
      </c>
      <c r="G59" s="120" t="e">
        <f t="shared" ca="1" si="4"/>
        <v>#REF!</v>
      </c>
      <c r="H59" s="120" t="e">
        <f t="shared" ca="1" si="5"/>
        <v>#REF!</v>
      </c>
      <c r="I59" s="120" t="e">
        <f t="shared" ca="1" si="6"/>
        <v>#REF!</v>
      </c>
      <c r="J59" s="120" t="e">
        <f t="shared" ca="1" si="7"/>
        <v>#REF!</v>
      </c>
      <c r="K59" s="120" t="e">
        <f t="shared" ca="1" si="8"/>
        <v>#REF!</v>
      </c>
      <c r="L59" s="120" t="e">
        <f t="shared" ca="1" si="9"/>
        <v>#REF!</v>
      </c>
      <c r="M59" s="120" t="e">
        <f t="shared" ca="1" si="10"/>
        <v>#REF!</v>
      </c>
    </row>
    <row r="60" spans="1:15" x14ac:dyDescent="0.25">
      <c r="A60" s="119">
        <v>44513</v>
      </c>
      <c r="B60" s="119">
        <v>44513</v>
      </c>
      <c r="C60" s="120" t="e">
        <f t="shared" ca="1" si="0"/>
        <v>#REF!</v>
      </c>
      <c r="D60" s="120" t="e">
        <f t="shared" ca="1" si="1"/>
        <v>#REF!</v>
      </c>
      <c r="E60" s="120" t="e">
        <f t="shared" ca="1" si="2"/>
        <v>#REF!</v>
      </c>
      <c r="F60" s="120" t="e">
        <f t="shared" ca="1" si="3"/>
        <v>#REF!</v>
      </c>
      <c r="G60" s="120" t="e">
        <f t="shared" ca="1" si="4"/>
        <v>#REF!</v>
      </c>
      <c r="H60" s="120" t="e">
        <f t="shared" ca="1" si="5"/>
        <v>#REF!</v>
      </c>
      <c r="I60" s="120" t="e">
        <f t="shared" ca="1" si="6"/>
        <v>#REF!</v>
      </c>
      <c r="J60" s="120" t="e">
        <f t="shared" ca="1" si="7"/>
        <v>#REF!</v>
      </c>
      <c r="K60" s="120" t="e">
        <f t="shared" ca="1" si="8"/>
        <v>#REF!</v>
      </c>
      <c r="L60" s="120" t="e">
        <f t="shared" ca="1" si="9"/>
        <v>#REF!</v>
      </c>
      <c r="M60" s="120" t="e">
        <f t="shared" ca="1" si="10"/>
        <v>#REF!</v>
      </c>
    </row>
    <row r="61" spans="1:15" x14ac:dyDescent="0.25">
      <c r="A61" s="119">
        <v>44514</v>
      </c>
      <c r="B61" s="119">
        <v>44514</v>
      </c>
      <c r="C61" s="120" t="e">
        <f t="shared" ca="1" si="0"/>
        <v>#REF!</v>
      </c>
      <c r="D61" s="120" t="e">
        <f t="shared" ca="1" si="1"/>
        <v>#REF!</v>
      </c>
      <c r="E61" s="120" t="e">
        <f t="shared" ca="1" si="2"/>
        <v>#REF!</v>
      </c>
      <c r="F61" s="120" t="e">
        <f t="shared" ca="1" si="3"/>
        <v>#REF!</v>
      </c>
      <c r="G61" s="120" t="e">
        <f t="shared" ca="1" si="4"/>
        <v>#REF!</v>
      </c>
      <c r="H61" s="120" t="e">
        <f t="shared" ca="1" si="5"/>
        <v>#REF!</v>
      </c>
      <c r="I61" s="120" t="e">
        <f t="shared" ca="1" si="6"/>
        <v>#REF!</v>
      </c>
      <c r="J61" s="120" t="e">
        <f t="shared" ca="1" si="7"/>
        <v>#REF!</v>
      </c>
      <c r="K61" s="120" t="e">
        <f t="shared" ca="1" si="8"/>
        <v>#REF!</v>
      </c>
      <c r="L61" s="120" t="e">
        <f t="shared" ca="1" si="9"/>
        <v>#REF!</v>
      </c>
      <c r="M61" s="120" t="e">
        <f t="shared" ca="1" si="10"/>
        <v>#REF!</v>
      </c>
    </row>
    <row r="62" spans="1:15" x14ac:dyDescent="0.25">
      <c r="A62" s="119">
        <v>44515</v>
      </c>
      <c r="B62" s="119">
        <v>44515</v>
      </c>
      <c r="C62" s="120" t="e">
        <f t="shared" ca="1" si="0"/>
        <v>#REF!</v>
      </c>
      <c r="D62" s="120" t="e">
        <f t="shared" ca="1" si="1"/>
        <v>#REF!</v>
      </c>
      <c r="E62" s="120" t="e">
        <f t="shared" ca="1" si="2"/>
        <v>#REF!</v>
      </c>
      <c r="F62" s="120" t="e">
        <f t="shared" ca="1" si="3"/>
        <v>#REF!</v>
      </c>
      <c r="G62" s="120" t="e">
        <f t="shared" ca="1" si="4"/>
        <v>#REF!</v>
      </c>
      <c r="H62" s="120" t="e">
        <f t="shared" ca="1" si="5"/>
        <v>#REF!</v>
      </c>
      <c r="I62" s="120" t="e">
        <f t="shared" ca="1" si="6"/>
        <v>#REF!</v>
      </c>
      <c r="J62" s="120" t="e">
        <f t="shared" ca="1" si="7"/>
        <v>#REF!</v>
      </c>
      <c r="K62" s="120" t="e">
        <f t="shared" ca="1" si="8"/>
        <v>#REF!</v>
      </c>
      <c r="L62" s="120" t="e">
        <f t="shared" ca="1" si="9"/>
        <v>#REF!</v>
      </c>
      <c r="M62" s="120" t="e">
        <f t="shared" ca="1" si="10"/>
        <v>#REF!</v>
      </c>
      <c r="O62"/>
    </row>
    <row r="63" spans="1:15" x14ac:dyDescent="0.25">
      <c r="A63" s="119">
        <v>44516</v>
      </c>
      <c r="B63" s="119">
        <v>44516</v>
      </c>
      <c r="C63" s="120" t="e">
        <f t="shared" ca="1" si="0"/>
        <v>#REF!</v>
      </c>
      <c r="D63" s="120" t="e">
        <f t="shared" ca="1" si="1"/>
        <v>#REF!</v>
      </c>
      <c r="E63" s="120" t="e">
        <f t="shared" ca="1" si="2"/>
        <v>#REF!</v>
      </c>
      <c r="F63" s="120" t="e">
        <f t="shared" ca="1" si="3"/>
        <v>#REF!</v>
      </c>
      <c r="G63" s="120" t="e">
        <f t="shared" ca="1" si="4"/>
        <v>#REF!</v>
      </c>
      <c r="H63" s="120" t="e">
        <f t="shared" ca="1" si="5"/>
        <v>#REF!</v>
      </c>
      <c r="I63" s="120" t="e">
        <f t="shared" ca="1" si="6"/>
        <v>#REF!</v>
      </c>
      <c r="J63" s="120" t="e">
        <f t="shared" ca="1" si="7"/>
        <v>#REF!</v>
      </c>
      <c r="K63" s="120" t="e">
        <f t="shared" ca="1" si="8"/>
        <v>#REF!</v>
      </c>
      <c r="L63" s="120" t="e">
        <f t="shared" ca="1" si="9"/>
        <v>#REF!</v>
      </c>
      <c r="M63" s="120" t="e">
        <f t="shared" ca="1" si="10"/>
        <v>#REF!</v>
      </c>
    </row>
    <row r="64" spans="1:15" x14ac:dyDescent="0.25">
      <c r="A64" s="119" t="s">
        <v>169</v>
      </c>
      <c r="B64" s="119">
        <v>44517</v>
      </c>
      <c r="C64" s="120" t="e">
        <f t="shared" ca="1" si="0"/>
        <v>#REF!</v>
      </c>
      <c r="D64" s="120" t="e">
        <f t="shared" ca="1" si="1"/>
        <v>#REF!</v>
      </c>
      <c r="E64" s="120" t="e">
        <f t="shared" ca="1" si="2"/>
        <v>#REF!</v>
      </c>
      <c r="F64" s="120" t="e">
        <f t="shared" ca="1" si="3"/>
        <v>#REF!</v>
      </c>
      <c r="G64" s="120" t="e">
        <f t="shared" ca="1" si="4"/>
        <v>#REF!</v>
      </c>
      <c r="H64" s="120" t="e">
        <f t="shared" ca="1" si="5"/>
        <v>#REF!</v>
      </c>
      <c r="I64" s="120" t="e">
        <f t="shared" ca="1" si="6"/>
        <v>#REF!</v>
      </c>
      <c r="J64" s="120" t="e">
        <f t="shared" ca="1" si="7"/>
        <v>#REF!</v>
      </c>
      <c r="K64" s="120" t="e">
        <f t="shared" ca="1" si="8"/>
        <v>#REF!</v>
      </c>
      <c r="L64" s="120" t="e">
        <f t="shared" ca="1" si="9"/>
        <v>#REF!</v>
      </c>
      <c r="M64" s="120" t="e">
        <f t="shared" ca="1" si="10"/>
        <v>#REF!</v>
      </c>
    </row>
    <row r="65" spans="1:13" x14ac:dyDescent="0.25">
      <c r="A65" s="119">
        <v>44518</v>
      </c>
      <c r="B65" s="119">
        <v>44518</v>
      </c>
      <c r="C65" s="120" t="e">
        <f t="shared" ca="1" si="0"/>
        <v>#REF!</v>
      </c>
      <c r="D65" s="120" t="e">
        <f t="shared" ca="1" si="1"/>
        <v>#REF!</v>
      </c>
      <c r="E65" s="120" t="e">
        <f t="shared" ca="1" si="2"/>
        <v>#REF!</v>
      </c>
      <c r="F65" s="120" t="e">
        <f t="shared" ca="1" si="3"/>
        <v>#REF!</v>
      </c>
      <c r="G65" s="120" t="e">
        <f t="shared" ca="1" si="4"/>
        <v>#REF!</v>
      </c>
      <c r="H65" s="120" t="e">
        <f t="shared" ca="1" si="5"/>
        <v>#REF!</v>
      </c>
      <c r="I65" s="120" t="e">
        <f t="shared" ca="1" si="6"/>
        <v>#REF!</v>
      </c>
      <c r="J65" s="120" t="e">
        <f t="shared" ca="1" si="7"/>
        <v>#REF!</v>
      </c>
      <c r="K65" s="120" t="e">
        <f t="shared" ca="1" si="8"/>
        <v>#REF!</v>
      </c>
      <c r="L65" s="120" t="e">
        <f t="shared" ca="1" si="9"/>
        <v>#REF!</v>
      </c>
      <c r="M65" s="120" t="e">
        <f t="shared" ca="1" si="10"/>
        <v>#REF!</v>
      </c>
    </row>
    <row r="66" spans="1:13" x14ac:dyDescent="0.25">
      <c r="A66" s="119">
        <v>44519</v>
      </c>
      <c r="B66" s="119">
        <v>44519</v>
      </c>
      <c r="C66" s="120" t="e">
        <f t="shared" ca="1" si="0"/>
        <v>#REF!</v>
      </c>
      <c r="D66" s="120" t="e">
        <f t="shared" ca="1" si="1"/>
        <v>#REF!</v>
      </c>
      <c r="E66" s="120" t="e">
        <f t="shared" ca="1" si="2"/>
        <v>#REF!</v>
      </c>
      <c r="F66" s="120" t="e">
        <f t="shared" ca="1" si="3"/>
        <v>#REF!</v>
      </c>
      <c r="G66" s="120" t="e">
        <f t="shared" ca="1" si="4"/>
        <v>#REF!</v>
      </c>
      <c r="H66" s="120" t="e">
        <f t="shared" ca="1" si="5"/>
        <v>#REF!</v>
      </c>
      <c r="I66" s="120" t="e">
        <f t="shared" ca="1" si="6"/>
        <v>#REF!</v>
      </c>
      <c r="J66" s="120" t="e">
        <f t="shared" ca="1" si="7"/>
        <v>#REF!</v>
      </c>
      <c r="K66" s="120" t="e">
        <f t="shared" ca="1" si="8"/>
        <v>#REF!</v>
      </c>
      <c r="L66" s="120" t="e">
        <f t="shared" ca="1" si="9"/>
        <v>#REF!</v>
      </c>
      <c r="M66" s="120" t="e">
        <f t="shared" ca="1" si="10"/>
        <v>#REF!</v>
      </c>
    </row>
    <row r="67" spans="1:13" x14ac:dyDescent="0.25">
      <c r="A67" s="119">
        <v>44520</v>
      </c>
      <c r="B67" s="119">
        <v>44520</v>
      </c>
      <c r="C67" s="120" t="e">
        <f t="shared" ref="C67:C130" ca="1" si="11">INDIRECT(CONCATENATE("",$A67,"!H10"))</f>
        <v>#REF!</v>
      </c>
      <c r="D67" s="120" t="e">
        <f t="shared" ref="D67:D130" ca="1" si="12">INDIRECT(CONCATENATE("",$A67,"!H11"))</f>
        <v>#REF!</v>
      </c>
      <c r="E67" s="120" t="e">
        <f t="shared" ref="E67:E130" ca="1" si="13">INDIRECT(CONCATENATE("",$A67,"!H12"))</f>
        <v>#REF!</v>
      </c>
      <c r="F67" s="120" t="e">
        <f t="shared" ref="F67:F130" ca="1" si="14">INDIRECT(CONCATENATE("",$A67,"!H13"))</f>
        <v>#REF!</v>
      </c>
      <c r="G67" s="120" t="e">
        <f t="shared" ref="G67:G130" ca="1" si="15">INDIRECT(CONCATENATE("",$A67,"!H14"))</f>
        <v>#REF!</v>
      </c>
      <c r="H67" s="120" t="e">
        <f t="shared" ref="H67:H130" ca="1" si="16">INDIRECT(CONCATENATE("",$A67,"!i12"))</f>
        <v>#REF!</v>
      </c>
      <c r="I67" s="120" t="e">
        <f t="shared" ref="I67:I130" ca="1" si="17">INDIRECT(CONCATENATE("",$A67,"!i13"))</f>
        <v>#REF!</v>
      </c>
      <c r="J67" s="120" t="e">
        <f t="shared" ref="J67:J130" ca="1" si="18">INDIRECT(CONCATENATE("",$A67,"!i14"))</f>
        <v>#REF!</v>
      </c>
      <c r="K67" s="120" t="e">
        <f t="shared" ref="K67:K130" ca="1" si="19">INDIRECT(CONCATENATE("",$A67,"!J12"))</f>
        <v>#REF!</v>
      </c>
      <c r="L67" s="120" t="e">
        <f t="shared" ref="L67:L130" ca="1" si="20">INDIRECT(CONCATENATE("",$A67,"!J13"))</f>
        <v>#REF!</v>
      </c>
      <c r="M67" s="120" t="e">
        <f t="shared" ref="M67:M130" ca="1" si="21">INDIRECT(CONCATENATE("",$A67,"!J14"))</f>
        <v>#REF!</v>
      </c>
    </row>
    <row r="68" spans="1:13" x14ac:dyDescent="0.25">
      <c r="A68" s="119">
        <v>44521</v>
      </c>
      <c r="B68" s="119">
        <v>44521</v>
      </c>
      <c r="C68" s="120" t="e">
        <f t="shared" ca="1" si="11"/>
        <v>#REF!</v>
      </c>
      <c r="D68" s="120" t="e">
        <f t="shared" ca="1" si="12"/>
        <v>#REF!</v>
      </c>
      <c r="E68" s="120" t="e">
        <f t="shared" ca="1" si="13"/>
        <v>#REF!</v>
      </c>
      <c r="F68" s="120" t="e">
        <f t="shared" ca="1" si="14"/>
        <v>#REF!</v>
      </c>
      <c r="G68" s="120" t="e">
        <f t="shared" ca="1" si="15"/>
        <v>#REF!</v>
      </c>
      <c r="H68" s="120" t="e">
        <f t="shared" ca="1" si="16"/>
        <v>#REF!</v>
      </c>
      <c r="I68" s="120" t="e">
        <f t="shared" ca="1" si="17"/>
        <v>#REF!</v>
      </c>
      <c r="J68" s="120" t="e">
        <f t="shared" ca="1" si="18"/>
        <v>#REF!</v>
      </c>
      <c r="K68" s="120" t="e">
        <f t="shared" ca="1" si="19"/>
        <v>#REF!</v>
      </c>
      <c r="L68" s="120" t="e">
        <f t="shared" ca="1" si="20"/>
        <v>#REF!</v>
      </c>
      <c r="M68" s="120" t="e">
        <f t="shared" ca="1" si="21"/>
        <v>#REF!</v>
      </c>
    </row>
    <row r="69" spans="1:13" x14ac:dyDescent="0.25">
      <c r="A69" s="119">
        <v>44522</v>
      </c>
      <c r="B69" s="119">
        <v>44522</v>
      </c>
      <c r="C69" s="120" t="e">
        <f t="shared" ca="1" si="11"/>
        <v>#REF!</v>
      </c>
      <c r="D69" s="120" t="e">
        <f t="shared" ca="1" si="12"/>
        <v>#REF!</v>
      </c>
      <c r="E69" s="120" t="e">
        <f t="shared" ca="1" si="13"/>
        <v>#REF!</v>
      </c>
      <c r="F69" s="120" t="e">
        <f t="shared" ca="1" si="14"/>
        <v>#REF!</v>
      </c>
      <c r="G69" s="120" t="e">
        <f t="shared" ca="1" si="15"/>
        <v>#REF!</v>
      </c>
      <c r="H69" s="120" t="e">
        <f t="shared" ca="1" si="16"/>
        <v>#REF!</v>
      </c>
      <c r="I69" s="120" t="e">
        <f t="shared" ca="1" si="17"/>
        <v>#REF!</v>
      </c>
      <c r="J69" s="120" t="e">
        <f t="shared" ca="1" si="18"/>
        <v>#REF!</v>
      </c>
      <c r="K69" s="120" t="e">
        <f t="shared" ca="1" si="19"/>
        <v>#REF!</v>
      </c>
      <c r="L69" s="120" t="e">
        <f t="shared" ca="1" si="20"/>
        <v>#REF!</v>
      </c>
      <c r="M69" s="120" t="e">
        <f t="shared" ca="1" si="21"/>
        <v>#REF!</v>
      </c>
    </row>
    <row r="70" spans="1:13" x14ac:dyDescent="0.25">
      <c r="A70" s="119">
        <v>44523</v>
      </c>
      <c r="B70" s="119">
        <v>44523</v>
      </c>
      <c r="C70" s="120" t="e">
        <f t="shared" ca="1" si="11"/>
        <v>#REF!</v>
      </c>
      <c r="D70" s="120" t="e">
        <f t="shared" ca="1" si="12"/>
        <v>#REF!</v>
      </c>
      <c r="E70" s="120" t="e">
        <f t="shared" ca="1" si="13"/>
        <v>#REF!</v>
      </c>
      <c r="F70" s="120" t="e">
        <f t="shared" ca="1" si="14"/>
        <v>#REF!</v>
      </c>
      <c r="G70" s="120" t="e">
        <f t="shared" ca="1" si="15"/>
        <v>#REF!</v>
      </c>
      <c r="H70" s="120" t="e">
        <f t="shared" ca="1" si="16"/>
        <v>#REF!</v>
      </c>
      <c r="I70" s="120" t="e">
        <f t="shared" ca="1" si="17"/>
        <v>#REF!</v>
      </c>
      <c r="J70" s="120" t="e">
        <f t="shared" ca="1" si="18"/>
        <v>#REF!</v>
      </c>
      <c r="K70" s="120" t="e">
        <f t="shared" ca="1" si="19"/>
        <v>#REF!</v>
      </c>
      <c r="L70" s="120" t="e">
        <f t="shared" ca="1" si="20"/>
        <v>#REF!</v>
      </c>
      <c r="M70" s="120" t="e">
        <f t="shared" ca="1" si="21"/>
        <v>#REF!</v>
      </c>
    </row>
    <row r="71" spans="1:13" x14ac:dyDescent="0.25">
      <c r="A71" s="119" t="s">
        <v>170</v>
      </c>
      <c r="B71" s="119">
        <v>44524</v>
      </c>
      <c r="C71" s="120" t="e">
        <f t="shared" ca="1" si="11"/>
        <v>#REF!</v>
      </c>
      <c r="D71" s="120" t="e">
        <f t="shared" ca="1" si="12"/>
        <v>#REF!</v>
      </c>
      <c r="E71" s="120" t="e">
        <f t="shared" ca="1" si="13"/>
        <v>#REF!</v>
      </c>
      <c r="F71" s="120" t="e">
        <f t="shared" ca="1" si="14"/>
        <v>#REF!</v>
      </c>
      <c r="G71" s="120" t="e">
        <f t="shared" ca="1" si="15"/>
        <v>#REF!</v>
      </c>
      <c r="H71" s="120" t="e">
        <f t="shared" ca="1" si="16"/>
        <v>#REF!</v>
      </c>
      <c r="I71" s="120" t="e">
        <f t="shared" ca="1" si="17"/>
        <v>#REF!</v>
      </c>
      <c r="J71" s="120" t="e">
        <f t="shared" ca="1" si="18"/>
        <v>#REF!</v>
      </c>
      <c r="K71" s="120" t="e">
        <f t="shared" ca="1" si="19"/>
        <v>#REF!</v>
      </c>
      <c r="L71" s="120" t="e">
        <f t="shared" ca="1" si="20"/>
        <v>#REF!</v>
      </c>
      <c r="M71" s="120" t="e">
        <f t="shared" ca="1" si="21"/>
        <v>#REF!</v>
      </c>
    </row>
    <row r="72" spans="1:13" x14ac:dyDescent="0.25">
      <c r="A72" s="119">
        <v>44525</v>
      </c>
      <c r="B72" s="119">
        <v>44525</v>
      </c>
      <c r="C72" s="120" t="e">
        <f t="shared" ca="1" si="11"/>
        <v>#REF!</v>
      </c>
      <c r="D72" s="120" t="e">
        <f t="shared" ca="1" si="12"/>
        <v>#REF!</v>
      </c>
      <c r="E72" s="120" t="e">
        <f t="shared" ca="1" si="13"/>
        <v>#REF!</v>
      </c>
      <c r="F72" s="120" t="e">
        <f t="shared" ca="1" si="14"/>
        <v>#REF!</v>
      </c>
      <c r="G72" s="120" t="e">
        <f t="shared" ca="1" si="15"/>
        <v>#REF!</v>
      </c>
      <c r="H72" s="120" t="e">
        <f t="shared" ca="1" si="16"/>
        <v>#REF!</v>
      </c>
      <c r="I72" s="120" t="e">
        <f t="shared" ca="1" si="17"/>
        <v>#REF!</v>
      </c>
      <c r="J72" s="120" t="e">
        <f t="shared" ca="1" si="18"/>
        <v>#REF!</v>
      </c>
      <c r="K72" s="120" t="e">
        <f t="shared" ca="1" si="19"/>
        <v>#REF!</v>
      </c>
      <c r="L72" s="120" t="e">
        <f t="shared" ca="1" si="20"/>
        <v>#REF!</v>
      </c>
      <c r="M72" s="120" t="e">
        <f t="shared" ca="1" si="21"/>
        <v>#REF!</v>
      </c>
    </row>
    <row r="73" spans="1:13" x14ac:dyDescent="0.25">
      <c r="A73" s="119">
        <v>44526</v>
      </c>
      <c r="B73" s="119">
        <v>44526</v>
      </c>
      <c r="C73" s="120" t="e">
        <f t="shared" ca="1" si="11"/>
        <v>#REF!</v>
      </c>
      <c r="D73" s="120" t="e">
        <f t="shared" ca="1" si="12"/>
        <v>#REF!</v>
      </c>
      <c r="E73" s="120" t="e">
        <f t="shared" ca="1" si="13"/>
        <v>#REF!</v>
      </c>
      <c r="F73" s="120" t="e">
        <f t="shared" ca="1" si="14"/>
        <v>#REF!</v>
      </c>
      <c r="G73" s="120" t="e">
        <f t="shared" ca="1" si="15"/>
        <v>#REF!</v>
      </c>
      <c r="H73" s="120" t="e">
        <f t="shared" ca="1" si="16"/>
        <v>#REF!</v>
      </c>
      <c r="I73" s="120" t="e">
        <f t="shared" ca="1" si="17"/>
        <v>#REF!</v>
      </c>
      <c r="J73" s="120" t="e">
        <f t="shared" ca="1" si="18"/>
        <v>#REF!</v>
      </c>
      <c r="K73" s="120" t="e">
        <f t="shared" ca="1" si="19"/>
        <v>#REF!</v>
      </c>
      <c r="L73" s="120" t="e">
        <f t="shared" ca="1" si="20"/>
        <v>#REF!</v>
      </c>
      <c r="M73" s="120" t="e">
        <f t="shared" ca="1" si="21"/>
        <v>#REF!</v>
      </c>
    </row>
    <row r="74" spans="1:13" x14ac:dyDescent="0.25">
      <c r="A74" s="119">
        <v>44527</v>
      </c>
      <c r="B74" s="119">
        <v>44527</v>
      </c>
      <c r="C74" s="120" t="e">
        <f t="shared" ca="1" si="11"/>
        <v>#REF!</v>
      </c>
      <c r="D74" s="120" t="e">
        <f t="shared" ca="1" si="12"/>
        <v>#REF!</v>
      </c>
      <c r="E74" s="120" t="e">
        <f t="shared" ca="1" si="13"/>
        <v>#REF!</v>
      </c>
      <c r="F74" s="120" t="e">
        <f t="shared" ca="1" si="14"/>
        <v>#REF!</v>
      </c>
      <c r="G74" s="120" t="e">
        <f t="shared" ca="1" si="15"/>
        <v>#REF!</v>
      </c>
      <c r="H74" s="120" t="e">
        <f t="shared" ca="1" si="16"/>
        <v>#REF!</v>
      </c>
      <c r="I74" s="120" t="e">
        <f t="shared" ca="1" si="17"/>
        <v>#REF!</v>
      </c>
      <c r="J74" s="120" t="e">
        <f t="shared" ca="1" si="18"/>
        <v>#REF!</v>
      </c>
      <c r="K74" s="120" t="e">
        <f t="shared" ca="1" si="19"/>
        <v>#REF!</v>
      </c>
      <c r="L74" s="120" t="e">
        <f t="shared" ca="1" si="20"/>
        <v>#REF!</v>
      </c>
      <c r="M74" s="120" t="e">
        <f t="shared" ca="1" si="21"/>
        <v>#REF!</v>
      </c>
    </row>
    <row r="75" spans="1:13" x14ac:dyDescent="0.25">
      <c r="A75" s="119">
        <v>44528</v>
      </c>
      <c r="B75" s="119">
        <v>44528</v>
      </c>
      <c r="C75" s="120" t="e">
        <f t="shared" ca="1" si="11"/>
        <v>#REF!</v>
      </c>
      <c r="D75" s="120" t="e">
        <f t="shared" ca="1" si="12"/>
        <v>#REF!</v>
      </c>
      <c r="E75" s="120" t="e">
        <f t="shared" ca="1" si="13"/>
        <v>#REF!</v>
      </c>
      <c r="F75" s="120" t="e">
        <f t="shared" ca="1" si="14"/>
        <v>#REF!</v>
      </c>
      <c r="G75" s="120" t="e">
        <f t="shared" ca="1" si="15"/>
        <v>#REF!</v>
      </c>
      <c r="H75" s="120" t="e">
        <f t="shared" ca="1" si="16"/>
        <v>#REF!</v>
      </c>
      <c r="I75" s="120" t="e">
        <f t="shared" ca="1" si="17"/>
        <v>#REF!</v>
      </c>
      <c r="J75" s="120" t="e">
        <f t="shared" ca="1" si="18"/>
        <v>#REF!</v>
      </c>
      <c r="K75" s="120" t="e">
        <f t="shared" ca="1" si="19"/>
        <v>#REF!</v>
      </c>
      <c r="L75" s="120" t="e">
        <f t="shared" ca="1" si="20"/>
        <v>#REF!</v>
      </c>
      <c r="M75" s="120" t="e">
        <f t="shared" ca="1" si="21"/>
        <v>#REF!</v>
      </c>
    </row>
    <row r="76" spans="1:13" x14ac:dyDescent="0.25">
      <c r="A76" s="119">
        <v>44529</v>
      </c>
      <c r="B76" s="119">
        <v>44529</v>
      </c>
      <c r="C76" s="120" t="e">
        <f t="shared" ca="1" si="11"/>
        <v>#REF!</v>
      </c>
      <c r="D76" s="120" t="e">
        <f t="shared" ca="1" si="12"/>
        <v>#REF!</v>
      </c>
      <c r="E76" s="120" t="e">
        <f t="shared" ca="1" si="13"/>
        <v>#REF!</v>
      </c>
      <c r="F76" s="120" t="e">
        <f t="shared" ca="1" si="14"/>
        <v>#REF!</v>
      </c>
      <c r="G76" s="120" t="e">
        <f t="shared" ca="1" si="15"/>
        <v>#REF!</v>
      </c>
      <c r="H76" s="120" t="e">
        <f t="shared" ca="1" si="16"/>
        <v>#REF!</v>
      </c>
      <c r="I76" s="120" t="e">
        <f t="shared" ca="1" si="17"/>
        <v>#REF!</v>
      </c>
      <c r="J76" s="120" t="e">
        <f t="shared" ca="1" si="18"/>
        <v>#REF!</v>
      </c>
      <c r="K76" s="120" t="e">
        <f t="shared" ca="1" si="19"/>
        <v>#REF!</v>
      </c>
      <c r="L76" s="120" t="e">
        <f t="shared" ca="1" si="20"/>
        <v>#REF!</v>
      </c>
      <c r="M76" s="120" t="e">
        <f t="shared" ca="1" si="21"/>
        <v>#REF!</v>
      </c>
    </row>
    <row r="77" spans="1:13" x14ac:dyDescent="0.25">
      <c r="A77" s="119">
        <v>44530</v>
      </c>
      <c r="B77" s="119">
        <v>44530</v>
      </c>
      <c r="C77" s="120" t="e">
        <f t="shared" ca="1" si="11"/>
        <v>#REF!</v>
      </c>
      <c r="D77" s="120" t="e">
        <f t="shared" ca="1" si="12"/>
        <v>#REF!</v>
      </c>
      <c r="E77" s="120" t="e">
        <f t="shared" ca="1" si="13"/>
        <v>#REF!</v>
      </c>
      <c r="F77" s="120" t="e">
        <f t="shared" ca="1" si="14"/>
        <v>#REF!</v>
      </c>
      <c r="G77" s="120" t="e">
        <f t="shared" ca="1" si="15"/>
        <v>#REF!</v>
      </c>
      <c r="H77" s="120" t="e">
        <f t="shared" ca="1" si="16"/>
        <v>#REF!</v>
      </c>
      <c r="I77" s="120" t="e">
        <f t="shared" ca="1" si="17"/>
        <v>#REF!</v>
      </c>
      <c r="J77" s="120" t="e">
        <f t="shared" ca="1" si="18"/>
        <v>#REF!</v>
      </c>
      <c r="K77" s="120" t="e">
        <f t="shared" ca="1" si="19"/>
        <v>#REF!</v>
      </c>
      <c r="L77" s="120" t="e">
        <f t="shared" ca="1" si="20"/>
        <v>#REF!</v>
      </c>
      <c r="M77" s="120" t="e">
        <f t="shared" ca="1" si="21"/>
        <v>#REF!</v>
      </c>
    </row>
    <row r="78" spans="1:13" x14ac:dyDescent="0.25">
      <c r="A78" s="119" t="s">
        <v>171</v>
      </c>
      <c r="B78" s="119">
        <v>44531</v>
      </c>
      <c r="C78" s="120" t="e">
        <f t="shared" ca="1" si="11"/>
        <v>#REF!</v>
      </c>
      <c r="D78" s="120" t="e">
        <f t="shared" ca="1" si="12"/>
        <v>#REF!</v>
      </c>
      <c r="E78" s="120" t="e">
        <f t="shared" ca="1" si="13"/>
        <v>#REF!</v>
      </c>
      <c r="F78" s="120" t="e">
        <f t="shared" ca="1" si="14"/>
        <v>#REF!</v>
      </c>
      <c r="G78" s="120" t="e">
        <f t="shared" ca="1" si="15"/>
        <v>#REF!</v>
      </c>
      <c r="H78" s="120" t="e">
        <f t="shared" ca="1" si="16"/>
        <v>#REF!</v>
      </c>
      <c r="I78" s="120" t="e">
        <f t="shared" ca="1" si="17"/>
        <v>#REF!</v>
      </c>
      <c r="J78" s="120" t="e">
        <f t="shared" ca="1" si="18"/>
        <v>#REF!</v>
      </c>
      <c r="K78" s="120" t="e">
        <f t="shared" ca="1" si="19"/>
        <v>#REF!</v>
      </c>
      <c r="L78" s="120" t="e">
        <f t="shared" ca="1" si="20"/>
        <v>#REF!</v>
      </c>
      <c r="M78" s="120" t="e">
        <f t="shared" ca="1" si="21"/>
        <v>#REF!</v>
      </c>
    </row>
    <row r="79" spans="1:13" ht="14.65" customHeight="1" x14ac:dyDescent="0.25">
      <c r="A79" s="119">
        <v>44532</v>
      </c>
      <c r="B79" s="119">
        <v>44532</v>
      </c>
      <c r="C79" s="120" t="e">
        <f t="shared" ca="1" si="11"/>
        <v>#REF!</v>
      </c>
      <c r="D79" s="120" t="e">
        <f t="shared" ca="1" si="12"/>
        <v>#REF!</v>
      </c>
      <c r="E79" s="120" t="e">
        <f t="shared" ca="1" si="13"/>
        <v>#REF!</v>
      </c>
      <c r="F79" s="120" t="e">
        <f t="shared" ca="1" si="14"/>
        <v>#REF!</v>
      </c>
      <c r="G79" s="120" t="e">
        <f t="shared" ca="1" si="15"/>
        <v>#REF!</v>
      </c>
      <c r="H79" s="120" t="e">
        <f t="shared" ca="1" si="16"/>
        <v>#REF!</v>
      </c>
      <c r="I79" s="120" t="e">
        <f t="shared" ca="1" si="17"/>
        <v>#REF!</v>
      </c>
      <c r="J79" s="120" t="e">
        <f t="shared" ca="1" si="18"/>
        <v>#REF!</v>
      </c>
      <c r="K79" s="120" t="e">
        <f t="shared" ca="1" si="19"/>
        <v>#REF!</v>
      </c>
      <c r="L79" s="120" t="e">
        <f t="shared" ca="1" si="20"/>
        <v>#REF!</v>
      </c>
      <c r="M79" s="120" t="e">
        <f t="shared" ca="1" si="21"/>
        <v>#REF!</v>
      </c>
    </row>
    <row r="80" spans="1:13" ht="14.65" customHeight="1" x14ac:dyDescent="0.25">
      <c r="A80" s="119">
        <v>44533</v>
      </c>
      <c r="B80" s="119">
        <v>44533</v>
      </c>
      <c r="C80" s="120" t="e">
        <f t="shared" ca="1" si="11"/>
        <v>#REF!</v>
      </c>
      <c r="D80" s="120" t="e">
        <f t="shared" ca="1" si="12"/>
        <v>#REF!</v>
      </c>
      <c r="E80" s="120" t="e">
        <f t="shared" ca="1" si="13"/>
        <v>#REF!</v>
      </c>
      <c r="F80" s="120" t="e">
        <f t="shared" ca="1" si="14"/>
        <v>#REF!</v>
      </c>
      <c r="G80" s="120" t="e">
        <f t="shared" ca="1" si="15"/>
        <v>#REF!</v>
      </c>
      <c r="H80" s="120" t="e">
        <f t="shared" ca="1" si="16"/>
        <v>#REF!</v>
      </c>
      <c r="I80" s="120" t="e">
        <f t="shared" ca="1" si="17"/>
        <v>#REF!</v>
      </c>
      <c r="J80" s="120" t="e">
        <f t="shared" ca="1" si="18"/>
        <v>#REF!</v>
      </c>
      <c r="K80" s="120" t="e">
        <f t="shared" ca="1" si="19"/>
        <v>#REF!</v>
      </c>
      <c r="L80" s="120" t="e">
        <f t="shared" ca="1" si="20"/>
        <v>#REF!</v>
      </c>
      <c r="M80" s="120" t="e">
        <f t="shared" ca="1" si="21"/>
        <v>#REF!</v>
      </c>
    </row>
    <row r="81" spans="1:21" ht="14.65" customHeight="1" x14ac:dyDescent="0.25">
      <c r="A81" s="119">
        <v>44534</v>
      </c>
      <c r="B81" s="119">
        <v>44534</v>
      </c>
      <c r="C81" s="120" t="e">
        <f t="shared" ca="1" si="11"/>
        <v>#REF!</v>
      </c>
      <c r="D81" s="120" t="e">
        <f t="shared" ca="1" si="12"/>
        <v>#REF!</v>
      </c>
      <c r="E81" s="120" t="e">
        <f t="shared" ca="1" si="13"/>
        <v>#REF!</v>
      </c>
      <c r="F81" s="120" t="e">
        <f t="shared" ca="1" si="14"/>
        <v>#REF!</v>
      </c>
      <c r="G81" s="120" t="e">
        <f t="shared" ca="1" si="15"/>
        <v>#REF!</v>
      </c>
      <c r="H81" s="120" t="e">
        <f t="shared" ca="1" si="16"/>
        <v>#REF!</v>
      </c>
      <c r="I81" s="120" t="e">
        <f t="shared" ca="1" si="17"/>
        <v>#REF!</v>
      </c>
      <c r="J81" s="120" t="e">
        <f t="shared" ca="1" si="18"/>
        <v>#REF!</v>
      </c>
      <c r="K81" s="120" t="e">
        <f t="shared" ca="1" si="19"/>
        <v>#REF!</v>
      </c>
      <c r="L81" s="120" t="e">
        <f t="shared" ca="1" si="20"/>
        <v>#REF!</v>
      </c>
      <c r="M81" s="120" t="e">
        <f t="shared" ca="1" si="21"/>
        <v>#REF!</v>
      </c>
    </row>
    <row r="82" spans="1:21" ht="14.65" customHeight="1" x14ac:dyDescent="0.25">
      <c r="A82" s="119">
        <v>44535</v>
      </c>
      <c r="B82" s="119">
        <v>44535</v>
      </c>
      <c r="C82" s="120" t="e">
        <f t="shared" ca="1" si="11"/>
        <v>#REF!</v>
      </c>
      <c r="D82" s="120" t="e">
        <f t="shared" ca="1" si="12"/>
        <v>#REF!</v>
      </c>
      <c r="E82" s="120" t="e">
        <f t="shared" ca="1" si="13"/>
        <v>#REF!</v>
      </c>
      <c r="F82" s="120" t="e">
        <f t="shared" ca="1" si="14"/>
        <v>#REF!</v>
      </c>
      <c r="G82" s="120" t="e">
        <f t="shared" ca="1" si="15"/>
        <v>#REF!</v>
      </c>
      <c r="H82" s="120" t="e">
        <f t="shared" ca="1" si="16"/>
        <v>#REF!</v>
      </c>
      <c r="I82" s="120" t="e">
        <f t="shared" ca="1" si="17"/>
        <v>#REF!</v>
      </c>
      <c r="J82" s="120" t="e">
        <f t="shared" ca="1" si="18"/>
        <v>#REF!</v>
      </c>
      <c r="K82" s="120" t="e">
        <f t="shared" ca="1" si="19"/>
        <v>#REF!</v>
      </c>
      <c r="L82" s="120" t="e">
        <f t="shared" ca="1" si="20"/>
        <v>#REF!</v>
      </c>
      <c r="M82" s="120" t="e">
        <f t="shared" ca="1" si="21"/>
        <v>#REF!</v>
      </c>
    </row>
    <row r="83" spans="1:21" ht="14.65" customHeight="1" x14ac:dyDescent="0.25">
      <c r="A83" s="119">
        <v>44536</v>
      </c>
      <c r="B83" s="119">
        <v>44536</v>
      </c>
      <c r="C83" s="120" t="e">
        <f t="shared" ca="1" si="11"/>
        <v>#REF!</v>
      </c>
      <c r="D83" s="120" t="e">
        <f t="shared" ca="1" si="12"/>
        <v>#REF!</v>
      </c>
      <c r="E83" s="120" t="e">
        <f t="shared" ca="1" si="13"/>
        <v>#REF!</v>
      </c>
      <c r="F83" s="120" t="e">
        <f t="shared" ca="1" si="14"/>
        <v>#REF!</v>
      </c>
      <c r="G83" s="120" t="e">
        <f t="shared" ca="1" si="15"/>
        <v>#REF!</v>
      </c>
      <c r="H83" s="120" t="e">
        <f t="shared" ca="1" si="16"/>
        <v>#REF!</v>
      </c>
      <c r="I83" s="120" t="e">
        <f t="shared" ca="1" si="17"/>
        <v>#REF!</v>
      </c>
      <c r="J83" s="120" t="e">
        <f t="shared" ca="1" si="18"/>
        <v>#REF!</v>
      </c>
      <c r="K83" s="120" t="e">
        <f t="shared" ca="1" si="19"/>
        <v>#REF!</v>
      </c>
      <c r="L83" s="120" t="e">
        <f t="shared" ca="1" si="20"/>
        <v>#REF!</v>
      </c>
      <c r="M83" s="120" t="e">
        <f t="shared" ca="1" si="21"/>
        <v>#REF!</v>
      </c>
    </row>
    <row r="84" spans="1:21" ht="14.65" customHeight="1" x14ac:dyDescent="0.25">
      <c r="A84" s="119">
        <v>44537</v>
      </c>
      <c r="B84" s="119">
        <v>44537</v>
      </c>
      <c r="C84" s="120" t="e">
        <f t="shared" ca="1" si="11"/>
        <v>#REF!</v>
      </c>
      <c r="D84" s="120" t="e">
        <f t="shared" ca="1" si="12"/>
        <v>#REF!</v>
      </c>
      <c r="E84" s="120" t="e">
        <f t="shared" ca="1" si="13"/>
        <v>#REF!</v>
      </c>
      <c r="F84" s="120" t="e">
        <f t="shared" ca="1" si="14"/>
        <v>#REF!</v>
      </c>
      <c r="G84" s="120" t="e">
        <f t="shared" ca="1" si="15"/>
        <v>#REF!</v>
      </c>
      <c r="H84" s="120" t="e">
        <f t="shared" ca="1" si="16"/>
        <v>#REF!</v>
      </c>
      <c r="I84" s="120" t="e">
        <f t="shared" ca="1" si="17"/>
        <v>#REF!</v>
      </c>
      <c r="J84" s="120" t="e">
        <f t="shared" ca="1" si="18"/>
        <v>#REF!</v>
      </c>
      <c r="K84" s="120" t="e">
        <f t="shared" ca="1" si="19"/>
        <v>#REF!</v>
      </c>
      <c r="L84" s="120" t="e">
        <f t="shared" ca="1" si="20"/>
        <v>#REF!</v>
      </c>
      <c r="M84" s="120" t="e">
        <f t="shared" ca="1" si="21"/>
        <v>#REF!</v>
      </c>
    </row>
    <row r="85" spans="1:21" ht="14.65" customHeight="1" x14ac:dyDescent="0.25">
      <c r="A85" s="119" t="s">
        <v>172</v>
      </c>
      <c r="B85" s="119">
        <v>44538</v>
      </c>
      <c r="C85" s="120" t="e">
        <f t="shared" ca="1" si="11"/>
        <v>#REF!</v>
      </c>
      <c r="D85" s="120" t="e">
        <f t="shared" ca="1" si="12"/>
        <v>#REF!</v>
      </c>
      <c r="E85" s="120" t="e">
        <f t="shared" ca="1" si="13"/>
        <v>#REF!</v>
      </c>
      <c r="F85" s="120" t="e">
        <f t="shared" ca="1" si="14"/>
        <v>#REF!</v>
      </c>
      <c r="G85" s="120" t="e">
        <f t="shared" ca="1" si="15"/>
        <v>#REF!</v>
      </c>
      <c r="H85" s="120" t="e">
        <f t="shared" ca="1" si="16"/>
        <v>#REF!</v>
      </c>
      <c r="I85" s="120" t="e">
        <f t="shared" ca="1" si="17"/>
        <v>#REF!</v>
      </c>
      <c r="J85" s="120" t="e">
        <f t="shared" ca="1" si="18"/>
        <v>#REF!</v>
      </c>
      <c r="K85" s="120" t="e">
        <f t="shared" ca="1" si="19"/>
        <v>#REF!</v>
      </c>
      <c r="L85" s="120" t="e">
        <f t="shared" ca="1" si="20"/>
        <v>#REF!</v>
      </c>
      <c r="M85" s="120" t="e">
        <f t="shared" ca="1" si="21"/>
        <v>#REF!</v>
      </c>
    </row>
    <row r="86" spans="1:21" ht="14.65" customHeight="1" x14ac:dyDescent="0.25">
      <c r="A86" s="119">
        <v>44539</v>
      </c>
      <c r="B86" s="119">
        <v>44539</v>
      </c>
      <c r="C86" s="120" t="e">
        <f t="shared" ca="1" si="11"/>
        <v>#REF!</v>
      </c>
      <c r="D86" s="120" t="e">
        <f t="shared" ca="1" si="12"/>
        <v>#REF!</v>
      </c>
      <c r="E86" s="120" t="e">
        <f t="shared" ca="1" si="13"/>
        <v>#REF!</v>
      </c>
      <c r="F86" s="120" t="e">
        <f t="shared" ca="1" si="14"/>
        <v>#REF!</v>
      </c>
      <c r="G86" s="120" t="e">
        <f t="shared" ca="1" si="15"/>
        <v>#REF!</v>
      </c>
      <c r="H86" s="120" t="e">
        <f t="shared" ca="1" si="16"/>
        <v>#REF!</v>
      </c>
      <c r="I86" s="120" t="e">
        <f t="shared" ca="1" si="17"/>
        <v>#REF!</v>
      </c>
      <c r="J86" s="120" t="e">
        <f t="shared" ca="1" si="18"/>
        <v>#REF!</v>
      </c>
      <c r="K86" s="120" t="e">
        <f t="shared" ca="1" si="19"/>
        <v>#REF!</v>
      </c>
      <c r="L86" s="120" t="e">
        <f t="shared" ca="1" si="20"/>
        <v>#REF!</v>
      </c>
      <c r="M86" s="120" t="e">
        <f t="shared" ca="1" si="21"/>
        <v>#REF!</v>
      </c>
    </row>
    <row r="87" spans="1:21" ht="14.65" customHeight="1" x14ac:dyDescent="0.25">
      <c r="A87" s="119">
        <v>44540</v>
      </c>
      <c r="B87" s="119">
        <v>44540</v>
      </c>
      <c r="C87" s="120" t="e">
        <f t="shared" ca="1" si="11"/>
        <v>#REF!</v>
      </c>
      <c r="D87" s="120" t="e">
        <f t="shared" ca="1" si="12"/>
        <v>#REF!</v>
      </c>
      <c r="E87" s="120" t="e">
        <f t="shared" ca="1" si="13"/>
        <v>#REF!</v>
      </c>
      <c r="F87" s="120" t="e">
        <f t="shared" ca="1" si="14"/>
        <v>#REF!</v>
      </c>
      <c r="G87" s="120" t="e">
        <f t="shared" ca="1" si="15"/>
        <v>#REF!</v>
      </c>
      <c r="H87" s="120" t="e">
        <f t="shared" ca="1" si="16"/>
        <v>#REF!</v>
      </c>
      <c r="I87" s="120" t="e">
        <f t="shared" ca="1" si="17"/>
        <v>#REF!</v>
      </c>
      <c r="J87" s="120" t="e">
        <f t="shared" ca="1" si="18"/>
        <v>#REF!</v>
      </c>
      <c r="K87" s="120" t="e">
        <f t="shared" ca="1" si="19"/>
        <v>#REF!</v>
      </c>
      <c r="L87" s="120" t="e">
        <f t="shared" ca="1" si="20"/>
        <v>#REF!</v>
      </c>
      <c r="M87" s="120" t="e">
        <f t="shared" ca="1" si="21"/>
        <v>#REF!</v>
      </c>
    </row>
    <row r="88" spans="1:21" ht="14.65" customHeight="1" x14ac:dyDescent="0.25">
      <c r="A88" s="119">
        <v>44541</v>
      </c>
      <c r="B88" s="119">
        <v>44541</v>
      </c>
      <c r="C88" s="120" t="e">
        <f t="shared" ca="1" si="11"/>
        <v>#REF!</v>
      </c>
      <c r="D88" s="120" t="e">
        <f t="shared" ca="1" si="12"/>
        <v>#REF!</v>
      </c>
      <c r="E88" s="120" t="e">
        <f t="shared" ca="1" si="13"/>
        <v>#REF!</v>
      </c>
      <c r="F88" s="120" t="e">
        <f t="shared" ca="1" si="14"/>
        <v>#REF!</v>
      </c>
      <c r="G88" s="120" t="e">
        <f t="shared" ca="1" si="15"/>
        <v>#REF!</v>
      </c>
      <c r="H88" s="120" t="e">
        <f t="shared" ca="1" si="16"/>
        <v>#REF!</v>
      </c>
      <c r="I88" s="120" t="e">
        <f t="shared" ca="1" si="17"/>
        <v>#REF!</v>
      </c>
      <c r="J88" s="120" t="e">
        <f t="shared" ca="1" si="18"/>
        <v>#REF!</v>
      </c>
      <c r="K88" s="120" t="e">
        <f t="shared" ca="1" si="19"/>
        <v>#REF!</v>
      </c>
      <c r="L88" s="120" t="e">
        <f t="shared" ca="1" si="20"/>
        <v>#REF!</v>
      </c>
      <c r="M88" s="120" t="e">
        <f t="shared" ca="1" si="21"/>
        <v>#REF!</v>
      </c>
    </row>
    <row r="89" spans="1:21" ht="14.65" customHeight="1" x14ac:dyDescent="0.25">
      <c r="A89" s="119">
        <v>44542</v>
      </c>
      <c r="B89" s="119">
        <v>44542</v>
      </c>
      <c r="C89" s="120" t="e">
        <f t="shared" ca="1" si="11"/>
        <v>#REF!</v>
      </c>
      <c r="D89" s="120" t="e">
        <f t="shared" ca="1" si="12"/>
        <v>#REF!</v>
      </c>
      <c r="E89" s="120" t="e">
        <f t="shared" ca="1" si="13"/>
        <v>#REF!</v>
      </c>
      <c r="F89" s="120" t="e">
        <f t="shared" ca="1" si="14"/>
        <v>#REF!</v>
      </c>
      <c r="G89" s="120" t="e">
        <f t="shared" ca="1" si="15"/>
        <v>#REF!</v>
      </c>
      <c r="H89" s="120" t="e">
        <f t="shared" ca="1" si="16"/>
        <v>#REF!</v>
      </c>
      <c r="I89" s="120" t="e">
        <f t="shared" ca="1" si="17"/>
        <v>#REF!</v>
      </c>
      <c r="J89" s="120" t="e">
        <f t="shared" ca="1" si="18"/>
        <v>#REF!</v>
      </c>
      <c r="K89" s="120" t="e">
        <f t="shared" ca="1" si="19"/>
        <v>#REF!</v>
      </c>
      <c r="L89" s="120" t="e">
        <f t="shared" ca="1" si="20"/>
        <v>#REF!</v>
      </c>
      <c r="M89" s="120" t="e">
        <f t="shared" ca="1" si="21"/>
        <v>#REF!</v>
      </c>
    </row>
    <row r="90" spans="1:21" ht="14.65" customHeight="1" x14ac:dyDescent="0.25">
      <c r="A90" s="119">
        <v>44543</v>
      </c>
      <c r="B90" s="119">
        <v>44543</v>
      </c>
      <c r="C90" s="120" t="e">
        <f t="shared" ca="1" si="11"/>
        <v>#REF!</v>
      </c>
      <c r="D90" s="120" t="e">
        <f t="shared" ca="1" si="12"/>
        <v>#REF!</v>
      </c>
      <c r="E90" s="120" t="e">
        <f t="shared" ca="1" si="13"/>
        <v>#REF!</v>
      </c>
      <c r="F90" s="120" t="e">
        <f t="shared" ca="1" si="14"/>
        <v>#REF!</v>
      </c>
      <c r="G90" s="120" t="e">
        <f t="shared" ca="1" si="15"/>
        <v>#REF!</v>
      </c>
      <c r="H90" s="120" t="e">
        <f t="shared" ca="1" si="16"/>
        <v>#REF!</v>
      </c>
      <c r="I90" s="120" t="e">
        <f t="shared" ca="1" si="17"/>
        <v>#REF!</v>
      </c>
      <c r="J90" s="120" t="e">
        <f t="shared" ca="1" si="18"/>
        <v>#REF!</v>
      </c>
      <c r="K90" s="120" t="e">
        <f t="shared" ca="1" si="19"/>
        <v>#REF!</v>
      </c>
      <c r="L90" s="120" t="e">
        <f t="shared" ca="1" si="20"/>
        <v>#REF!</v>
      </c>
      <c r="M90" s="120" t="e">
        <f t="shared" ca="1" si="21"/>
        <v>#REF!</v>
      </c>
      <c r="U90" s="99" t="e" vm="1">
        <v>#VALUE!</v>
      </c>
    </row>
    <row r="91" spans="1:21" ht="14.65" customHeight="1" x14ac:dyDescent="0.25">
      <c r="A91" s="119">
        <v>44544</v>
      </c>
      <c r="B91" s="119">
        <v>44544</v>
      </c>
      <c r="C91" s="120" t="e">
        <f t="shared" ca="1" si="11"/>
        <v>#REF!</v>
      </c>
      <c r="D91" s="120" t="e">
        <f t="shared" ca="1" si="12"/>
        <v>#REF!</v>
      </c>
      <c r="E91" s="120" t="e">
        <f t="shared" ca="1" si="13"/>
        <v>#REF!</v>
      </c>
      <c r="F91" s="120" t="e">
        <f t="shared" ca="1" si="14"/>
        <v>#REF!</v>
      </c>
      <c r="G91" s="120" t="e">
        <f t="shared" ca="1" si="15"/>
        <v>#REF!</v>
      </c>
      <c r="H91" s="120" t="e">
        <f t="shared" ca="1" si="16"/>
        <v>#REF!</v>
      </c>
      <c r="I91" s="120" t="e">
        <f t="shared" ca="1" si="17"/>
        <v>#REF!</v>
      </c>
      <c r="J91" s="120" t="e">
        <f t="shared" ca="1" si="18"/>
        <v>#REF!</v>
      </c>
      <c r="K91" s="120" t="e">
        <f t="shared" ca="1" si="19"/>
        <v>#REF!</v>
      </c>
      <c r="L91" s="120" t="e">
        <f t="shared" ca="1" si="20"/>
        <v>#REF!</v>
      </c>
      <c r="M91" s="120" t="e">
        <f t="shared" ca="1" si="21"/>
        <v>#REF!</v>
      </c>
    </row>
    <row r="92" spans="1:21" ht="14.65" customHeight="1" x14ac:dyDescent="0.25">
      <c r="A92" s="119">
        <v>44545</v>
      </c>
      <c r="B92" s="119">
        <v>44545</v>
      </c>
      <c r="C92" s="120" t="e">
        <f t="shared" ca="1" si="11"/>
        <v>#REF!</v>
      </c>
      <c r="D92" s="120" t="e">
        <f t="shared" ca="1" si="12"/>
        <v>#REF!</v>
      </c>
      <c r="E92" s="120" t="e">
        <f t="shared" ca="1" si="13"/>
        <v>#REF!</v>
      </c>
      <c r="F92" s="120" t="e">
        <f t="shared" ca="1" si="14"/>
        <v>#REF!</v>
      </c>
      <c r="G92" s="120" t="e">
        <f t="shared" ca="1" si="15"/>
        <v>#REF!</v>
      </c>
      <c r="H92" s="120" t="e">
        <f t="shared" ca="1" si="16"/>
        <v>#REF!</v>
      </c>
      <c r="I92" s="120" t="e">
        <f t="shared" ca="1" si="17"/>
        <v>#REF!</v>
      </c>
      <c r="J92" s="120" t="e">
        <f t="shared" ca="1" si="18"/>
        <v>#REF!</v>
      </c>
      <c r="K92" s="120" t="e">
        <f t="shared" ca="1" si="19"/>
        <v>#REF!</v>
      </c>
      <c r="L92" s="120" t="e">
        <f t="shared" ca="1" si="20"/>
        <v>#REF!</v>
      </c>
      <c r="M92" s="120" t="e">
        <f t="shared" ca="1" si="21"/>
        <v>#REF!</v>
      </c>
    </row>
    <row r="93" spans="1:21" ht="14.65" customHeight="1" x14ac:dyDescent="0.25">
      <c r="A93" s="119">
        <v>44546</v>
      </c>
      <c r="B93" s="119">
        <v>44546</v>
      </c>
      <c r="C93" s="120" t="e">
        <f t="shared" ca="1" si="11"/>
        <v>#REF!</v>
      </c>
      <c r="D93" s="120" t="e">
        <f t="shared" ca="1" si="12"/>
        <v>#REF!</v>
      </c>
      <c r="E93" s="120" t="e">
        <f t="shared" ca="1" si="13"/>
        <v>#REF!</v>
      </c>
      <c r="F93" s="120" t="e">
        <f t="shared" ca="1" si="14"/>
        <v>#REF!</v>
      </c>
      <c r="G93" s="120" t="e">
        <f t="shared" ca="1" si="15"/>
        <v>#REF!</v>
      </c>
      <c r="H93" s="120" t="e">
        <f t="shared" ca="1" si="16"/>
        <v>#REF!</v>
      </c>
      <c r="I93" s="120" t="e">
        <f t="shared" ca="1" si="17"/>
        <v>#REF!</v>
      </c>
      <c r="J93" s="120" t="e">
        <f t="shared" ca="1" si="18"/>
        <v>#REF!</v>
      </c>
      <c r="K93" s="120" t="e">
        <f t="shared" ca="1" si="19"/>
        <v>#REF!</v>
      </c>
      <c r="L93" s="120" t="e">
        <f t="shared" ca="1" si="20"/>
        <v>#REF!</v>
      </c>
      <c r="M93" s="120" t="e">
        <f t="shared" ca="1" si="21"/>
        <v>#REF!</v>
      </c>
    </row>
    <row r="94" spans="1:21" ht="14.65" customHeight="1" x14ac:dyDescent="0.25">
      <c r="A94" s="119" t="s">
        <v>173</v>
      </c>
      <c r="B94" s="119">
        <v>44547</v>
      </c>
      <c r="C94" s="120" t="e">
        <f t="shared" ca="1" si="11"/>
        <v>#REF!</v>
      </c>
      <c r="D94" s="120" t="e">
        <f t="shared" ca="1" si="12"/>
        <v>#REF!</v>
      </c>
      <c r="E94" s="120" t="e">
        <f t="shared" ca="1" si="13"/>
        <v>#REF!</v>
      </c>
      <c r="F94" s="120" t="e">
        <f t="shared" ca="1" si="14"/>
        <v>#REF!</v>
      </c>
      <c r="G94" s="120" t="e">
        <f t="shared" ca="1" si="15"/>
        <v>#REF!</v>
      </c>
      <c r="H94" s="120" t="e">
        <f t="shared" ca="1" si="16"/>
        <v>#REF!</v>
      </c>
      <c r="I94" s="120" t="e">
        <f t="shared" ca="1" si="17"/>
        <v>#REF!</v>
      </c>
      <c r="J94" s="120" t="e">
        <f t="shared" ca="1" si="18"/>
        <v>#REF!</v>
      </c>
      <c r="K94" s="120" t="e">
        <f t="shared" ca="1" si="19"/>
        <v>#REF!</v>
      </c>
      <c r="L94" s="120" t="e">
        <f t="shared" ca="1" si="20"/>
        <v>#REF!</v>
      </c>
      <c r="M94" s="120" t="e">
        <f t="shared" ca="1" si="21"/>
        <v>#REF!</v>
      </c>
    </row>
    <row r="95" spans="1:21" ht="14.65" customHeight="1" x14ac:dyDescent="0.25">
      <c r="A95" s="119">
        <v>44548</v>
      </c>
      <c r="B95" s="119">
        <v>44548</v>
      </c>
      <c r="C95" s="120" t="e">
        <f t="shared" ca="1" si="11"/>
        <v>#REF!</v>
      </c>
      <c r="D95" s="120" t="e">
        <f t="shared" ca="1" si="12"/>
        <v>#REF!</v>
      </c>
      <c r="E95" s="120" t="e">
        <f t="shared" ca="1" si="13"/>
        <v>#REF!</v>
      </c>
      <c r="F95" s="120" t="e">
        <f t="shared" ca="1" si="14"/>
        <v>#REF!</v>
      </c>
      <c r="G95" s="120" t="e">
        <f t="shared" ca="1" si="15"/>
        <v>#REF!</v>
      </c>
      <c r="H95" s="120" t="e">
        <f t="shared" ca="1" si="16"/>
        <v>#REF!</v>
      </c>
      <c r="I95" s="120" t="e">
        <f t="shared" ca="1" si="17"/>
        <v>#REF!</v>
      </c>
      <c r="J95" s="120" t="e">
        <f t="shared" ca="1" si="18"/>
        <v>#REF!</v>
      </c>
      <c r="K95" s="120" t="e">
        <f t="shared" ca="1" si="19"/>
        <v>#REF!</v>
      </c>
      <c r="L95" s="120" t="e">
        <f t="shared" ca="1" si="20"/>
        <v>#REF!</v>
      </c>
      <c r="M95" s="120" t="e">
        <f t="shared" ca="1" si="21"/>
        <v>#REF!</v>
      </c>
    </row>
    <row r="96" spans="1:21" ht="14.65" customHeight="1" x14ac:dyDescent="0.25">
      <c r="A96" s="119">
        <v>44549</v>
      </c>
      <c r="B96" s="119">
        <v>44549</v>
      </c>
      <c r="C96" s="120" t="e">
        <f t="shared" ca="1" si="11"/>
        <v>#REF!</v>
      </c>
      <c r="D96" s="120" t="e">
        <f t="shared" ca="1" si="12"/>
        <v>#REF!</v>
      </c>
      <c r="E96" s="120" t="e">
        <f t="shared" ca="1" si="13"/>
        <v>#REF!</v>
      </c>
      <c r="F96" s="120" t="e">
        <f t="shared" ca="1" si="14"/>
        <v>#REF!</v>
      </c>
      <c r="G96" s="120" t="e">
        <f t="shared" ca="1" si="15"/>
        <v>#REF!</v>
      </c>
      <c r="H96" s="120" t="e">
        <f t="shared" ca="1" si="16"/>
        <v>#REF!</v>
      </c>
      <c r="I96" s="120" t="e">
        <f t="shared" ca="1" si="17"/>
        <v>#REF!</v>
      </c>
      <c r="J96" s="120" t="e">
        <f t="shared" ca="1" si="18"/>
        <v>#REF!</v>
      </c>
      <c r="K96" s="120" t="e">
        <f t="shared" ca="1" si="19"/>
        <v>#REF!</v>
      </c>
      <c r="L96" s="120" t="e">
        <f t="shared" ca="1" si="20"/>
        <v>#REF!</v>
      </c>
      <c r="M96" s="120" t="e">
        <f t="shared" ca="1" si="21"/>
        <v>#REF!</v>
      </c>
    </row>
    <row r="97" spans="1:26" ht="14.65" customHeight="1" x14ac:dyDescent="0.25">
      <c r="A97" s="119">
        <v>44550</v>
      </c>
      <c r="B97" s="119">
        <v>44550</v>
      </c>
      <c r="C97" s="120" t="e">
        <f t="shared" ca="1" si="11"/>
        <v>#REF!</v>
      </c>
      <c r="D97" s="120" t="e">
        <f t="shared" ca="1" si="12"/>
        <v>#REF!</v>
      </c>
      <c r="E97" s="120" t="e">
        <f t="shared" ca="1" si="13"/>
        <v>#REF!</v>
      </c>
      <c r="F97" s="120" t="e">
        <f t="shared" ca="1" si="14"/>
        <v>#REF!</v>
      </c>
      <c r="G97" s="120" t="e">
        <f t="shared" ca="1" si="15"/>
        <v>#REF!</v>
      </c>
      <c r="H97" s="120" t="e">
        <f t="shared" ca="1" si="16"/>
        <v>#REF!</v>
      </c>
      <c r="I97" s="120" t="e">
        <f t="shared" ca="1" si="17"/>
        <v>#REF!</v>
      </c>
      <c r="J97" s="120" t="e">
        <f t="shared" ca="1" si="18"/>
        <v>#REF!</v>
      </c>
      <c r="K97" s="120" t="e">
        <f t="shared" ca="1" si="19"/>
        <v>#REF!</v>
      </c>
      <c r="L97" s="120" t="e">
        <f t="shared" ca="1" si="20"/>
        <v>#REF!</v>
      </c>
      <c r="M97" s="120" t="e">
        <f t="shared" ca="1" si="21"/>
        <v>#REF!</v>
      </c>
    </row>
    <row r="98" spans="1:26" ht="14.65" customHeight="1" x14ac:dyDescent="0.25">
      <c r="A98" s="119">
        <v>44551</v>
      </c>
      <c r="B98" s="119">
        <v>44551</v>
      </c>
      <c r="C98" s="120" t="e">
        <f t="shared" ca="1" si="11"/>
        <v>#REF!</v>
      </c>
      <c r="D98" s="120" t="e">
        <f t="shared" ca="1" si="12"/>
        <v>#REF!</v>
      </c>
      <c r="E98" s="120" t="e">
        <f t="shared" ca="1" si="13"/>
        <v>#REF!</v>
      </c>
      <c r="F98" s="120" t="e">
        <f t="shared" ca="1" si="14"/>
        <v>#REF!</v>
      </c>
      <c r="G98" s="120" t="e">
        <f t="shared" ca="1" si="15"/>
        <v>#REF!</v>
      </c>
      <c r="H98" s="120" t="e">
        <f t="shared" ca="1" si="16"/>
        <v>#REF!</v>
      </c>
      <c r="I98" s="120" t="e">
        <f t="shared" ca="1" si="17"/>
        <v>#REF!</v>
      </c>
      <c r="J98" s="120" t="e">
        <f t="shared" ca="1" si="18"/>
        <v>#REF!</v>
      </c>
      <c r="K98" s="120" t="e">
        <f t="shared" ca="1" si="19"/>
        <v>#REF!</v>
      </c>
      <c r="L98" s="120" t="e">
        <f t="shared" ca="1" si="20"/>
        <v>#REF!</v>
      </c>
      <c r="M98" s="120" t="e">
        <f t="shared" ca="1" si="21"/>
        <v>#REF!</v>
      </c>
    </row>
    <row r="99" spans="1:26" ht="14.65" customHeight="1" x14ac:dyDescent="0.25">
      <c r="A99" s="119" t="s">
        <v>174</v>
      </c>
      <c r="B99" s="119">
        <v>44552</v>
      </c>
      <c r="C99" s="120" t="e">
        <f t="shared" ca="1" si="11"/>
        <v>#REF!</v>
      </c>
      <c r="D99" s="120" t="e">
        <f t="shared" ca="1" si="12"/>
        <v>#REF!</v>
      </c>
      <c r="E99" s="120" t="e">
        <f t="shared" ca="1" si="13"/>
        <v>#REF!</v>
      </c>
      <c r="F99" s="120" t="e">
        <f t="shared" ca="1" si="14"/>
        <v>#REF!</v>
      </c>
      <c r="G99" s="120" t="e">
        <f t="shared" ca="1" si="15"/>
        <v>#REF!</v>
      </c>
      <c r="H99" s="120" t="e">
        <f t="shared" ca="1" si="16"/>
        <v>#REF!</v>
      </c>
      <c r="I99" s="120" t="e">
        <f t="shared" ca="1" si="17"/>
        <v>#REF!</v>
      </c>
      <c r="J99" s="120" t="e">
        <f t="shared" ca="1" si="18"/>
        <v>#REF!</v>
      </c>
      <c r="K99" s="120" t="e">
        <f t="shared" ca="1" si="19"/>
        <v>#REF!</v>
      </c>
      <c r="L99" s="120" t="e">
        <f t="shared" ca="1" si="20"/>
        <v>#REF!</v>
      </c>
      <c r="M99" s="120" t="e">
        <f t="shared" ca="1" si="21"/>
        <v>#REF!</v>
      </c>
    </row>
    <row r="100" spans="1:26" ht="14.65" customHeight="1" x14ac:dyDescent="0.25">
      <c r="A100" s="119">
        <v>44553</v>
      </c>
      <c r="B100" s="119">
        <v>44553</v>
      </c>
      <c r="C100" s="120" t="e">
        <f t="shared" ca="1" si="11"/>
        <v>#REF!</v>
      </c>
      <c r="D100" s="120" t="e">
        <f t="shared" ca="1" si="12"/>
        <v>#REF!</v>
      </c>
      <c r="E100" s="120" t="e">
        <f t="shared" ca="1" si="13"/>
        <v>#REF!</v>
      </c>
      <c r="F100" s="120" t="e">
        <f t="shared" ca="1" si="14"/>
        <v>#REF!</v>
      </c>
      <c r="G100" s="120" t="e">
        <f t="shared" ca="1" si="15"/>
        <v>#REF!</v>
      </c>
      <c r="H100" s="120" t="e">
        <f t="shared" ca="1" si="16"/>
        <v>#REF!</v>
      </c>
      <c r="I100" s="120" t="e">
        <f t="shared" ca="1" si="17"/>
        <v>#REF!</v>
      </c>
      <c r="J100" s="120" t="e">
        <f t="shared" ca="1" si="18"/>
        <v>#REF!</v>
      </c>
      <c r="K100" s="120" t="e">
        <f t="shared" ca="1" si="19"/>
        <v>#REF!</v>
      </c>
      <c r="L100" s="120" t="e">
        <f t="shared" ca="1" si="20"/>
        <v>#REF!</v>
      </c>
      <c r="M100" s="120" t="e">
        <f t="shared" ca="1" si="21"/>
        <v>#REF!</v>
      </c>
    </row>
    <row r="101" spans="1:26" ht="14.65" customHeight="1" x14ac:dyDescent="0.25">
      <c r="A101" s="119">
        <v>44554</v>
      </c>
      <c r="B101" s="119">
        <v>44554</v>
      </c>
      <c r="C101" s="120" t="e">
        <f t="shared" ca="1" si="11"/>
        <v>#REF!</v>
      </c>
      <c r="D101" s="120" t="e">
        <f t="shared" ca="1" si="12"/>
        <v>#REF!</v>
      </c>
      <c r="E101" s="120" t="e">
        <f t="shared" ca="1" si="13"/>
        <v>#REF!</v>
      </c>
      <c r="F101" s="120" t="e">
        <f t="shared" ca="1" si="14"/>
        <v>#REF!</v>
      </c>
      <c r="G101" s="120" t="e">
        <f t="shared" ca="1" si="15"/>
        <v>#REF!</v>
      </c>
      <c r="H101" s="120" t="e">
        <f t="shared" ca="1" si="16"/>
        <v>#REF!</v>
      </c>
      <c r="I101" s="120" t="e">
        <f t="shared" ca="1" si="17"/>
        <v>#REF!</v>
      </c>
      <c r="J101" s="120" t="e">
        <f t="shared" ca="1" si="18"/>
        <v>#REF!</v>
      </c>
      <c r="K101" s="120" t="e">
        <f t="shared" ca="1" si="19"/>
        <v>#REF!</v>
      </c>
      <c r="L101" s="120" t="e">
        <f t="shared" ca="1" si="20"/>
        <v>#REF!</v>
      </c>
      <c r="M101" s="120" t="e">
        <f t="shared" ca="1" si="21"/>
        <v>#REF!</v>
      </c>
    </row>
    <row r="102" spans="1:26" ht="14.65" customHeight="1" x14ac:dyDescent="0.25">
      <c r="A102" s="119">
        <v>44555</v>
      </c>
      <c r="B102" s="119">
        <v>44555</v>
      </c>
      <c r="C102" s="120" t="e">
        <f t="shared" ca="1" si="11"/>
        <v>#REF!</v>
      </c>
      <c r="D102" s="120" t="e">
        <f t="shared" ca="1" si="12"/>
        <v>#REF!</v>
      </c>
      <c r="E102" s="120" t="e">
        <f t="shared" ca="1" si="13"/>
        <v>#REF!</v>
      </c>
      <c r="F102" s="120" t="e">
        <f t="shared" ca="1" si="14"/>
        <v>#REF!</v>
      </c>
      <c r="G102" s="120" t="e">
        <f t="shared" ca="1" si="15"/>
        <v>#REF!</v>
      </c>
      <c r="H102" s="120" t="e">
        <f t="shared" ca="1" si="16"/>
        <v>#REF!</v>
      </c>
      <c r="I102" s="120" t="e">
        <f t="shared" ca="1" si="17"/>
        <v>#REF!</v>
      </c>
      <c r="J102" s="120" t="e">
        <f t="shared" ca="1" si="18"/>
        <v>#REF!</v>
      </c>
      <c r="K102" s="120" t="e">
        <f t="shared" ca="1" si="19"/>
        <v>#REF!</v>
      </c>
      <c r="L102" s="120" t="e">
        <f t="shared" ca="1" si="20"/>
        <v>#REF!</v>
      </c>
      <c r="M102" s="120" t="e">
        <f t="shared" ca="1" si="21"/>
        <v>#REF!</v>
      </c>
    </row>
    <row r="103" spans="1:26" ht="14.1" customHeight="1" x14ac:dyDescent="0.25">
      <c r="A103" s="119">
        <v>44556</v>
      </c>
      <c r="B103" s="119">
        <v>44556</v>
      </c>
      <c r="C103" s="120" t="e">
        <f t="shared" ca="1" si="11"/>
        <v>#REF!</v>
      </c>
      <c r="D103" s="120" t="e">
        <f t="shared" ca="1" si="12"/>
        <v>#REF!</v>
      </c>
      <c r="E103" s="120" t="e">
        <f t="shared" ca="1" si="13"/>
        <v>#REF!</v>
      </c>
      <c r="F103" s="120" t="e">
        <f t="shared" ca="1" si="14"/>
        <v>#REF!</v>
      </c>
      <c r="G103" s="120" t="e">
        <f t="shared" ca="1" si="15"/>
        <v>#REF!</v>
      </c>
      <c r="H103" s="120" t="e">
        <f t="shared" ca="1" si="16"/>
        <v>#REF!</v>
      </c>
      <c r="I103" s="120" t="e">
        <f t="shared" ca="1" si="17"/>
        <v>#REF!</v>
      </c>
      <c r="J103" s="120" t="e">
        <f t="shared" ca="1" si="18"/>
        <v>#REF!</v>
      </c>
      <c r="K103" s="120" t="e">
        <f t="shared" ca="1" si="19"/>
        <v>#REF!</v>
      </c>
      <c r="L103" s="120" t="e">
        <f t="shared" ca="1" si="20"/>
        <v>#REF!</v>
      </c>
      <c r="M103" s="120" t="e">
        <f t="shared" ca="1" si="21"/>
        <v>#REF!</v>
      </c>
      <c r="N103" s="100"/>
      <c r="O103" s="100"/>
      <c r="P103" s="100"/>
    </row>
    <row r="104" spans="1:26" ht="14.1" customHeight="1" x14ac:dyDescent="0.25">
      <c r="A104" s="119">
        <v>44557</v>
      </c>
      <c r="B104" s="119">
        <v>44557</v>
      </c>
      <c r="C104" s="120" t="e">
        <f t="shared" ca="1" si="11"/>
        <v>#REF!</v>
      </c>
      <c r="D104" s="120" t="e">
        <f t="shared" ca="1" si="12"/>
        <v>#REF!</v>
      </c>
      <c r="E104" s="120" t="e">
        <f t="shared" ca="1" si="13"/>
        <v>#REF!</v>
      </c>
      <c r="F104" s="120" t="e">
        <f t="shared" ca="1" si="14"/>
        <v>#REF!</v>
      </c>
      <c r="G104" s="120" t="e">
        <f t="shared" ca="1" si="15"/>
        <v>#REF!</v>
      </c>
      <c r="H104" s="120" t="e">
        <f t="shared" ca="1" si="16"/>
        <v>#REF!</v>
      </c>
      <c r="I104" s="120" t="e">
        <f t="shared" ca="1" si="17"/>
        <v>#REF!</v>
      </c>
      <c r="J104" s="120" t="e">
        <f t="shared" ca="1" si="18"/>
        <v>#REF!</v>
      </c>
      <c r="K104" s="120" t="e">
        <f t="shared" ca="1" si="19"/>
        <v>#REF!</v>
      </c>
      <c r="L104" s="120" t="e">
        <f t="shared" ca="1" si="20"/>
        <v>#REF!</v>
      </c>
      <c r="M104" s="120" t="e">
        <f t="shared" ca="1" si="21"/>
        <v>#REF!</v>
      </c>
      <c r="N104" s="100"/>
      <c r="O104" s="100"/>
      <c r="P104" s="100"/>
    </row>
    <row r="105" spans="1:26" ht="14.65" customHeight="1" x14ac:dyDescent="0.25">
      <c r="A105" s="119">
        <v>44558</v>
      </c>
      <c r="B105" s="119">
        <v>44558</v>
      </c>
      <c r="C105" s="120" t="e">
        <f t="shared" ca="1" si="11"/>
        <v>#REF!</v>
      </c>
      <c r="D105" s="120" t="e">
        <f t="shared" ca="1" si="12"/>
        <v>#REF!</v>
      </c>
      <c r="E105" s="120" t="e">
        <f t="shared" ca="1" si="13"/>
        <v>#REF!</v>
      </c>
      <c r="F105" s="120" t="e">
        <f t="shared" ca="1" si="14"/>
        <v>#REF!</v>
      </c>
      <c r="G105" s="120" t="e">
        <f t="shared" ca="1" si="15"/>
        <v>#REF!</v>
      </c>
      <c r="H105" s="120" t="e">
        <f t="shared" ca="1" si="16"/>
        <v>#REF!</v>
      </c>
      <c r="I105" s="120" t="e">
        <f t="shared" ca="1" si="17"/>
        <v>#REF!</v>
      </c>
      <c r="J105" s="120" t="e">
        <f t="shared" ca="1" si="18"/>
        <v>#REF!</v>
      </c>
      <c r="K105" s="120" t="e">
        <f t="shared" ca="1" si="19"/>
        <v>#REF!</v>
      </c>
      <c r="L105" s="120" t="e">
        <f t="shared" ca="1" si="20"/>
        <v>#REF!</v>
      </c>
      <c r="M105" s="120" t="e">
        <f t="shared" ca="1" si="21"/>
        <v>#REF!</v>
      </c>
      <c r="N105" s="100"/>
      <c r="O105" s="100"/>
      <c r="P105" s="100"/>
      <c r="Z105"/>
    </row>
    <row r="106" spans="1:26" ht="14.65" customHeight="1" x14ac:dyDescent="0.25">
      <c r="A106" s="119">
        <v>44559</v>
      </c>
      <c r="B106" s="119">
        <v>44559</v>
      </c>
      <c r="C106" s="120" t="e">
        <f t="shared" ca="1" si="11"/>
        <v>#REF!</v>
      </c>
      <c r="D106" s="120" t="e">
        <f t="shared" ca="1" si="12"/>
        <v>#REF!</v>
      </c>
      <c r="E106" s="120" t="e">
        <f t="shared" ca="1" si="13"/>
        <v>#REF!</v>
      </c>
      <c r="F106" s="120" t="e">
        <f t="shared" ca="1" si="14"/>
        <v>#REF!</v>
      </c>
      <c r="G106" s="120" t="e">
        <f t="shared" ca="1" si="15"/>
        <v>#REF!</v>
      </c>
      <c r="H106" s="120" t="e">
        <f t="shared" ca="1" si="16"/>
        <v>#REF!</v>
      </c>
      <c r="I106" s="120" t="e">
        <f t="shared" ca="1" si="17"/>
        <v>#REF!</v>
      </c>
      <c r="J106" s="120" t="e">
        <f t="shared" ca="1" si="18"/>
        <v>#REF!</v>
      </c>
      <c r="K106" s="120" t="e">
        <f t="shared" ca="1" si="19"/>
        <v>#REF!</v>
      </c>
      <c r="L106" s="120" t="e">
        <f t="shared" ca="1" si="20"/>
        <v>#REF!</v>
      </c>
      <c r="M106" s="120" t="e">
        <f t="shared" ca="1" si="21"/>
        <v>#REF!</v>
      </c>
      <c r="N106" s="100"/>
      <c r="O106" s="100"/>
      <c r="P106" s="100"/>
    </row>
    <row r="107" spans="1:26" ht="14.1" customHeight="1" x14ac:dyDescent="0.25">
      <c r="A107" s="119">
        <v>44560</v>
      </c>
      <c r="B107" s="119">
        <v>44560</v>
      </c>
      <c r="C107" s="120" t="e">
        <f t="shared" ca="1" si="11"/>
        <v>#REF!</v>
      </c>
      <c r="D107" s="120" t="e">
        <f t="shared" ca="1" si="12"/>
        <v>#REF!</v>
      </c>
      <c r="E107" s="120" t="e">
        <f t="shared" ca="1" si="13"/>
        <v>#REF!</v>
      </c>
      <c r="F107" s="120" t="e">
        <f t="shared" ca="1" si="14"/>
        <v>#REF!</v>
      </c>
      <c r="G107" s="120" t="e">
        <f t="shared" ca="1" si="15"/>
        <v>#REF!</v>
      </c>
      <c r="H107" s="120" t="e">
        <f t="shared" ca="1" si="16"/>
        <v>#REF!</v>
      </c>
      <c r="I107" s="120" t="e">
        <f t="shared" ca="1" si="17"/>
        <v>#REF!</v>
      </c>
      <c r="J107" s="120" t="e">
        <f t="shared" ca="1" si="18"/>
        <v>#REF!</v>
      </c>
      <c r="K107" s="120" t="e">
        <f t="shared" ca="1" si="19"/>
        <v>#REF!</v>
      </c>
      <c r="L107" s="120" t="e">
        <f t="shared" ca="1" si="20"/>
        <v>#REF!</v>
      </c>
      <c r="M107" s="120" t="e">
        <f t="shared" ca="1" si="21"/>
        <v>#REF!</v>
      </c>
      <c r="N107" s="100"/>
      <c r="O107" s="100"/>
      <c r="P107" s="100"/>
    </row>
    <row r="108" spans="1:26" x14ac:dyDescent="0.25">
      <c r="A108" s="119">
        <v>44561</v>
      </c>
      <c r="B108" s="119">
        <v>44561</v>
      </c>
      <c r="C108" s="120" t="e">
        <f t="shared" ca="1" si="11"/>
        <v>#REF!</v>
      </c>
      <c r="D108" s="120" t="e">
        <f t="shared" ca="1" si="12"/>
        <v>#REF!</v>
      </c>
      <c r="E108" s="120" t="e">
        <f t="shared" ca="1" si="13"/>
        <v>#REF!</v>
      </c>
      <c r="F108" s="120" t="e">
        <f t="shared" ca="1" si="14"/>
        <v>#REF!</v>
      </c>
      <c r="G108" s="120" t="e">
        <f t="shared" ca="1" si="15"/>
        <v>#REF!</v>
      </c>
      <c r="H108" s="120" t="e">
        <f t="shared" ca="1" si="16"/>
        <v>#REF!</v>
      </c>
      <c r="I108" s="120" t="e">
        <f t="shared" ca="1" si="17"/>
        <v>#REF!</v>
      </c>
      <c r="J108" s="120" t="e">
        <f t="shared" ca="1" si="18"/>
        <v>#REF!</v>
      </c>
      <c r="K108" s="120" t="e">
        <f t="shared" ca="1" si="19"/>
        <v>#REF!</v>
      </c>
      <c r="L108" s="120" t="e">
        <f t="shared" ca="1" si="20"/>
        <v>#REF!</v>
      </c>
      <c r="M108" s="120" t="e">
        <f t="shared" ca="1" si="21"/>
        <v>#REF!</v>
      </c>
    </row>
    <row r="109" spans="1:26" x14ac:dyDescent="0.25">
      <c r="A109" s="119">
        <v>44562</v>
      </c>
      <c r="B109" s="119">
        <v>44562</v>
      </c>
      <c r="C109" s="120" t="e">
        <f t="shared" ca="1" si="11"/>
        <v>#REF!</v>
      </c>
      <c r="D109" s="120" t="e">
        <f t="shared" ca="1" si="12"/>
        <v>#REF!</v>
      </c>
      <c r="E109" s="120" t="e">
        <f t="shared" ca="1" si="13"/>
        <v>#REF!</v>
      </c>
      <c r="F109" s="120" t="e">
        <f t="shared" ca="1" si="14"/>
        <v>#REF!</v>
      </c>
      <c r="G109" s="120" t="e">
        <f t="shared" ca="1" si="15"/>
        <v>#REF!</v>
      </c>
      <c r="H109" s="120" t="e">
        <f t="shared" ca="1" si="16"/>
        <v>#REF!</v>
      </c>
      <c r="I109" s="120" t="e">
        <f t="shared" ca="1" si="17"/>
        <v>#REF!</v>
      </c>
      <c r="J109" s="120" t="e">
        <f t="shared" ca="1" si="18"/>
        <v>#REF!</v>
      </c>
      <c r="K109" s="120" t="e">
        <f t="shared" ca="1" si="19"/>
        <v>#REF!</v>
      </c>
      <c r="L109" s="120" t="e">
        <f t="shared" ca="1" si="20"/>
        <v>#REF!</v>
      </c>
      <c r="M109" s="120" t="e">
        <f t="shared" ca="1" si="21"/>
        <v>#REF!</v>
      </c>
    </row>
    <row r="110" spans="1:26" x14ac:dyDescent="0.25">
      <c r="A110" s="119">
        <v>44563</v>
      </c>
      <c r="B110" s="119">
        <v>44563</v>
      </c>
      <c r="C110" s="118" t="e">
        <f t="shared" ca="1" si="11"/>
        <v>#REF!</v>
      </c>
      <c r="D110" s="118" t="e">
        <f t="shared" ca="1" si="12"/>
        <v>#REF!</v>
      </c>
      <c r="E110" s="118" t="e">
        <f t="shared" ca="1" si="13"/>
        <v>#REF!</v>
      </c>
      <c r="F110" s="118" t="e">
        <f t="shared" ca="1" si="14"/>
        <v>#REF!</v>
      </c>
      <c r="G110" s="118" t="e">
        <f t="shared" ca="1" si="15"/>
        <v>#REF!</v>
      </c>
      <c r="H110" s="118" t="e">
        <f t="shared" ca="1" si="16"/>
        <v>#REF!</v>
      </c>
      <c r="I110" s="118" t="e">
        <f t="shared" ca="1" si="17"/>
        <v>#REF!</v>
      </c>
      <c r="J110" s="118" t="e">
        <f t="shared" ca="1" si="18"/>
        <v>#REF!</v>
      </c>
      <c r="K110" s="118" t="e">
        <f t="shared" ca="1" si="19"/>
        <v>#REF!</v>
      </c>
      <c r="L110" s="118" t="e">
        <f t="shared" ca="1" si="20"/>
        <v>#REF!</v>
      </c>
      <c r="M110" s="118" t="e">
        <f t="shared" ca="1" si="21"/>
        <v>#REF!</v>
      </c>
    </row>
    <row r="111" spans="1:26" x14ac:dyDescent="0.25">
      <c r="A111" s="119">
        <v>44564</v>
      </c>
      <c r="B111" s="119">
        <v>44564</v>
      </c>
      <c r="C111" s="118" t="e">
        <f t="shared" ca="1" si="11"/>
        <v>#REF!</v>
      </c>
      <c r="D111" s="118" t="e">
        <f t="shared" ca="1" si="12"/>
        <v>#REF!</v>
      </c>
      <c r="E111" s="118" t="e">
        <f t="shared" ca="1" si="13"/>
        <v>#REF!</v>
      </c>
      <c r="F111" s="118" t="e">
        <f t="shared" ca="1" si="14"/>
        <v>#REF!</v>
      </c>
      <c r="G111" s="118" t="e">
        <f t="shared" ca="1" si="15"/>
        <v>#REF!</v>
      </c>
      <c r="H111" s="118" t="e">
        <f t="shared" ca="1" si="16"/>
        <v>#REF!</v>
      </c>
      <c r="I111" s="118" t="e">
        <f t="shared" ca="1" si="17"/>
        <v>#REF!</v>
      </c>
      <c r="J111" s="118" t="e">
        <f t="shared" ca="1" si="18"/>
        <v>#REF!</v>
      </c>
      <c r="K111" s="118" t="e">
        <f t="shared" ca="1" si="19"/>
        <v>#REF!</v>
      </c>
      <c r="L111" s="118" t="e">
        <f t="shared" ca="1" si="20"/>
        <v>#REF!</v>
      </c>
      <c r="M111" s="118" t="e">
        <f t="shared" ca="1" si="21"/>
        <v>#REF!</v>
      </c>
    </row>
    <row r="112" spans="1:26" x14ac:dyDescent="0.25">
      <c r="A112" s="119">
        <v>44565</v>
      </c>
      <c r="B112" s="119">
        <v>44565</v>
      </c>
      <c r="C112" s="118" t="e">
        <f t="shared" ca="1" si="11"/>
        <v>#REF!</v>
      </c>
      <c r="D112" s="118" t="e">
        <f t="shared" ca="1" si="12"/>
        <v>#REF!</v>
      </c>
      <c r="E112" s="118" t="e">
        <f t="shared" ca="1" si="13"/>
        <v>#REF!</v>
      </c>
      <c r="F112" s="118" t="e">
        <f t="shared" ca="1" si="14"/>
        <v>#REF!</v>
      </c>
      <c r="G112" s="118" t="e">
        <f t="shared" ca="1" si="15"/>
        <v>#REF!</v>
      </c>
      <c r="H112" s="118" t="e">
        <f t="shared" ca="1" si="16"/>
        <v>#REF!</v>
      </c>
      <c r="I112" s="118" t="e">
        <f t="shared" ca="1" si="17"/>
        <v>#REF!</v>
      </c>
      <c r="J112" s="118" t="e">
        <f t="shared" ca="1" si="18"/>
        <v>#REF!</v>
      </c>
      <c r="K112" s="118" t="e">
        <f t="shared" ca="1" si="19"/>
        <v>#REF!</v>
      </c>
      <c r="L112" s="118" t="e">
        <f t="shared" ca="1" si="20"/>
        <v>#REF!</v>
      </c>
      <c r="M112" s="118" t="e">
        <f t="shared" ca="1" si="21"/>
        <v>#REF!</v>
      </c>
    </row>
    <row r="113" spans="1:34" x14ac:dyDescent="0.25">
      <c r="A113" s="119">
        <v>44566</v>
      </c>
      <c r="B113" s="119">
        <v>44566</v>
      </c>
      <c r="C113" s="118" t="e">
        <f t="shared" ca="1" si="11"/>
        <v>#REF!</v>
      </c>
      <c r="D113" s="118" t="e">
        <f t="shared" ca="1" si="12"/>
        <v>#REF!</v>
      </c>
      <c r="E113" s="118" t="e">
        <f t="shared" ca="1" si="13"/>
        <v>#REF!</v>
      </c>
      <c r="F113" s="118" t="e">
        <f t="shared" ca="1" si="14"/>
        <v>#REF!</v>
      </c>
      <c r="G113" s="118" t="e">
        <f t="shared" ca="1" si="15"/>
        <v>#REF!</v>
      </c>
      <c r="H113" s="118" t="e">
        <f t="shared" ca="1" si="16"/>
        <v>#REF!</v>
      </c>
      <c r="I113" s="118" t="e">
        <f t="shared" ca="1" si="17"/>
        <v>#REF!</v>
      </c>
      <c r="J113" s="118" t="e">
        <f t="shared" ca="1" si="18"/>
        <v>#REF!</v>
      </c>
      <c r="K113" s="118" t="e">
        <f t="shared" ca="1" si="19"/>
        <v>#REF!</v>
      </c>
      <c r="L113" s="118" t="e">
        <f t="shared" ca="1" si="20"/>
        <v>#REF!</v>
      </c>
      <c r="M113" s="118" t="e">
        <f t="shared" ca="1" si="21"/>
        <v>#REF!</v>
      </c>
    </row>
    <row r="114" spans="1:34" x14ac:dyDescent="0.25">
      <c r="A114" s="121" t="s">
        <v>175</v>
      </c>
      <c r="B114" s="121" t="s">
        <v>175</v>
      </c>
      <c r="C114" s="118" t="e">
        <f t="shared" ca="1" si="11"/>
        <v>#REF!</v>
      </c>
      <c r="D114" s="118" t="e">
        <f t="shared" ca="1" si="12"/>
        <v>#REF!</v>
      </c>
      <c r="E114" s="118" t="e">
        <f t="shared" ca="1" si="13"/>
        <v>#REF!</v>
      </c>
      <c r="F114" s="118" t="e">
        <f t="shared" ca="1" si="14"/>
        <v>#REF!</v>
      </c>
      <c r="G114" s="118" t="e">
        <f t="shared" ca="1" si="15"/>
        <v>#REF!</v>
      </c>
      <c r="H114" s="118" t="e">
        <f t="shared" ca="1" si="16"/>
        <v>#REF!</v>
      </c>
      <c r="I114" s="118" t="e">
        <f t="shared" ca="1" si="17"/>
        <v>#REF!</v>
      </c>
      <c r="J114" s="118" t="e">
        <f t="shared" ca="1" si="18"/>
        <v>#REF!</v>
      </c>
      <c r="K114" s="118" t="e">
        <f t="shared" ca="1" si="19"/>
        <v>#REF!</v>
      </c>
      <c r="L114" s="118" t="e">
        <f t="shared" ca="1" si="20"/>
        <v>#REF!</v>
      </c>
      <c r="M114" s="118" t="e">
        <f t="shared" ca="1" si="21"/>
        <v>#REF!</v>
      </c>
    </row>
    <row r="115" spans="1:34" x14ac:dyDescent="0.25">
      <c r="A115" s="119">
        <v>44568</v>
      </c>
      <c r="B115" s="119">
        <v>44568</v>
      </c>
      <c r="C115" s="118" t="e">
        <f t="shared" ca="1" si="11"/>
        <v>#REF!</v>
      </c>
      <c r="D115" s="118" t="e">
        <f t="shared" ca="1" si="12"/>
        <v>#REF!</v>
      </c>
      <c r="E115" s="118" t="e">
        <f t="shared" ca="1" si="13"/>
        <v>#REF!</v>
      </c>
      <c r="F115" s="118" t="e">
        <f t="shared" ca="1" si="14"/>
        <v>#REF!</v>
      </c>
      <c r="G115" s="118" t="e">
        <f t="shared" ca="1" si="15"/>
        <v>#REF!</v>
      </c>
      <c r="H115" s="118" t="e">
        <f t="shared" ca="1" si="16"/>
        <v>#REF!</v>
      </c>
      <c r="I115" s="118" t="e">
        <f t="shared" ca="1" si="17"/>
        <v>#REF!</v>
      </c>
      <c r="J115" s="118" t="e">
        <f t="shared" ca="1" si="18"/>
        <v>#REF!</v>
      </c>
      <c r="K115" s="118" t="e">
        <f t="shared" ca="1" si="19"/>
        <v>#REF!</v>
      </c>
      <c r="L115" s="118" t="e">
        <f t="shared" ca="1" si="20"/>
        <v>#REF!</v>
      </c>
      <c r="M115" s="118" t="e">
        <f t="shared" ca="1" si="21"/>
        <v>#REF!</v>
      </c>
    </row>
    <row r="116" spans="1:34" x14ac:dyDescent="0.25">
      <c r="A116" s="119">
        <v>44569</v>
      </c>
      <c r="B116" s="119">
        <v>44569</v>
      </c>
      <c r="C116" s="118" t="e">
        <f t="shared" ca="1" si="11"/>
        <v>#REF!</v>
      </c>
      <c r="D116" s="118" t="e">
        <f t="shared" ca="1" si="12"/>
        <v>#REF!</v>
      </c>
      <c r="E116" s="118" t="e">
        <f t="shared" ca="1" si="13"/>
        <v>#REF!</v>
      </c>
      <c r="F116" s="118" t="e">
        <f t="shared" ca="1" si="14"/>
        <v>#REF!</v>
      </c>
      <c r="G116" s="118" t="e">
        <f t="shared" ca="1" si="15"/>
        <v>#REF!</v>
      </c>
      <c r="H116" s="118" t="e">
        <f t="shared" ca="1" si="16"/>
        <v>#REF!</v>
      </c>
      <c r="I116" s="118" t="e">
        <f t="shared" ca="1" si="17"/>
        <v>#REF!</v>
      </c>
      <c r="J116" s="118" t="e">
        <f t="shared" ca="1" si="18"/>
        <v>#REF!</v>
      </c>
      <c r="K116" s="118" t="e">
        <f t="shared" ca="1" si="19"/>
        <v>#REF!</v>
      </c>
      <c r="L116" s="118" t="e">
        <f t="shared" ca="1" si="20"/>
        <v>#REF!</v>
      </c>
      <c r="M116" s="118" t="e">
        <f t="shared" ca="1" si="21"/>
        <v>#REF!</v>
      </c>
    </row>
    <row r="117" spans="1:34" x14ac:dyDescent="0.25">
      <c r="A117" s="119">
        <v>44570</v>
      </c>
      <c r="B117" s="119">
        <v>44570</v>
      </c>
      <c r="C117" s="118" t="e">
        <f t="shared" ca="1" si="11"/>
        <v>#REF!</v>
      </c>
      <c r="D117" s="118" t="e">
        <f t="shared" ca="1" si="12"/>
        <v>#REF!</v>
      </c>
      <c r="E117" s="118" t="e">
        <f t="shared" ca="1" si="13"/>
        <v>#REF!</v>
      </c>
      <c r="F117" s="118" t="e">
        <f t="shared" ca="1" si="14"/>
        <v>#REF!</v>
      </c>
      <c r="G117" s="118" t="e">
        <f t="shared" ca="1" si="15"/>
        <v>#REF!</v>
      </c>
      <c r="H117" s="118" t="e">
        <f t="shared" ca="1" si="16"/>
        <v>#REF!</v>
      </c>
      <c r="I117" s="118" t="e">
        <f t="shared" ca="1" si="17"/>
        <v>#REF!</v>
      </c>
      <c r="J117" s="118" t="e">
        <f t="shared" ca="1" si="18"/>
        <v>#REF!</v>
      </c>
      <c r="K117" s="118" t="e">
        <f t="shared" ca="1" si="19"/>
        <v>#REF!</v>
      </c>
      <c r="L117" s="118" t="e">
        <f t="shared" ca="1" si="20"/>
        <v>#REF!</v>
      </c>
      <c r="M117" s="118" t="e">
        <f t="shared" ca="1" si="21"/>
        <v>#REF!</v>
      </c>
    </row>
    <row r="118" spans="1:34" x14ac:dyDescent="0.25">
      <c r="A118" s="119">
        <v>44571</v>
      </c>
      <c r="B118" s="119">
        <v>44571</v>
      </c>
      <c r="C118" s="118" t="e">
        <f t="shared" ca="1" si="11"/>
        <v>#REF!</v>
      </c>
      <c r="D118" s="118" t="e">
        <f t="shared" ca="1" si="12"/>
        <v>#REF!</v>
      </c>
      <c r="E118" s="118" t="e">
        <f t="shared" ca="1" si="13"/>
        <v>#REF!</v>
      </c>
      <c r="F118" s="118" t="e">
        <f t="shared" ca="1" si="14"/>
        <v>#REF!</v>
      </c>
      <c r="G118" s="118" t="e">
        <f t="shared" ca="1" si="15"/>
        <v>#REF!</v>
      </c>
      <c r="H118" s="118" t="e">
        <f t="shared" ca="1" si="16"/>
        <v>#REF!</v>
      </c>
      <c r="I118" s="118" t="e">
        <f t="shared" ca="1" si="17"/>
        <v>#REF!</v>
      </c>
      <c r="J118" s="118" t="e">
        <f t="shared" ca="1" si="18"/>
        <v>#REF!</v>
      </c>
      <c r="K118" s="118" t="e">
        <f t="shared" ca="1" si="19"/>
        <v>#REF!</v>
      </c>
      <c r="L118" s="118" t="e">
        <f t="shared" ca="1" si="20"/>
        <v>#REF!</v>
      </c>
      <c r="M118" s="118" t="e">
        <f t="shared" ca="1" si="21"/>
        <v>#REF!</v>
      </c>
    </row>
    <row r="119" spans="1:34" x14ac:dyDescent="0.25">
      <c r="A119" s="119">
        <v>44572</v>
      </c>
      <c r="B119" s="119">
        <v>44572</v>
      </c>
      <c r="C119" s="118" t="e">
        <f t="shared" ca="1" si="11"/>
        <v>#REF!</v>
      </c>
      <c r="D119" s="118" t="e">
        <f t="shared" ca="1" si="12"/>
        <v>#REF!</v>
      </c>
      <c r="E119" s="118" t="e">
        <f t="shared" ca="1" si="13"/>
        <v>#REF!</v>
      </c>
      <c r="F119" s="118" t="e">
        <f t="shared" ca="1" si="14"/>
        <v>#REF!</v>
      </c>
      <c r="G119" s="118" t="e">
        <f t="shared" ca="1" si="15"/>
        <v>#REF!</v>
      </c>
      <c r="H119" s="118" t="e">
        <f t="shared" ca="1" si="16"/>
        <v>#REF!</v>
      </c>
      <c r="I119" s="118" t="e">
        <f t="shared" ca="1" si="17"/>
        <v>#REF!</v>
      </c>
      <c r="J119" s="118" t="e">
        <f t="shared" ca="1" si="18"/>
        <v>#REF!</v>
      </c>
      <c r="K119" s="118" t="e">
        <f t="shared" ca="1" si="19"/>
        <v>#REF!</v>
      </c>
      <c r="L119" s="118" t="e">
        <f t="shared" ca="1" si="20"/>
        <v>#REF!</v>
      </c>
      <c r="M119" s="118" t="e">
        <f t="shared" ca="1" si="21"/>
        <v>#REF!</v>
      </c>
    </row>
    <row r="120" spans="1:34" x14ac:dyDescent="0.25">
      <c r="A120" s="119">
        <v>44573</v>
      </c>
      <c r="B120" s="119">
        <v>44573</v>
      </c>
      <c r="C120" s="118" t="e">
        <f t="shared" ca="1" si="11"/>
        <v>#REF!</v>
      </c>
      <c r="D120" s="118" t="e">
        <f t="shared" ca="1" si="12"/>
        <v>#REF!</v>
      </c>
      <c r="E120" s="118" t="e">
        <f t="shared" ca="1" si="13"/>
        <v>#REF!</v>
      </c>
      <c r="F120" s="118" t="e">
        <f t="shared" ca="1" si="14"/>
        <v>#REF!</v>
      </c>
      <c r="G120" s="118" t="e">
        <f t="shared" ca="1" si="15"/>
        <v>#REF!</v>
      </c>
      <c r="H120" s="118" t="e">
        <f t="shared" ca="1" si="16"/>
        <v>#REF!</v>
      </c>
      <c r="I120" s="118" t="e">
        <f t="shared" ca="1" si="17"/>
        <v>#REF!</v>
      </c>
      <c r="J120" s="118" t="e">
        <f t="shared" ca="1" si="18"/>
        <v>#REF!</v>
      </c>
      <c r="K120" s="118" t="e">
        <f t="shared" ca="1" si="19"/>
        <v>#REF!</v>
      </c>
      <c r="L120" s="118" t="e">
        <f t="shared" ca="1" si="20"/>
        <v>#REF!</v>
      </c>
      <c r="M120" s="118" t="e">
        <f t="shared" ca="1" si="21"/>
        <v>#REF!</v>
      </c>
    </row>
    <row r="121" spans="1:34" x14ac:dyDescent="0.25">
      <c r="A121" s="119">
        <v>44574</v>
      </c>
      <c r="B121" s="119">
        <v>44574</v>
      </c>
      <c r="C121" s="118" t="e">
        <f t="shared" ca="1" si="11"/>
        <v>#REF!</v>
      </c>
      <c r="D121" s="118" t="e">
        <f t="shared" ca="1" si="12"/>
        <v>#REF!</v>
      </c>
      <c r="E121" s="118" t="e">
        <f t="shared" ca="1" si="13"/>
        <v>#REF!</v>
      </c>
      <c r="F121" s="118" t="e">
        <f t="shared" ca="1" si="14"/>
        <v>#REF!</v>
      </c>
      <c r="G121" s="118" t="e">
        <f t="shared" ca="1" si="15"/>
        <v>#REF!</v>
      </c>
      <c r="H121" s="118" t="e">
        <f t="shared" ca="1" si="16"/>
        <v>#REF!</v>
      </c>
      <c r="I121" s="118" t="e">
        <f t="shared" ca="1" si="17"/>
        <v>#REF!</v>
      </c>
      <c r="J121" s="118" t="e">
        <f t="shared" ca="1" si="18"/>
        <v>#REF!</v>
      </c>
      <c r="K121" s="118" t="e">
        <f t="shared" ca="1" si="19"/>
        <v>#REF!</v>
      </c>
      <c r="L121" s="118" t="e">
        <f t="shared" ca="1" si="20"/>
        <v>#REF!</v>
      </c>
      <c r="M121" s="118" t="e">
        <f t="shared" ca="1" si="21"/>
        <v>#REF!</v>
      </c>
    </row>
    <row r="122" spans="1:34" x14ac:dyDescent="0.25">
      <c r="A122" s="119">
        <v>44575</v>
      </c>
      <c r="B122" s="119">
        <v>44575</v>
      </c>
      <c r="C122" s="118" t="e">
        <f t="shared" ca="1" si="11"/>
        <v>#REF!</v>
      </c>
      <c r="D122" s="118" t="e">
        <f t="shared" ca="1" si="12"/>
        <v>#REF!</v>
      </c>
      <c r="E122" s="118" t="e">
        <f t="shared" ca="1" si="13"/>
        <v>#REF!</v>
      </c>
      <c r="F122" s="118" t="e">
        <f t="shared" ca="1" si="14"/>
        <v>#REF!</v>
      </c>
      <c r="G122" s="118" t="e">
        <f t="shared" ca="1" si="15"/>
        <v>#REF!</v>
      </c>
      <c r="H122" s="118" t="e">
        <f t="shared" ca="1" si="16"/>
        <v>#REF!</v>
      </c>
      <c r="I122" s="118" t="e">
        <f t="shared" ca="1" si="17"/>
        <v>#REF!</v>
      </c>
      <c r="J122" s="118" t="e">
        <f t="shared" ca="1" si="18"/>
        <v>#REF!</v>
      </c>
      <c r="K122" s="118" t="e">
        <f t="shared" ca="1" si="19"/>
        <v>#REF!</v>
      </c>
      <c r="L122" s="118" t="e">
        <f t="shared" ca="1" si="20"/>
        <v>#REF!</v>
      </c>
      <c r="M122" s="118" t="e">
        <f t="shared" ca="1" si="21"/>
        <v>#REF!</v>
      </c>
    </row>
    <row r="123" spans="1:34" x14ac:dyDescent="0.25">
      <c r="A123" s="119">
        <v>44576</v>
      </c>
      <c r="B123" s="119">
        <v>44576</v>
      </c>
      <c r="C123" s="118" t="e">
        <f t="shared" ca="1" si="11"/>
        <v>#REF!</v>
      </c>
      <c r="D123" s="118" t="e">
        <f t="shared" ca="1" si="12"/>
        <v>#REF!</v>
      </c>
      <c r="E123" s="118" t="e">
        <f t="shared" ca="1" si="13"/>
        <v>#REF!</v>
      </c>
      <c r="F123" s="118" t="e">
        <f t="shared" ca="1" si="14"/>
        <v>#REF!</v>
      </c>
      <c r="G123" s="118" t="e">
        <f t="shared" ca="1" si="15"/>
        <v>#REF!</v>
      </c>
      <c r="H123" s="118" t="e">
        <f t="shared" ca="1" si="16"/>
        <v>#REF!</v>
      </c>
      <c r="I123" s="118" t="e">
        <f t="shared" ca="1" si="17"/>
        <v>#REF!</v>
      </c>
      <c r="J123" s="118" t="e">
        <f t="shared" ca="1" si="18"/>
        <v>#REF!</v>
      </c>
      <c r="K123" s="118" t="e">
        <f t="shared" ca="1" si="19"/>
        <v>#REF!</v>
      </c>
      <c r="L123" s="118" t="e">
        <f t="shared" ca="1" si="20"/>
        <v>#REF!</v>
      </c>
      <c r="M123" s="118" t="e">
        <f t="shared" ca="1" si="21"/>
        <v>#REF!</v>
      </c>
      <c r="AH123"/>
    </row>
    <row r="124" spans="1:34" x14ac:dyDescent="0.25">
      <c r="A124" s="119">
        <v>44577</v>
      </c>
      <c r="B124" s="119">
        <v>44577</v>
      </c>
      <c r="C124" s="118" t="e">
        <f t="shared" ca="1" si="11"/>
        <v>#REF!</v>
      </c>
      <c r="D124" s="118" t="e">
        <f t="shared" ca="1" si="12"/>
        <v>#REF!</v>
      </c>
      <c r="E124" s="118" t="e">
        <f t="shared" ca="1" si="13"/>
        <v>#REF!</v>
      </c>
      <c r="F124" s="118" t="e">
        <f t="shared" ca="1" si="14"/>
        <v>#REF!</v>
      </c>
      <c r="G124" s="118" t="e">
        <f t="shared" ca="1" si="15"/>
        <v>#REF!</v>
      </c>
      <c r="H124" s="118" t="e">
        <f t="shared" ca="1" si="16"/>
        <v>#REF!</v>
      </c>
      <c r="I124" s="118" t="e">
        <f t="shared" ca="1" si="17"/>
        <v>#REF!</v>
      </c>
      <c r="J124" s="118" t="e">
        <f t="shared" ca="1" si="18"/>
        <v>#REF!</v>
      </c>
      <c r="K124" s="118" t="e">
        <f t="shared" ca="1" si="19"/>
        <v>#REF!</v>
      </c>
      <c r="L124" s="118" t="e">
        <f t="shared" ca="1" si="20"/>
        <v>#REF!</v>
      </c>
      <c r="M124" s="118" t="e">
        <f t="shared" ca="1" si="21"/>
        <v>#REF!</v>
      </c>
    </row>
    <row r="125" spans="1:34" x14ac:dyDescent="0.25">
      <c r="A125" s="119">
        <v>44578</v>
      </c>
      <c r="B125" s="119">
        <v>44578</v>
      </c>
      <c r="C125" s="118" t="e">
        <f t="shared" ca="1" si="11"/>
        <v>#REF!</v>
      </c>
      <c r="D125" s="118" t="e">
        <f t="shared" ca="1" si="12"/>
        <v>#REF!</v>
      </c>
      <c r="E125" s="118" t="e">
        <f t="shared" ca="1" si="13"/>
        <v>#REF!</v>
      </c>
      <c r="F125" s="118" t="e">
        <f t="shared" ca="1" si="14"/>
        <v>#REF!</v>
      </c>
      <c r="G125" s="118" t="e">
        <f t="shared" ca="1" si="15"/>
        <v>#REF!</v>
      </c>
      <c r="H125" s="118" t="e">
        <f t="shared" ca="1" si="16"/>
        <v>#REF!</v>
      </c>
      <c r="I125" s="118" t="e">
        <f t="shared" ca="1" si="17"/>
        <v>#REF!</v>
      </c>
      <c r="J125" s="118" t="e">
        <f t="shared" ca="1" si="18"/>
        <v>#REF!</v>
      </c>
      <c r="K125" s="118" t="e">
        <f t="shared" ca="1" si="19"/>
        <v>#REF!</v>
      </c>
      <c r="L125" s="118" t="e">
        <f t="shared" ca="1" si="20"/>
        <v>#REF!</v>
      </c>
      <c r="M125" s="118" t="e">
        <f t="shared" ca="1" si="21"/>
        <v>#REF!</v>
      </c>
    </row>
    <row r="126" spans="1:34" x14ac:dyDescent="0.25">
      <c r="A126" s="119">
        <v>44579</v>
      </c>
      <c r="B126" s="119">
        <v>44579</v>
      </c>
      <c r="C126" s="118" t="e">
        <f t="shared" ca="1" si="11"/>
        <v>#REF!</v>
      </c>
      <c r="D126" s="118" t="e">
        <f t="shared" ca="1" si="12"/>
        <v>#REF!</v>
      </c>
      <c r="E126" s="118" t="e">
        <f t="shared" ca="1" si="13"/>
        <v>#REF!</v>
      </c>
      <c r="F126" s="118" t="e">
        <f t="shared" ca="1" si="14"/>
        <v>#REF!</v>
      </c>
      <c r="G126" s="118" t="e">
        <f t="shared" ca="1" si="15"/>
        <v>#REF!</v>
      </c>
      <c r="H126" s="118" t="e">
        <f t="shared" ca="1" si="16"/>
        <v>#REF!</v>
      </c>
      <c r="I126" s="118" t="e">
        <f t="shared" ca="1" si="17"/>
        <v>#REF!</v>
      </c>
      <c r="J126" s="118" t="e">
        <f t="shared" ca="1" si="18"/>
        <v>#REF!</v>
      </c>
      <c r="K126" s="118" t="e">
        <f t="shared" ca="1" si="19"/>
        <v>#REF!</v>
      </c>
      <c r="L126" s="118" t="e">
        <f t="shared" ca="1" si="20"/>
        <v>#REF!</v>
      </c>
      <c r="M126" s="118" t="e">
        <f t="shared" ca="1" si="21"/>
        <v>#REF!</v>
      </c>
    </row>
    <row r="127" spans="1:34" x14ac:dyDescent="0.25">
      <c r="A127" s="119">
        <v>44580</v>
      </c>
      <c r="B127" s="119">
        <v>44580</v>
      </c>
      <c r="C127" s="118" t="e">
        <f t="shared" ca="1" si="11"/>
        <v>#REF!</v>
      </c>
      <c r="D127" s="118" t="e">
        <f t="shared" ca="1" si="12"/>
        <v>#REF!</v>
      </c>
      <c r="E127" s="118" t="e">
        <f t="shared" ca="1" si="13"/>
        <v>#REF!</v>
      </c>
      <c r="F127" s="118" t="e">
        <f t="shared" ca="1" si="14"/>
        <v>#REF!</v>
      </c>
      <c r="G127" s="118" t="e">
        <f t="shared" ca="1" si="15"/>
        <v>#REF!</v>
      </c>
      <c r="H127" s="118" t="e">
        <f t="shared" ca="1" si="16"/>
        <v>#REF!</v>
      </c>
      <c r="I127" s="118" t="e">
        <f t="shared" ca="1" si="17"/>
        <v>#REF!</v>
      </c>
      <c r="J127" s="118" t="e">
        <f t="shared" ca="1" si="18"/>
        <v>#REF!</v>
      </c>
      <c r="K127" s="118" t="e">
        <f t="shared" ca="1" si="19"/>
        <v>#REF!</v>
      </c>
      <c r="L127" s="118" t="e">
        <f t="shared" ca="1" si="20"/>
        <v>#REF!</v>
      </c>
      <c r="M127" s="118" t="e">
        <f t="shared" ca="1" si="21"/>
        <v>#REF!</v>
      </c>
    </row>
    <row r="128" spans="1:34" x14ac:dyDescent="0.25">
      <c r="A128" s="119">
        <v>44581</v>
      </c>
      <c r="B128" s="119">
        <v>44581</v>
      </c>
      <c r="C128" s="118" t="e">
        <f t="shared" ca="1" si="11"/>
        <v>#REF!</v>
      </c>
      <c r="D128" s="118" t="e">
        <f t="shared" ca="1" si="12"/>
        <v>#REF!</v>
      </c>
      <c r="E128" s="118" t="e">
        <f t="shared" ca="1" si="13"/>
        <v>#REF!</v>
      </c>
      <c r="F128" s="118" t="e">
        <f t="shared" ca="1" si="14"/>
        <v>#REF!</v>
      </c>
      <c r="G128" s="118" t="e">
        <f t="shared" ca="1" si="15"/>
        <v>#REF!</v>
      </c>
      <c r="H128" s="118" t="e">
        <f t="shared" ca="1" si="16"/>
        <v>#REF!</v>
      </c>
      <c r="I128" s="118" t="e">
        <f t="shared" ca="1" si="17"/>
        <v>#REF!</v>
      </c>
      <c r="J128" s="118" t="e">
        <f t="shared" ca="1" si="18"/>
        <v>#REF!</v>
      </c>
      <c r="K128" s="118" t="e">
        <f t="shared" ca="1" si="19"/>
        <v>#REF!</v>
      </c>
      <c r="L128" s="118" t="e">
        <f t="shared" ca="1" si="20"/>
        <v>#REF!</v>
      </c>
      <c r="M128" s="118" t="e">
        <f t="shared" ca="1" si="21"/>
        <v>#REF!</v>
      </c>
    </row>
    <row r="129" spans="1:13" x14ac:dyDescent="0.25">
      <c r="A129" s="119">
        <v>44582</v>
      </c>
      <c r="B129" s="119">
        <v>44582</v>
      </c>
      <c r="C129" s="118" t="e">
        <f t="shared" ca="1" si="11"/>
        <v>#REF!</v>
      </c>
      <c r="D129" s="118" t="e">
        <f t="shared" ca="1" si="12"/>
        <v>#REF!</v>
      </c>
      <c r="E129" s="118" t="e">
        <f t="shared" ca="1" si="13"/>
        <v>#REF!</v>
      </c>
      <c r="F129" s="118" t="e">
        <f t="shared" ca="1" si="14"/>
        <v>#REF!</v>
      </c>
      <c r="G129" s="118" t="e">
        <f t="shared" ca="1" si="15"/>
        <v>#REF!</v>
      </c>
      <c r="H129" s="118" t="e">
        <f t="shared" ca="1" si="16"/>
        <v>#REF!</v>
      </c>
      <c r="I129" s="118" t="e">
        <f t="shared" ca="1" si="17"/>
        <v>#REF!</v>
      </c>
      <c r="J129" s="118" t="e">
        <f t="shared" ca="1" si="18"/>
        <v>#REF!</v>
      </c>
      <c r="K129" s="118" t="e">
        <f t="shared" ca="1" si="19"/>
        <v>#REF!</v>
      </c>
      <c r="L129" s="118" t="e">
        <f t="shared" ca="1" si="20"/>
        <v>#REF!</v>
      </c>
      <c r="M129" s="118" t="e">
        <f t="shared" ca="1" si="21"/>
        <v>#REF!</v>
      </c>
    </row>
    <row r="130" spans="1:13" x14ac:dyDescent="0.25">
      <c r="A130" s="119">
        <v>44583</v>
      </c>
      <c r="B130" s="119">
        <v>44583</v>
      </c>
      <c r="C130" s="118" t="e">
        <f t="shared" ca="1" si="11"/>
        <v>#REF!</v>
      </c>
      <c r="D130" s="118" t="e">
        <f t="shared" ca="1" si="12"/>
        <v>#REF!</v>
      </c>
      <c r="E130" s="118" t="e">
        <f t="shared" ca="1" si="13"/>
        <v>#REF!</v>
      </c>
      <c r="F130" s="118" t="e">
        <f t="shared" ca="1" si="14"/>
        <v>#REF!</v>
      </c>
      <c r="G130" s="118" t="e">
        <f t="shared" ca="1" si="15"/>
        <v>#REF!</v>
      </c>
      <c r="H130" s="118" t="e">
        <f t="shared" ca="1" si="16"/>
        <v>#REF!</v>
      </c>
      <c r="I130" s="118" t="e">
        <f t="shared" ca="1" si="17"/>
        <v>#REF!</v>
      </c>
      <c r="J130" s="118" t="e">
        <f t="shared" ca="1" si="18"/>
        <v>#REF!</v>
      </c>
      <c r="K130" s="118" t="e">
        <f t="shared" ca="1" si="19"/>
        <v>#REF!</v>
      </c>
      <c r="L130" s="118" t="e">
        <f t="shared" ca="1" si="20"/>
        <v>#REF!</v>
      </c>
      <c r="M130" s="118" t="e">
        <f t="shared" ca="1" si="21"/>
        <v>#REF!</v>
      </c>
    </row>
    <row r="131" spans="1:13" x14ac:dyDescent="0.25">
      <c r="A131" s="119">
        <v>44584</v>
      </c>
      <c r="B131" s="119">
        <v>44584</v>
      </c>
      <c r="C131" s="118" t="e">
        <f t="shared" ref="C131:C194" ca="1" si="22">INDIRECT(CONCATENATE("",$A131,"!H10"))</f>
        <v>#REF!</v>
      </c>
      <c r="D131" s="118" t="e">
        <f t="shared" ref="D131:D194" ca="1" si="23">INDIRECT(CONCATENATE("",$A131,"!H11"))</f>
        <v>#REF!</v>
      </c>
      <c r="E131" s="118" t="e">
        <f t="shared" ref="E131:E194" ca="1" si="24">INDIRECT(CONCATENATE("",$A131,"!H12"))</f>
        <v>#REF!</v>
      </c>
      <c r="F131" s="118" t="e">
        <f t="shared" ref="F131:F194" ca="1" si="25">INDIRECT(CONCATENATE("",$A131,"!H13"))</f>
        <v>#REF!</v>
      </c>
      <c r="G131" s="118" t="e">
        <f t="shared" ref="G131:G194" ca="1" si="26">INDIRECT(CONCATENATE("",$A131,"!H14"))</f>
        <v>#REF!</v>
      </c>
      <c r="H131" s="118" t="e">
        <f t="shared" ref="H131:H194" ca="1" si="27">INDIRECT(CONCATENATE("",$A131,"!i12"))</f>
        <v>#REF!</v>
      </c>
      <c r="I131" s="118" t="e">
        <f t="shared" ref="I131:I194" ca="1" si="28">INDIRECT(CONCATENATE("",$A131,"!i13"))</f>
        <v>#REF!</v>
      </c>
      <c r="J131" s="118" t="e">
        <f t="shared" ref="J131:J194" ca="1" si="29">INDIRECT(CONCATENATE("",$A131,"!i14"))</f>
        <v>#REF!</v>
      </c>
      <c r="K131" s="118" t="e">
        <f t="shared" ref="K131:K194" ca="1" si="30">INDIRECT(CONCATENATE("",$A131,"!J12"))</f>
        <v>#REF!</v>
      </c>
      <c r="L131" s="118" t="e">
        <f t="shared" ref="L131:L194" ca="1" si="31">INDIRECT(CONCATENATE("",$A131,"!J13"))</f>
        <v>#REF!</v>
      </c>
      <c r="M131" s="118" t="e">
        <f t="shared" ref="M131:M194" ca="1" si="32">INDIRECT(CONCATENATE("",$A131,"!J14"))</f>
        <v>#REF!</v>
      </c>
    </row>
    <row r="132" spans="1:13" x14ac:dyDescent="0.25">
      <c r="A132" s="119" t="s">
        <v>176</v>
      </c>
      <c r="B132" s="119">
        <v>44585</v>
      </c>
      <c r="C132" s="118" t="e">
        <f t="shared" ca="1" si="22"/>
        <v>#REF!</v>
      </c>
      <c r="D132" s="118" t="e">
        <f t="shared" ca="1" si="23"/>
        <v>#REF!</v>
      </c>
      <c r="E132" s="118" t="e">
        <f t="shared" ca="1" si="24"/>
        <v>#REF!</v>
      </c>
      <c r="F132" s="118" t="e">
        <f t="shared" ca="1" si="25"/>
        <v>#REF!</v>
      </c>
      <c r="G132" s="118" t="e">
        <f t="shared" ca="1" si="26"/>
        <v>#REF!</v>
      </c>
      <c r="H132" s="118" t="e">
        <f t="shared" ca="1" si="27"/>
        <v>#REF!</v>
      </c>
      <c r="I132" s="118" t="e">
        <f t="shared" ca="1" si="28"/>
        <v>#REF!</v>
      </c>
      <c r="J132" s="118" t="e">
        <f t="shared" ca="1" si="29"/>
        <v>#REF!</v>
      </c>
      <c r="K132" s="118" t="e">
        <f t="shared" ca="1" si="30"/>
        <v>#REF!</v>
      </c>
      <c r="L132" s="118" t="e">
        <f t="shared" ca="1" si="31"/>
        <v>#REF!</v>
      </c>
      <c r="M132" s="118" t="e">
        <f t="shared" ca="1" si="32"/>
        <v>#REF!</v>
      </c>
    </row>
    <row r="133" spans="1:13" x14ac:dyDescent="0.25">
      <c r="A133" s="119">
        <v>44586</v>
      </c>
      <c r="B133" s="119">
        <v>44586</v>
      </c>
      <c r="C133" s="118" t="e">
        <f t="shared" ca="1" si="22"/>
        <v>#REF!</v>
      </c>
      <c r="D133" s="118" t="e">
        <f t="shared" ca="1" si="23"/>
        <v>#REF!</v>
      </c>
      <c r="E133" s="118" t="e">
        <f t="shared" ca="1" si="24"/>
        <v>#REF!</v>
      </c>
      <c r="F133" s="118" t="e">
        <f t="shared" ca="1" si="25"/>
        <v>#REF!</v>
      </c>
      <c r="G133" s="118" t="e">
        <f t="shared" ca="1" si="26"/>
        <v>#REF!</v>
      </c>
      <c r="H133" s="118" t="e">
        <f t="shared" ca="1" si="27"/>
        <v>#REF!</v>
      </c>
      <c r="I133" s="118" t="e">
        <f t="shared" ca="1" si="28"/>
        <v>#REF!</v>
      </c>
      <c r="J133" s="118" t="e">
        <f t="shared" ca="1" si="29"/>
        <v>#REF!</v>
      </c>
      <c r="K133" s="118" t="e">
        <f t="shared" ca="1" si="30"/>
        <v>#REF!</v>
      </c>
      <c r="L133" s="118" t="e">
        <f t="shared" ca="1" si="31"/>
        <v>#REF!</v>
      </c>
      <c r="M133" s="118" t="e">
        <f t="shared" ca="1" si="32"/>
        <v>#REF!</v>
      </c>
    </row>
    <row r="134" spans="1:13" x14ac:dyDescent="0.25">
      <c r="A134" s="119">
        <v>44587</v>
      </c>
      <c r="B134" s="119">
        <v>44587</v>
      </c>
      <c r="C134" s="118" t="e">
        <f t="shared" ca="1" si="22"/>
        <v>#REF!</v>
      </c>
      <c r="D134" s="118" t="e">
        <f t="shared" ca="1" si="23"/>
        <v>#REF!</v>
      </c>
      <c r="E134" s="118" t="e">
        <f t="shared" ca="1" si="24"/>
        <v>#REF!</v>
      </c>
      <c r="F134" s="118" t="e">
        <f t="shared" ca="1" si="25"/>
        <v>#REF!</v>
      </c>
      <c r="G134" s="118" t="e">
        <f t="shared" ca="1" si="26"/>
        <v>#REF!</v>
      </c>
      <c r="H134" s="118" t="e">
        <f t="shared" ca="1" si="27"/>
        <v>#REF!</v>
      </c>
      <c r="I134" s="118" t="e">
        <f t="shared" ca="1" si="28"/>
        <v>#REF!</v>
      </c>
      <c r="J134" s="118" t="e">
        <f t="shared" ca="1" si="29"/>
        <v>#REF!</v>
      </c>
      <c r="K134" s="118" t="e">
        <f t="shared" ca="1" si="30"/>
        <v>#REF!</v>
      </c>
      <c r="L134" s="118" t="e">
        <f t="shared" ca="1" si="31"/>
        <v>#REF!</v>
      </c>
      <c r="M134" s="118" t="e">
        <f t="shared" ca="1" si="32"/>
        <v>#REF!</v>
      </c>
    </row>
    <row r="135" spans="1:13" x14ac:dyDescent="0.25">
      <c r="A135" s="119">
        <v>44588</v>
      </c>
      <c r="B135" s="119">
        <v>44588</v>
      </c>
      <c r="C135" s="118" t="e">
        <f t="shared" ca="1" si="22"/>
        <v>#REF!</v>
      </c>
      <c r="D135" s="118" t="e">
        <f t="shared" ca="1" si="23"/>
        <v>#REF!</v>
      </c>
      <c r="E135" s="118" t="e">
        <f t="shared" ca="1" si="24"/>
        <v>#REF!</v>
      </c>
      <c r="F135" s="118" t="e">
        <f t="shared" ca="1" si="25"/>
        <v>#REF!</v>
      </c>
      <c r="G135" s="118" t="e">
        <f t="shared" ca="1" si="26"/>
        <v>#REF!</v>
      </c>
      <c r="H135" s="118" t="e">
        <f t="shared" ca="1" si="27"/>
        <v>#REF!</v>
      </c>
      <c r="I135" s="118" t="e">
        <f t="shared" ca="1" si="28"/>
        <v>#REF!</v>
      </c>
      <c r="J135" s="118" t="e">
        <f t="shared" ca="1" si="29"/>
        <v>#REF!</v>
      </c>
      <c r="K135" s="118" t="e">
        <f t="shared" ca="1" si="30"/>
        <v>#REF!</v>
      </c>
      <c r="L135" s="118" t="e">
        <f t="shared" ca="1" si="31"/>
        <v>#REF!</v>
      </c>
      <c r="M135" s="118" t="e">
        <f t="shared" ca="1" si="32"/>
        <v>#REF!</v>
      </c>
    </row>
    <row r="136" spans="1:13" x14ac:dyDescent="0.25">
      <c r="A136" s="119">
        <v>44589</v>
      </c>
      <c r="B136" s="119">
        <v>44589</v>
      </c>
      <c r="C136" s="118" t="e">
        <f t="shared" ca="1" si="22"/>
        <v>#REF!</v>
      </c>
      <c r="D136" s="118" t="e">
        <f t="shared" ca="1" si="23"/>
        <v>#REF!</v>
      </c>
      <c r="E136" s="118" t="e">
        <f t="shared" ca="1" si="24"/>
        <v>#REF!</v>
      </c>
      <c r="F136" s="118" t="e">
        <f t="shared" ca="1" si="25"/>
        <v>#REF!</v>
      </c>
      <c r="G136" s="118" t="e">
        <f t="shared" ca="1" si="26"/>
        <v>#REF!</v>
      </c>
      <c r="H136" s="118" t="e">
        <f t="shared" ca="1" si="27"/>
        <v>#REF!</v>
      </c>
      <c r="I136" s="118" t="e">
        <f t="shared" ca="1" si="28"/>
        <v>#REF!</v>
      </c>
      <c r="J136" s="118" t="e">
        <f t="shared" ca="1" si="29"/>
        <v>#REF!</v>
      </c>
      <c r="K136" s="118" t="e">
        <f t="shared" ca="1" si="30"/>
        <v>#REF!</v>
      </c>
      <c r="L136" s="118" t="e">
        <f t="shared" ca="1" si="31"/>
        <v>#REF!</v>
      </c>
      <c r="M136" s="118" t="e">
        <f t="shared" ca="1" si="32"/>
        <v>#REF!</v>
      </c>
    </row>
    <row r="137" spans="1:13" x14ac:dyDescent="0.25">
      <c r="A137" s="119">
        <v>44590</v>
      </c>
      <c r="B137" s="119">
        <v>44590</v>
      </c>
      <c r="C137" s="118" t="e">
        <f t="shared" ca="1" si="22"/>
        <v>#REF!</v>
      </c>
      <c r="D137" s="118" t="e">
        <f t="shared" ca="1" si="23"/>
        <v>#REF!</v>
      </c>
      <c r="E137" s="118" t="e">
        <f t="shared" ca="1" si="24"/>
        <v>#REF!</v>
      </c>
      <c r="F137" s="118" t="e">
        <f t="shared" ca="1" si="25"/>
        <v>#REF!</v>
      </c>
      <c r="G137" s="118" t="e">
        <f t="shared" ca="1" si="26"/>
        <v>#REF!</v>
      </c>
      <c r="H137" s="118" t="e">
        <f t="shared" ca="1" si="27"/>
        <v>#REF!</v>
      </c>
      <c r="I137" s="118" t="e">
        <f t="shared" ca="1" si="28"/>
        <v>#REF!</v>
      </c>
      <c r="J137" s="118" t="e">
        <f t="shared" ca="1" si="29"/>
        <v>#REF!</v>
      </c>
      <c r="K137" s="118" t="e">
        <f t="shared" ca="1" si="30"/>
        <v>#REF!</v>
      </c>
      <c r="L137" s="118" t="e">
        <f t="shared" ca="1" si="31"/>
        <v>#REF!</v>
      </c>
      <c r="M137" s="118" t="e">
        <f t="shared" ca="1" si="32"/>
        <v>#REF!</v>
      </c>
    </row>
    <row r="138" spans="1:13" x14ac:dyDescent="0.25">
      <c r="A138" s="119">
        <v>44591</v>
      </c>
      <c r="B138" s="119">
        <v>44591</v>
      </c>
      <c r="C138" s="118" t="e">
        <f t="shared" ca="1" si="22"/>
        <v>#REF!</v>
      </c>
      <c r="D138" s="118" t="e">
        <f t="shared" ca="1" si="23"/>
        <v>#REF!</v>
      </c>
      <c r="E138" s="118" t="e">
        <f t="shared" ca="1" si="24"/>
        <v>#REF!</v>
      </c>
      <c r="F138" s="118" t="e">
        <f t="shared" ca="1" si="25"/>
        <v>#REF!</v>
      </c>
      <c r="G138" s="118" t="e">
        <f t="shared" ca="1" si="26"/>
        <v>#REF!</v>
      </c>
      <c r="H138" s="118" t="e">
        <f t="shared" ca="1" si="27"/>
        <v>#REF!</v>
      </c>
      <c r="I138" s="118" t="e">
        <f t="shared" ca="1" si="28"/>
        <v>#REF!</v>
      </c>
      <c r="J138" s="118" t="e">
        <f t="shared" ca="1" si="29"/>
        <v>#REF!</v>
      </c>
      <c r="K138" s="118" t="e">
        <f t="shared" ca="1" si="30"/>
        <v>#REF!</v>
      </c>
      <c r="L138" s="118" t="e">
        <f t="shared" ca="1" si="31"/>
        <v>#REF!</v>
      </c>
      <c r="M138" s="118" t="e">
        <f t="shared" ca="1" si="32"/>
        <v>#REF!</v>
      </c>
    </row>
    <row r="139" spans="1:13" x14ac:dyDescent="0.25">
      <c r="A139" s="119" t="s">
        <v>177</v>
      </c>
      <c r="B139" s="119">
        <v>44592</v>
      </c>
      <c r="C139" s="118" t="e">
        <f t="shared" ca="1" si="22"/>
        <v>#REF!</v>
      </c>
      <c r="D139" s="118" t="e">
        <f t="shared" ca="1" si="23"/>
        <v>#REF!</v>
      </c>
      <c r="E139" s="118" t="e">
        <f t="shared" ca="1" si="24"/>
        <v>#REF!</v>
      </c>
      <c r="F139" s="118" t="e">
        <f t="shared" ca="1" si="25"/>
        <v>#REF!</v>
      </c>
      <c r="G139" s="118" t="e">
        <f t="shared" ca="1" si="26"/>
        <v>#REF!</v>
      </c>
      <c r="H139" s="118" t="e">
        <f t="shared" ca="1" si="27"/>
        <v>#REF!</v>
      </c>
      <c r="I139" s="118" t="e">
        <f t="shared" ca="1" si="28"/>
        <v>#REF!</v>
      </c>
      <c r="J139" s="118" t="e">
        <f t="shared" ca="1" si="29"/>
        <v>#REF!</v>
      </c>
      <c r="K139" s="118" t="e">
        <f t="shared" ca="1" si="30"/>
        <v>#REF!</v>
      </c>
      <c r="L139" s="118" t="e">
        <f t="shared" ca="1" si="31"/>
        <v>#REF!</v>
      </c>
      <c r="M139" s="118" t="e">
        <f t="shared" ca="1" si="32"/>
        <v>#REF!</v>
      </c>
    </row>
    <row r="140" spans="1:13" x14ac:dyDescent="0.25">
      <c r="A140" s="119">
        <v>44593</v>
      </c>
      <c r="B140" s="119">
        <v>44593</v>
      </c>
      <c r="C140" s="118" t="e">
        <f t="shared" ca="1" si="22"/>
        <v>#REF!</v>
      </c>
      <c r="D140" s="118" t="e">
        <f t="shared" ca="1" si="23"/>
        <v>#REF!</v>
      </c>
      <c r="E140" s="118" t="e">
        <f t="shared" ca="1" si="24"/>
        <v>#REF!</v>
      </c>
      <c r="F140" s="118" t="e">
        <f t="shared" ca="1" si="25"/>
        <v>#REF!</v>
      </c>
      <c r="G140" s="118" t="e">
        <f t="shared" ca="1" si="26"/>
        <v>#REF!</v>
      </c>
      <c r="H140" s="118" t="e">
        <f t="shared" ca="1" si="27"/>
        <v>#REF!</v>
      </c>
      <c r="I140" s="118" t="e">
        <f t="shared" ca="1" si="28"/>
        <v>#REF!</v>
      </c>
      <c r="J140" s="118" t="e">
        <f t="shared" ca="1" si="29"/>
        <v>#REF!</v>
      </c>
      <c r="K140" s="118" t="e">
        <f t="shared" ca="1" si="30"/>
        <v>#REF!</v>
      </c>
      <c r="L140" s="118" t="e">
        <f t="shared" ca="1" si="31"/>
        <v>#REF!</v>
      </c>
      <c r="M140" s="118" t="e">
        <f t="shared" ca="1" si="32"/>
        <v>#REF!</v>
      </c>
    </row>
    <row r="141" spans="1:13" x14ac:dyDescent="0.25">
      <c r="A141" s="119">
        <v>44594</v>
      </c>
      <c r="B141" s="119">
        <v>44594</v>
      </c>
      <c r="C141" s="118" t="e">
        <f t="shared" ca="1" si="22"/>
        <v>#REF!</v>
      </c>
      <c r="D141" s="118" t="e">
        <f t="shared" ca="1" si="23"/>
        <v>#REF!</v>
      </c>
      <c r="E141" s="118" t="e">
        <f t="shared" ca="1" si="24"/>
        <v>#REF!</v>
      </c>
      <c r="F141" s="118" t="e">
        <f t="shared" ca="1" si="25"/>
        <v>#REF!</v>
      </c>
      <c r="G141" s="118" t="e">
        <f t="shared" ca="1" si="26"/>
        <v>#REF!</v>
      </c>
      <c r="H141" s="118" t="e">
        <f t="shared" ca="1" si="27"/>
        <v>#REF!</v>
      </c>
      <c r="I141" s="118" t="e">
        <f t="shared" ca="1" si="28"/>
        <v>#REF!</v>
      </c>
      <c r="J141" s="118" t="e">
        <f t="shared" ca="1" si="29"/>
        <v>#REF!</v>
      </c>
      <c r="K141" s="118" t="e">
        <f t="shared" ca="1" si="30"/>
        <v>#REF!</v>
      </c>
      <c r="L141" s="118" t="e">
        <f t="shared" ca="1" si="31"/>
        <v>#REF!</v>
      </c>
      <c r="M141" s="118" t="e">
        <f t="shared" ca="1" si="32"/>
        <v>#REF!</v>
      </c>
    </row>
    <row r="142" spans="1:13" x14ac:dyDescent="0.25">
      <c r="A142" s="119">
        <v>44595</v>
      </c>
      <c r="B142" s="119">
        <v>44595</v>
      </c>
      <c r="C142" s="118" t="e">
        <f t="shared" ca="1" si="22"/>
        <v>#REF!</v>
      </c>
      <c r="D142" s="118" t="e">
        <f t="shared" ca="1" si="23"/>
        <v>#REF!</v>
      </c>
      <c r="E142" s="118" t="e">
        <f t="shared" ca="1" si="24"/>
        <v>#REF!</v>
      </c>
      <c r="F142" s="118" t="e">
        <f t="shared" ca="1" si="25"/>
        <v>#REF!</v>
      </c>
      <c r="G142" s="118" t="e">
        <f t="shared" ca="1" si="26"/>
        <v>#REF!</v>
      </c>
      <c r="H142" s="118" t="e">
        <f t="shared" ca="1" si="27"/>
        <v>#REF!</v>
      </c>
      <c r="I142" s="118" t="e">
        <f t="shared" ca="1" si="28"/>
        <v>#REF!</v>
      </c>
      <c r="J142" s="118" t="e">
        <f t="shared" ca="1" si="29"/>
        <v>#REF!</v>
      </c>
      <c r="K142" s="118" t="e">
        <f t="shared" ca="1" si="30"/>
        <v>#REF!</v>
      </c>
      <c r="L142" s="118" t="e">
        <f t="shared" ca="1" si="31"/>
        <v>#REF!</v>
      </c>
      <c r="M142" s="118" t="e">
        <f t="shared" ca="1" si="32"/>
        <v>#REF!</v>
      </c>
    </row>
    <row r="143" spans="1:13" x14ac:dyDescent="0.25">
      <c r="A143" s="119">
        <v>44596</v>
      </c>
      <c r="B143" s="119">
        <v>44596</v>
      </c>
      <c r="C143" s="118" t="e">
        <f t="shared" ca="1" si="22"/>
        <v>#REF!</v>
      </c>
      <c r="D143" s="118" t="e">
        <f t="shared" ca="1" si="23"/>
        <v>#REF!</v>
      </c>
      <c r="E143" s="118" t="e">
        <f t="shared" ca="1" si="24"/>
        <v>#REF!</v>
      </c>
      <c r="F143" s="118" t="e">
        <f t="shared" ca="1" si="25"/>
        <v>#REF!</v>
      </c>
      <c r="G143" s="118" t="e">
        <f t="shared" ca="1" si="26"/>
        <v>#REF!</v>
      </c>
      <c r="H143" s="118" t="e">
        <f t="shared" ca="1" si="27"/>
        <v>#REF!</v>
      </c>
      <c r="I143" s="118" t="e">
        <f t="shared" ca="1" si="28"/>
        <v>#REF!</v>
      </c>
      <c r="J143" s="118" t="e">
        <f t="shared" ca="1" si="29"/>
        <v>#REF!</v>
      </c>
      <c r="K143" s="118" t="e">
        <f t="shared" ca="1" si="30"/>
        <v>#REF!</v>
      </c>
      <c r="L143" s="118" t="e">
        <f t="shared" ca="1" si="31"/>
        <v>#REF!</v>
      </c>
      <c r="M143" s="118" t="e">
        <f t="shared" ca="1" si="32"/>
        <v>#REF!</v>
      </c>
    </row>
    <row r="144" spans="1:13" x14ac:dyDescent="0.25">
      <c r="A144" s="119">
        <v>44597</v>
      </c>
      <c r="B144" s="119">
        <v>44597</v>
      </c>
      <c r="C144" s="118" t="e">
        <f t="shared" ca="1" si="22"/>
        <v>#REF!</v>
      </c>
      <c r="D144" s="118" t="e">
        <f t="shared" ca="1" si="23"/>
        <v>#REF!</v>
      </c>
      <c r="E144" s="118" t="e">
        <f t="shared" ca="1" si="24"/>
        <v>#REF!</v>
      </c>
      <c r="F144" s="118" t="e">
        <f t="shared" ca="1" si="25"/>
        <v>#REF!</v>
      </c>
      <c r="G144" s="118" t="e">
        <f t="shared" ca="1" si="26"/>
        <v>#REF!</v>
      </c>
      <c r="H144" s="118" t="e">
        <f t="shared" ca="1" si="27"/>
        <v>#REF!</v>
      </c>
      <c r="I144" s="118" t="e">
        <f t="shared" ca="1" si="28"/>
        <v>#REF!</v>
      </c>
      <c r="J144" s="118" t="e">
        <f t="shared" ca="1" si="29"/>
        <v>#REF!</v>
      </c>
      <c r="K144" s="118" t="e">
        <f t="shared" ca="1" si="30"/>
        <v>#REF!</v>
      </c>
      <c r="L144" s="118" t="e">
        <f t="shared" ca="1" si="31"/>
        <v>#REF!</v>
      </c>
      <c r="M144" s="118" t="e">
        <f t="shared" ca="1" si="32"/>
        <v>#REF!</v>
      </c>
    </row>
    <row r="145" spans="1:13" x14ac:dyDescent="0.25">
      <c r="A145" s="119">
        <v>44598</v>
      </c>
      <c r="B145" s="119">
        <v>44598</v>
      </c>
      <c r="C145" s="118" t="e">
        <f t="shared" ca="1" si="22"/>
        <v>#REF!</v>
      </c>
      <c r="D145" s="118" t="e">
        <f t="shared" ca="1" si="23"/>
        <v>#REF!</v>
      </c>
      <c r="E145" s="118" t="e">
        <f t="shared" ca="1" si="24"/>
        <v>#REF!</v>
      </c>
      <c r="F145" s="118" t="e">
        <f t="shared" ca="1" si="25"/>
        <v>#REF!</v>
      </c>
      <c r="G145" s="118" t="e">
        <f t="shared" ca="1" si="26"/>
        <v>#REF!</v>
      </c>
      <c r="H145" s="118" t="e">
        <f t="shared" ca="1" si="27"/>
        <v>#REF!</v>
      </c>
      <c r="I145" s="118" t="e">
        <f t="shared" ca="1" si="28"/>
        <v>#REF!</v>
      </c>
      <c r="J145" s="118" t="e">
        <f t="shared" ca="1" si="29"/>
        <v>#REF!</v>
      </c>
      <c r="K145" s="118" t="e">
        <f t="shared" ca="1" si="30"/>
        <v>#REF!</v>
      </c>
      <c r="L145" s="118" t="e">
        <f t="shared" ca="1" si="31"/>
        <v>#REF!</v>
      </c>
      <c r="M145" s="118" t="e">
        <f t="shared" ca="1" si="32"/>
        <v>#REF!</v>
      </c>
    </row>
    <row r="146" spans="1:13" x14ac:dyDescent="0.25">
      <c r="A146" s="119">
        <v>44599</v>
      </c>
      <c r="B146" s="119">
        <v>44599</v>
      </c>
      <c r="C146" s="118" t="e">
        <f t="shared" ca="1" si="22"/>
        <v>#REF!</v>
      </c>
      <c r="D146" s="118" t="e">
        <f t="shared" ca="1" si="23"/>
        <v>#REF!</v>
      </c>
      <c r="E146" s="118" t="e">
        <f t="shared" ca="1" si="24"/>
        <v>#REF!</v>
      </c>
      <c r="F146" s="118" t="e">
        <f t="shared" ca="1" si="25"/>
        <v>#REF!</v>
      </c>
      <c r="G146" s="118" t="e">
        <f t="shared" ca="1" si="26"/>
        <v>#REF!</v>
      </c>
      <c r="H146" s="118" t="e">
        <f t="shared" ca="1" si="27"/>
        <v>#REF!</v>
      </c>
      <c r="I146" s="118" t="e">
        <f t="shared" ca="1" si="28"/>
        <v>#REF!</v>
      </c>
      <c r="J146" s="118" t="e">
        <f t="shared" ca="1" si="29"/>
        <v>#REF!</v>
      </c>
      <c r="K146" s="118" t="e">
        <f t="shared" ca="1" si="30"/>
        <v>#REF!</v>
      </c>
      <c r="L146" s="118" t="e">
        <f t="shared" ca="1" si="31"/>
        <v>#REF!</v>
      </c>
      <c r="M146" s="118" t="e">
        <f t="shared" ca="1" si="32"/>
        <v>#REF!</v>
      </c>
    </row>
    <row r="147" spans="1:13" x14ac:dyDescent="0.25">
      <c r="A147" s="119">
        <v>44600</v>
      </c>
      <c r="B147" s="119">
        <v>44600</v>
      </c>
      <c r="C147" s="118" t="e">
        <f t="shared" ca="1" si="22"/>
        <v>#REF!</v>
      </c>
      <c r="D147" s="118" t="e">
        <f t="shared" ca="1" si="23"/>
        <v>#REF!</v>
      </c>
      <c r="E147" s="118" t="e">
        <f t="shared" ca="1" si="24"/>
        <v>#REF!</v>
      </c>
      <c r="F147" s="118" t="e">
        <f t="shared" ca="1" si="25"/>
        <v>#REF!</v>
      </c>
      <c r="G147" s="118" t="e">
        <f t="shared" ca="1" si="26"/>
        <v>#REF!</v>
      </c>
      <c r="H147" s="118" t="e">
        <f t="shared" ca="1" si="27"/>
        <v>#REF!</v>
      </c>
      <c r="I147" s="118" t="e">
        <f t="shared" ca="1" si="28"/>
        <v>#REF!</v>
      </c>
      <c r="J147" s="118" t="e">
        <f t="shared" ca="1" si="29"/>
        <v>#REF!</v>
      </c>
      <c r="K147" s="118" t="e">
        <f t="shared" ca="1" si="30"/>
        <v>#REF!</v>
      </c>
      <c r="L147" s="118" t="e">
        <f t="shared" ca="1" si="31"/>
        <v>#REF!</v>
      </c>
      <c r="M147" s="118" t="e">
        <f t="shared" ca="1" si="32"/>
        <v>#REF!</v>
      </c>
    </row>
    <row r="148" spans="1:13" x14ac:dyDescent="0.25">
      <c r="A148" s="119">
        <v>44601</v>
      </c>
      <c r="B148" s="119">
        <v>44601</v>
      </c>
      <c r="C148" s="118" t="e">
        <f t="shared" ca="1" si="22"/>
        <v>#REF!</v>
      </c>
      <c r="D148" s="118" t="e">
        <f t="shared" ca="1" si="23"/>
        <v>#REF!</v>
      </c>
      <c r="E148" s="118" t="e">
        <f t="shared" ca="1" si="24"/>
        <v>#REF!</v>
      </c>
      <c r="F148" s="118" t="e">
        <f t="shared" ca="1" si="25"/>
        <v>#REF!</v>
      </c>
      <c r="G148" s="118" t="e">
        <f t="shared" ca="1" si="26"/>
        <v>#REF!</v>
      </c>
      <c r="H148" s="118" t="e">
        <f t="shared" ca="1" si="27"/>
        <v>#REF!</v>
      </c>
      <c r="I148" s="118" t="e">
        <f t="shared" ca="1" si="28"/>
        <v>#REF!</v>
      </c>
      <c r="J148" s="118" t="e">
        <f t="shared" ca="1" si="29"/>
        <v>#REF!</v>
      </c>
      <c r="K148" s="118" t="e">
        <f t="shared" ca="1" si="30"/>
        <v>#REF!</v>
      </c>
      <c r="L148" s="118" t="e">
        <f t="shared" ca="1" si="31"/>
        <v>#REF!</v>
      </c>
      <c r="M148" s="118" t="e">
        <f t="shared" ca="1" si="32"/>
        <v>#REF!</v>
      </c>
    </row>
    <row r="149" spans="1:13" x14ac:dyDescent="0.25">
      <c r="A149" s="119">
        <v>44602</v>
      </c>
      <c r="B149" s="119">
        <v>44602</v>
      </c>
      <c r="C149" s="118" t="e">
        <f t="shared" ca="1" si="22"/>
        <v>#REF!</v>
      </c>
      <c r="D149" s="118" t="e">
        <f t="shared" ca="1" si="23"/>
        <v>#REF!</v>
      </c>
      <c r="E149" s="118" t="e">
        <f t="shared" ca="1" si="24"/>
        <v>#REF!</v>
      </c>
      <c r="F149" s="118" t="e">
        <f t="shared" ca="1" si="25"/>
        <v>#REF!</v>
      </c>
      <c r="G149" s="118" t="e">
        <f t="shared" ca="1" si="26"/>
        <v>#REF!</v>
      </c>
      <c r="H149" s="118" t="e">
        <f t="shared" ca="1" si="27"/>
        <v>#REF!</v>
      </c>
      <c r="I149" s="118" t="e">
        <f t="shared" ca="1" si="28"/>
        <v>#REF!</v>
      </c>
      <c r="J149" s="118" t="e">
        <f t="shared" ca="1" si="29"/>
        <v>#REF!</v>
      </c>
      <c r="K149" s="118" t="e">
        <f t="shared" ca="1" si="30"/>
        <v>#REF!</v>
      </c>
      <c r="L149" s="118" t="e">
        <f t="shared" ca="1" si="31"/>
        <v>#REF!</v>
      </c>
      <c r="M149" s="118" t="e">
        <f t="shared" ca="1" si="32"/>
        <v>#REF!</v>
      </c>
    </row>
    <row r="150" spans="1:13" x14ac:dyDescent="0.25">
      <c r="A150" s="119" t="s">
        <v>178</v>
      </c>
      <c r="B150" s="119">
        <v>44603</v>
      </c>
      <c r="C150" s="118" t="e">
        <f t="shared" ca="1" si="22"/>
        <v>#REF!</v>
      </c>
      <c r="D150" s="118" t="e">
        <f t="shared" ca="1" si="23"/>
        <v>#REF!</v>
      </c>
      <c r="E150" s="118" t="e">
        <f t="shared" ca="1" si="24"/>
        <v>#REF!</v>
      </c>
      <c r="F150" s="118" t="e">
        <f t="shared" ca="1" si="25"/>
        <v>#REF!</v>
      </c>
      <c r="G150" s="118" t="e">
        <f t="shared" ca="1" si="26"/>
        <v>#REF!</v>
      </c>
      <c r="H150" s="118" t="e">
        <f t="shared" ca="1" si="27"/>
        <v>#REF!</v>
      </c>
      <c r="I150" s="118" t="e">
        <f t="shared" ca="1" si="28"/>
        <v>#REF!</v>
      </c>
      <c r="J150" s="118" t="e">
        <f t="shared" ca="1" si="29"/>
        <v>#REF!</v>
      </c>
      <c r="K150" s="118" t="e">
        <f t="shared" ca="1" si="30"/>
        <v>#REF!</v>
      </c>
      <c r="L150" s="118" t="e">
        <f t="shared" ca="1" si="31"/>
        <v>#REF!</v>
      </c>
      <c r="M150" s="118" t="e">
        <f t="shared" ca="1" si="32"/>
        <v>#REF!</v>
      </c>
    </row>
    <row r="151" spans="1:13" x14ac:dyDescent="0.25">
      <c r="A151" s="119">
        <v>44604</v>
      </c>
      <c r="B151" s="119">
        <v>44604</v>
      </c>
      <c r="C151" s="118" t="e">
        <f t="shared" ca="1" si="22"/>
        <v>#REF!</v>
      </c>
      <c r="D151" s="118" t="e">
        <f t="shared" ca="1" si="23"/>
        <v>#REF!</v>
      </c>
      <c r="E151" s="118" t="e">
        <f t="shared" ca="1" si="24"/>
        <v>#REF!</v>
      </c>
      <c r="F151" s="118" t="e">
        <f t="shared" ca="1" si="25"/>
        <v>#REF!</v>
      </c>
      <c r="G151" s="118" t="e">
        <f t="shared" ca="1" si="26"/>
        <v>#REF!</v>
      </c>
      <c r="H151" s="118" t="e">
        <f t="shared" ca="1" si="27"/>
        <v>#REF!</v>
      </c>
      <c r="I151" s="118" t="e">
        <f t="shared" ca="1" si="28"/>
        <v>#REF!</v>
      </c>
      <c r="J151" s="118" t="e">
        <f t="shared" ca="1" si="29"/>
        <v>#REF!</v>
      </c>
      <c r="K151" s="118" t="e">
        <f t="shared" ca="1" si="30"/>
        <v>#REF!</v>
      </c>
      <c r="L151" s="118" t="e">
        <f t="shared" ca="1" si="31"/>
        <v>#REF!</v>
      </c>
      <c r="M151" s="118" t="e">
        <f t="shared" ca="1" si="32"/>
        <v>#REF!</v>
      </c>
    </row>
    <row r="152" spans="1:13" x14ac:dyDescent="0.25">
      <c r="A152" s="119">
        <v>44605</v>
      </c>
      <c r="B152" s="119">
        <v>44605</v>
      </c>
      <c r="C152" s="118" t="e">
        <f t="shared" ca="1" si="22"/>
        <v>#REF!</v>
      </c>
      <c r="D152" s="118" t="e">
        <f t="shared" ca="1" si="23"/>
        <v>#REF!</v>
      </c>
      <c r="E152" s="118" t="e">
        <f t="shared" ca="1" si="24"/>
        <v>#REF!</v>
      </c>
      <c r="F152" s="118" t="e">
        <f t="shared" ca="1" si="25"/>
        <v>#REF!</v>
      </c>
      <c r="G152" s="118" t="e">
        <f t="shared" ca="1" si="26"/>
        <v>#REF!</v>
      </c>
      <c r="H152" s="118" t="e">
        <f t="shared" ca="1" si="27"/>
        <v>#REF!</v>
      </c>
      <c r="I152" s="118" t="e">
        <f t="shared" ca="1" si="28"/>
        <v>#REF!</v>
      </c>
      <c r="J152" s="118" t="e">
        <f t="shared" ca="1" si="29"/>
        <v>#REF!</v>
      </c>
      <c r="K152" s="118" t="e">
        <f t="shared" ca="1" si="30"/>
        <v>#REF!</v>
      </c>
      <c r="L152" s="118" t="e">
        <f t="shared" ca="1" si="31"/>
        <v>#REF!</v>
      </c>
      <c r="M152" s="118" t="e">
        <f t="shared" ca="1" si="32"/>
        <v>#REF!</v>
      </c>
    </row>
    <row r="153" spans="1:13" x14ac:dyDescent="0.25">
      <c r="A153" s="119" t="s">
        <v>179</v>
      </c>
      <c r="B153" s="119">
        <v>44606</v>
      </c>
      <c r="C153" s="118" t="e">
        <f t="shared" ca="1" si="22"/>
        <v>#REF!</v>
      </c>
      <c r="D153" s="118" t="e">
        <f t="shared" ca="1" si="23"/>
        <v>#REF!</v>
      </c>
      <c r="E153" s="118" t="e">
        <f t="shared" ca="1" si="24"/>
        <v>#REF!</v>
      </c>
      <c r="F153" s="118" t="e">
        <f t="shared" ca="1" si="25"/>
        <v>#REF!</v>
      </c>
      <c r="G153" s="118" t="e">
        <f t="shared" ca="1" si="26"/>
        <v>#REF!</v>
      </c>
      <c r="H153" s="118" t="e">
        <f t="shared" ca="1" si="27"/>
        <v>#REF!</v>
      </c>
      <c r="I153" s="118" t="e">
        <f t="shared" ca="1" si="28"/>
        <v>#REF!</v>
      </c>
      <c r="J153" s="118" t="e">
        <f t="shared" ca="1" si="29"/>
        <v>#REF!</v>
      </c>
      <c r="K153" s="118" t="e">
        <f t="shared" ca="1" si="30"/>
        <v>#REF!</v>
      </c>
      <c r="L153" s="118" t="e">
        <f t="shared" ca="1" si="31"/>
        <v>#REF!</v>
      </c>
      <c r="M153" s="118" t="e">
        <f t="shared" ca="1" si="32"/>
        <v>#REF!</v>
      </c>
    </row>
    <row r="154" spans="1:13" x14ac:dyDescent="0.25">
      <c r="A154" s="119">
        <v>44607</v>
      </c>
      <c r="B154" s="119">
        <v>44607</v>
      </c>
      <c r="C154" s="118" t="e">
        <f t="shared" ca="1" si="22"/>
        <v>#REF!</v>
      </c>
      <c r="D154" s="118" t="e">
        <f t="shared" ca="1" si="23"/>
        <v>#REF!</v>
      </c>
      <c r="E154" s="118" t="e">
        <f t="shared" ca="1" si="24"/>
        <v>#REF!</v>
      </c>
      <c r="F154" s="118" t="e">
        <f t="shared" ca="1" si="25"/>
        <v>#REF!</v>
      </c>
      <c r="G154" s="118" t="e">
        <f t="shared" ca="1" si="26"/>
        <v>#REF!</v>
      </c>
      <c r="H154" s="118" t="e">
        <f t="shared" ca="1" si="27"/>
        <v>#REF!</v>
      </c>
      <c r="I154" s="118" t="e">
        <f t="shared" ca="1" si="28"/>
        <v>#REF!</v>
      </c>
      <c r="J154" s="118" t="e">
        <f t="shared" ca="1" si="29"/>
        <v>#REF!</v>
      </c>
      <c r="K154" s="118" t="e">
        <f t="shared" ca="1" si="30"/>
        <v>#REF!</v>
      </c>
      <c r="L154" s="118" t="e">
        <f t="shared" ca="1" si="31"/>
        <v>#REF!</v>
      </c>
      <c r="M154" s="118" t="e">
        <f t="shared" ca="1" si="32"/>
        <v>#REF!</v>
      </c>
    </row>
    <row r="155" spans="1:13" x14ac:dyDescent="0.25">
      <c r="A155" s="119">
        <v>44608</v>
      </c>
      <c r="B155" s="119">
        <v>44608</v>
      </c>
      <c r="C155" s="118" t="e">
        <f t="shared" ca="1" si="22"/>
        <v>#REF!</v>
      </c>
      <c r="D155" s="118" t="e">
        <f t="shared" ca="1" si="23"/>
        <v>#REF!</v>
      </c>
      <c r="E155" s="118" t="e">
        <f t="shared" ca="1" si="24"/>
        <v>#REF!</v>
      </c>
      <c r="F155" s="118" t="e">
        <f t="shared" ca="1" si="25"/>
        <v>#REF!</v>
      </c>
      <c r="G155" s="118" t="e">
        <f t="shared" ca="1" si="26"/>
        <v>#REF!</v>
      </c>
      <c r="H155" s="118" t="e">
        <f t="shared" ca="1" si="27"/>
        <v>#REF!</v>
      </c>
      <c r="I155" s="118" t="e">
        <f t="shared" ca="1" si="28"/>
        <v>#REF!</v>
      </c>
      <c r="J155" s="118" t="e">
        <f t="shared" ca="1" si="29"/>
        <v>#REF!</v>
      </c>
      <c r="K155" s="118" t="e">
        <f t="shared" ca="1" si="30"/>
        <v>#REF!</v>
      </c>
      <c r="L155" s="118" t="e">
        <f t="shared" ca="1" si="31"/>
        <v>#REF!</v>
      </c>
      <c r="M155" s="118" t="e">
        <f t="shared" ca="1" si="32"/>
        <v>#REF!</v>
      </c>
    </row>
    <row r="156" spans="1:13" x14ac:dyDescent="0.25">
      <c r="A156" s="119">
        <v>44609</v>
      </c>
      <c r="B156" s="119">
        <v>44609</v>
      </c>
      <c r="C156" s="118" t="e">
        <f t="shared" ca="1" si="22"/>
        <v>#REF!</v>
      </c>
      <c r="D156" s="118" t="e">
        <f t="shared" ca="1" si="23"/>
        <v>#REF!</v>
      </c>
      <c r="E156" s="118" t="e">
        <f t="shared" ca="1" si="24"/>
        <v>#REF!</v>
      </c>
      <c r="F156" s="118" t="e">
        <f t="shared" ca="1" si="25"/>
        <v>#REF!</v>
      </c>
      <c r="G156" s="118" t="e">
        <f t="shared" ca="1" si="26"/>
        <v>#REF!</v>
      </c>
      <c r="H156" s="118" t="e">
        <f t="shared" ca="1" si="27"/>
        <v>#REF!</v>
      </c>
      <c r="I156" s="118" t="e">
        <f t="shared" ca="1" si="28"/>
        <v>#REF!</v>
      </c>
      <c r="J156" s="118" t="e">
        <f t="shared" ca="1" si="29"/>
        <v>#REF!</v>
      </c>
      <c r="K156" s="118" t="e">
        <f t="shared" ca="1" si="30"/>
        <v>#REF!</v>
      </c>
      <c r="L156" s="118" t="e">
        <f t="shared" ca="1" si="31"/>
        <v>#REF!</v>
      </c>
      <c r="M156" s="118" t="e">
        <f t="shared" ca="1" si="32"/>
        <v>#REF!</v>
      </c>
    </row>
    <row r="157" spans="1:13" x14ac:dyDescent="0.25">
      <c r="A157" s="119">
        <v>44610</v>
      </c>
      <c r="B157" s="119">
        <v>44610</v>
      </c>
      <c r="C157" s="118" t="e">
        <f t="shared" ca="1" si="22"/>
        <v>#REF!</v>
      </c>
      <c r="D157" s="118" t="e">
        <f t="shared" ca="1" si="23"/>
        <v>#REF!</v>
      </c>
      <c r="E157" s="118" t="e">
        <f t="shared" ca="1" si="24"/>
        <v>#REF!</v>
      </c>
      <c r="F157" s="118" t="e">
        <f t="shared" ca="1" si="25"/>
        <v>#REF!</v>
      </c>
      <c r="G157" s="118" t="e">
        <f t="shared" ca="1" si="26"/>
        <v>#REF!</v>
      </c>
      <c r="H157" s="118" t="e">
        <f t="shared" ca="1" si="27"/>
        <v>#REF!</v>
      </c>
      <c r="I157" s="118" t="e">
        <f t="shared" ca="1" si="28"/>
        <v>#REF!</v>
      </c>
      <c r="J157" s="118" t="e">
        <f t="shared" ca="1" si="29"/>
        <v>#REF!</v>
      </c>
      <c r="K157" s="118" t="e">
        <f t="shared" ca="1" si="30"/>
        <v>#REF!</v>
      </c>
      <c r="L157" s="118" t="e">
        <f t="shared" ca="1" si="31"/>
        <v>#REF!</v>
      </c>
      <c r="M157" s="118" t="e">
        <f t="shared" ca="1" si="32"/>
        <v>#REF!</v>
      </c>
    </row>
    <row r="158" spans="1:13" x14ac:dyDescent="0.25">
      <c r="A158" s="119">
        <v>44611</v>
      </c>
      <c r="B158" s="119">
        <v>44611</v>
      </c>
      <c r="C158" s="118" t="e">
        <f t="shared" ca="1" si="22"/>
        <v>#REF!</v>
      </c>
      <c r="D158" s="118" t="e">
        <f t="shared" ca="1" si="23"/>
        <v>#REF!</v>
      </c>
      <c r="E158" s="118" t="e">
        <f t="shared" ca="1" si="24"/>
        <v>#REF!</v>
      </c>
      <c r="F158" s="118" t="e">
        <f t="shared" ca="1" si="25"/>
        <v>#REF!</v>
      </c>
      <c r="G158" s="118" t="e">
        <f t="shared" ca="1" si="26"/>
        <v>#REF!</v>
      </c>
      <c r="H158" s="118" t="e">
        <f t="shared" ca="1" si="27"/>
        <v>#REF!</v>
      </c>
      <c r="I158" s="118" t="e">
        <f t="shared" ca="1" si="28"/>
        <v>#REF!</v>
      </c>
      <c r="J158" s="118" t="e">
        <f t="shared" ca="1" si="29"/>
        <v>#REF!</v>
      </c>
      <c r="K158" s="118" t="e">
        <f t="shared" ca="1" si="30"/>
        <v>#REF!</v>
      </c>
      <c r="L158" s="118" t="e">
        <f t="shared" ca="1" si="31"/>
        <v>#REF!</v>
      </c>
      <c r="M158" s="118" t="e">
        <f t="shared" ca="1" si="32"/>
        <v>#REF!</v>
      </c>
    </row>
    <row r="159" spans="1:13" x14ac:dyDescent="0.25">
      <c r="A159" s="119">
        <v>44612</v>
      </c>
      <c r="B159" s="119">
        <v>44612</v>
      </c>
      <c r="C159" s="118" t="e">
        <f t="shared" ca="1" si="22"/>
        <v>#REF!</v>
      </c>
      <c r="D159" s="118" t="e">
        <f t="shared" ca="1" si="23"/>
        <v>#REF!</v>
      </c>
      <c r="E159" s="118" t="e">
        <f t="shared" ca="1" si="24"/>
        <v>#REF!</v>
      </c>
      <c r="F159" s="118" t="e">
        <f t="shared" ca="1" si="25"/>
        <v>#REF!</v>
      </c>
      <c r="G159" s="118" t="e">
        <f t="shared" ca="1" si="26"/>
        <v>#REF!</v>
      </c>
      <c r="H159" s="118" t="e">
        <f t="shared" ca="1" si="27"/>
        <v>#REF!</v>
      </c>
      <c r="I159" s="118" t="e">
        <f t="shared" ca="1" si="28"/>
        <v>#REF!</v>
      </c>
      <c r="J159" s="118" t="e">
        <f t="shared" ca="1" si="29"/>
        <v>#REF!</v>
      </c>
      <c r="K159" s="118" t="e">
        <f t="shared" ca="1" si="30"/>
        <v>#REF!</v>
      </c>
      <c r="L159" s="118" t="e">
        <f t="shared" ca="1" si="31"/>
        <v>#REF!</v>
      </c>
      <c r="M159" s="118" t="e">
        <f t="shared" ca="1" si="32"/>
        <v>#REF!</v>
      </c>
    </row>
    <row r="160" spans="1:13" x14ac:dyDescent="0.25">
      <c r="A160" s="119">
        <v>44613</v>
      </c>
      <c r="B160" s="119">
        <v>44613</v>
      </c>
      <c r="C160" s="118" t="e">
        <f t="shared" ca="1" si="22"/>
        <v>#REF!</v>
      </c>
      <c r="D160" s="118" t="e">
        <f t="shared" ca="1" si="23"/>
        <v>#REF!</v>
      </c>
      <c r="E160" s="118" t="e">
        <f t="shared" ca="1" si="24"/>
        <v>#REF!</v>
      </c>
      <c r="F160" s="118" t="e">
        <f t="shared" ca="1" si="25"/>
        <v>#REF!</v>
      </c>
      <c r="G160" s="118" t="e">
        <f t="shared" ca="1" si="26"/>
        <v>#REF!</v>
      </c>
      <c r="H160" s="118" t="e">
        <f t="shared" ca="1" si="27"/>
        <v>#REF!</v>
      </c>
      <c r="I160" s="118" t="e">
        <f t="shared" ca="1" si="28"/>
        <v>#REF!</v>
      </c>
      <c r="J160" s="118" t="e">
        <f t="shared" ca="1" si="29"/>
        <v>#REF!</v>
      </c>
      <c r="K160" s="118" t="e">
        <f t="shared" ca="1" si="30"/>
        <v>#REF!</v>
      </c>
      <c r="L160" s="118" t="e">
        <f t="shared" ca="1" si="31"/>
        <v>#REF!</v>
      </c>
      <c r="M160" s="118" t="e">
        <f t="shared" ca="1" si="32"/>
        <v>#REF!</v>
      </c>
    </row>
    <row r="161" spans="1:13" x14ac:dyDescent="0.25">
      <c r="A161" s="119">
        <v>44614</v>
      </c>
      <c r="B161" s="119">
        <v>44614</v>
      </c>
      <c r="C161" s="118" t="e">
        <f t="shared" ca="1" si="22"/>
        <v>#REF!</v>
      </c>
      <c r="D161" s="118" t="e">
        <f t="shared" ca="1" si="23"/>
        <v>#REF!</v>
      </c>
      <c r="E161" s="118" t="e">
        <f t="shared" ca="1" si="24"/>
        <v>#REF!</v>
      </c>
      <c r="F161" s="118" t="e">
        <f t="shared" ca="1" si="25"/>
        <v>#REF!</v>
      </c>
      <c r="G161" s="118" t="e">
        <f t="shared" ca="1" si="26"/>
        <v>#REF!</v>
      </c>
      <c r="H161" s="118" t="e">
        <f t="shared" ca="1" si="27"/>
        <v>#REF!</v>
      </c>
      <c r="I161" s="118" t="e">
        <f t="shared" ca="1" si="28"/>
        <v>#REF!</v>
      </c>
      <c r="J161" s="118" t="e">
        <f t="shared" ca="1" si="29"/>
        <v>#REF!</v>
      </c>
      <c r="K161" s="118" t="e">
        <f t="shared" ca="1" si="30"/>
        <v>#REF!</v>
      </c>
      <c r="L161" s="118" t="e">
        <f t="shared" ca="1" si="31"/>
        <v>#REF!</v>
      </c>
      <c r="M161" s="118" t="e">
        <f t="shared" ca="1" si="32"/>
        <v>#REF!</v>
      </c>
    </row>
    <row r="162" spans="1:13" x14ac:dyDescent="0.25">
      <c r="A162" s="119">
        <v>44615</v>
      </c>
      <c r="B162" s="119">
        <v>44615</v>
      </c>
      <c r="C162" s="118" t="e">
        <f t="shared" ca="1" si="22"/>
        <v>#REF!</v>
      </c>
      <c r="D162" s="118" t="e">
        <f t="shared" ca="1" si="23"/>
        <v>#REF!</v>
      </c>
      <c r="E162" s="118" t="e">
        <f t="shared" ca="1" si="24"/>
        <v>#REF!</v>
      </c>
      <c r="F162" s="118" t="e">
        <f t="shared" ca="1" si="25"/>
        <v>#REF!</v>
      </c>
      <c r="G162" s="118" t="e">
        <f t="shared" ca="1" si="26"/>
        <v>#REF!</v>
      </c>
      <c r="H162" s="118" t="e">
        <f t="shared" ca="1" si="27"/>
        <v>#REF!</v>
      </c>
      <c r="I162" s="118" t="e">
        <f t="shared" ca="1" si="28"/>
        <v>#REF!</v>
      </c>
      <c r="J162" s="118" t="e">
        <f t="shared" ca="1" si="29"/>
        <v>#REF!</v>
      </c>
      <c r="K162" s="118" t="e">
        <f t="shared" ca="1" si="30"/>
        <v>#REF!</v>
      </c>
      <c r="L162" s="118" t="e">
        <f t="shared" ca="1" si="31"/>
        <v>#REF!</v>
      </c>
      <c r="M162" s="118" t="e">
        <f t="shared" ca="1" si="32"/>
        <v>#REF!</v>
      </c>
    </row>
    <row r="163" spans="1:13" x14ac:dyDescent="0.25">
      <c r="A163" s="119">
        <v>44616</v>
      </c>
      <c r="B163" s="119">
        <v>44616</v>
      </c>
      <c r="C163" s="118" t="e">
        <f t="shared" ca="1" si="22"/>
        <v>#REF!</v>
      </c>
      <c r="D163" s="118" t="e">
        <f t="shared" ca="1" si="23"/>
        <v>#REF!</v>
      </c>
      <c r="E163" s="118" t="e">
        <f t="shared" ca="1" si="24"/>
        <v>#REF!</v>
      </c>
      <c r="F163" s="118" t="e">
        <f t="shared" ca="1" si="25"/>
        <v>#REF!</v>
      </c>
      <c r="G163" s="118" t="e">
        <f t="shared" ca="1" si="26"/>
        <v>#REF!</v>
      </c>
      <c r="H163" s="118" t="e">
        <f t="shared" ca="1" si="27"/>
        <v>#REF!</v>
      </c>
      <c r="I163" s="118" t="e">
        <f t="shared" ca="1" si="28"/>
        <v>#REF!</v>
      </c>
      <c r="J163" s="118" t="e">
        <f t="shared" ca="1" si="29"/>
        <v>#REF!</v>
      </c>
      <c r="K163" s="118" t="e">
        <f t="shared" ca="1" si="30"/>
        <v>#REF!</v>
      </c>
      <c r="L163" s="118" t="e">
        <f t="shared" ca="1" si="31"/>
        <v>#REF!</v>
      </c>
      <c r="M163" s="118" t="e">
        <f t="shared" ca="1" si="32"/>
        <v>#REF!</v>
      </c>
    </row>
    <row r="164" spans="1:13" x14ac:dyDescent="0.25">
      <c r="A164" s="119" t="s">
        <v>180</v>
      </c>
      <c r="B164" s="119">
        <v>44617</v>
      </c>
      <c r="C164" s="118" t="e">
        <f t="shared" ca="1" si="22"/>
        <v>#REF!</v>
      </c>
      <c r="D164" s="118" t="e">
        <f t="shared" ca="1" si="23"/>
        <v>#REF!</v>
      </c>
      <c r="E164" s="118" t="e">
        <f t="shared" ca="1" si="24"/>
        <v>#REF!</v>
      </c>
      <c r="F164" s="118" t="e">
        <f t="shared" ca="1" si="25"/>
        <v>#REF!</v>
      </c>
      <c r="G164" s="118" t="e">
        <f t="shared" ca="1" si="26"/>
        <v>#REF!</v>
      </c>
      <c r="H164" s="118" t="e">
        <f t="shared" ca="1" si="27"/>
        <v>#REF!</v>
      </c>
      <c r="I164" s="118" t="e">
        <f t="shared" ca="1" si="28"/>
        <v>#REF!</v>
      </c>
      <c r="J164" s="118" t="e">
        <f t="shared" ca="1" si="29"/>
        <v>#REF!</v>
      </c>
      <c r="K164" s="118" t="e">
        <f t="shared" ca="1" si="30"/>
        <v>#REF!</v>
      </c>
      <c r="L164" s="118" t="e">
        <f t="shared" ca="1" si="31"/>
        <v>#REF!</v>
      </c>
      <c r="M164" s="118" t="e">
        <f t="shared" ca="1" si="32"/>
        <v>#REF!</v>
      </c>
    </row>
    <row r="165" spans="1:13" x14ac:dyDescent="0.25">
      <c r="A165" s="119">
        <v>44618</v>
      </c>
      <c r="B165" s="119">
        <v>44618</v>
      </c>
      <c r="C165" s="118" t="e">
        <f t="shared" ca="1" si="22"/>
        <v>#REF!</v>
      </c>
      <c r="D165" s="118" t="e">
        <f t="shared" ca="1" si="23"/>
        <v>#REF!</v>
      </c>
      <c r="E165" s="118" t="e">
        <f t="shared" ca="1" si="24"/>
        <v>#REF!</v>
      </c>
      <c r="F165" s="118" t="e">
        <f t="shared" ca="1" si="25"/>
        <v>#REF!</v>
      </c>
      <c r="G165" s="118" t="e">
        <f t="shared" ca="1" si="26"/>
        <v>#REF!</v>
      </c>
      <c r="H165" s="118" t="e">
        <f t="shared" ca="1" si="27"/>
        <v>#REF!</v>
      </c>
      <c r="I165" s="118" t="e">
        <f t="shared" ca="1" si="28"/>
        <v>#REF!</v>
      </c>
      <c r="J165" s="118" t="e">
        <f t="shared" ca="1" si="29"/>
        <v>#REF!</v>
      </c>
      <c r="K165" s="118" t="e">
        <f t="shared" ca="1" si="30"/>
        <v>#REF!</v>
      </c>
      <c r="L165" s="118" t="e">
        <f t="shared" ca="1" si="31"/>
        <v>#REF!</v>
      </c>
      <c r="M165" s="118" t="e">
        <f t="shared" ca="1" si="32"/>
        <v>#REF!</v>
      </c>
    </row>
    <row r="166" spans="1:13" x14ac:dyDescent="0.25">
      <c r="A166" s="119">
        <v>44619</v>
      </c>
      <c r="B166" s="119">
        <v>44619</v>
      </c>
      <c r="C166" s="118" t="e">
        <f t="shared" ca="1" si="22"/>
        <v>#REF!</v>
      </c>
      <c r="D166" s="118" t="e">
        <f t="shared" ca="1" si="23"/>
        <v>#REF!</v>
      </c>
      <c r="E166" s="118" t="e">
        <f t="shared" ca="1" si="24"/>
        <v>#REF!</v>
      </c>
      <c r="F166" s="118" t="e">
        <f t="shared" ca="1" si="25"/>
        <v>#REF!</v>
      </c>
      <c r="G166" s="118" t="e">
        <f t="shared" ca="1" si="26"/>
        <v>#REF!</v>
      </c>
      <c r="H166" s="118" t="e">
        <f t="shared" ca="1" si="27"/>
        <v>#REF!</v>
      </c>
      <c r="I166" s="118" t="e">
        <f t="shared" ca="1" si="28"/>
        <v>#REF!</v>
      </c>
      <c r="J166" s="118" t="e">
        <f t="shared" ca="1" si="29"/>
        <v>#REF!</v>
      </c>
      <c r="K166" s="118" t="e">
        <f t="shared" ca="1" si="30"/>
        <v>#REF!</v>
      </c>
      <c r="L166" s="118" t="e">
        <f t="shared" ca="1" si="31"/>
        <v>#REF!</v>
      </c>
      <c r="M166" s="118" t="e">
        <f t="shared" ca="1" si="32"/>
        <v>#REF!</v>
      </c>
    </row>
    <row r="167" spans="1:13" x14ac:dyDescent="0.25">
      <c r="A167" s="119" t="s">
        <v>181</v>
      </c>
      <c r="B167" s="119">
        <v>44620</v>
      </c>
      <c r="C167" s="118" t="e">
        <f t="shared" ca="1" si="22"/>
        <v>#REF!</v>
      </c>
      <c r="D167" s="118" t="e">
        <f t="shared" ca="1" si="23"/>
        <v>#REF!</v>
      </c>
      <c r="E167" s="118" t="e">
        <f t="shared" ca="1" si="24"/>
        <v>#REF!</v>
      </c>
      <c r="F167" s="118" t="e">
        <f t="shared" ca="1" si="25"/>
        <v>#REF!</v>
      </c>
      <c r="G167" s="118" t="e">
        <f t="shared" ca="1" si="26"/>
        <v>#REF!</v>
      </c>
      <c r="H167" s="118" t="e">
        <f t="shared" ca="1" si="27"/>
        <v>#REF!</v>
      </c>
      <c r="I167" s="118" t="e">
        <f t="shared" ca="1" si="28"/>
        <v>#REF!</v>
      </c>
      <c r="J167" s="118" t="e">
        <f t="shared" ca="1" si="29"/>
        <v>#REF!</v>
      </c>
      <c r="K167" s="118" t="e">
        <f t="shared" ca="1" si="30"/>
        <v>#REF!</v>
      </c>
      <c r="L167" s="118" t="e">
        <f t="shared" ca="1" si="31"/>
        <v>#REF!</v>
      </c>
      <c r="M167" s="118" t="e">
        <f t="shared" ca="1" si="32"/>
        <v>#REF!</v>
      </c>
    </row>
    <row r="168" spans="1:13" x14ac:dyDescent="0.25">
      <c r="A168" s="119">
        <v>44621</v>
      </c>
      <c r="B168" s="119">
        <v>44621</v>
      </c>
      <c r="C168" s="118" t="e">
        <f t="shared" ca="1" si="22"/>
        <v>#REF!</v>
      </c>
      <c r="D168" s="118" t="e">
        <f t="shared" ca="1" si="23"/>
        <v>#REF!</v>
      </c>
      <c r="E168" s="118" t="e">
        <f t="shared" ca="1" si="24"/>
        <v>#REF!</v>
      </c>
      <c r="F168" s="118" t="e">
        <f t="shared" ca="1" si="25"/>
        <v>#REF!</v>
      </c>
      <c r="G168" s="118" t="e">
        <f t="shared" ca="1" si="26"/>
        <v>#REF!</v>
      </c>
      <c r="H168" s="118" t="e">
        <f t="shared" ca="1" si="27"/>
        <v>#REF!</v>
      </c>
      <c r="I168" s="118" t="e">
        <f t="shared" ca="1" si="28"/>
        <v>#REF!</v>
      </c>
      <c r="J168" s="118" t="e">
        <f t="shared" ca="1" si="29"/>
        <v>#REF!</v>
      </c>
      <c r="K168" s="118" t="e">
        <f t="shared" ca="1" si="30"/>
        <v>#REF!</v>
      </c>
      <c r="L168" s="118" t="e">
        <f t="shared" ca="1" si="31"/>
        <v>#REF!</v>
      </c>
      <c r="M168" s="118" t="e">
        <f t="shared" ca="1" si="32"/>
        <v>#REF!</v>
      </c>
    </row>
    <row r="169" spans="1:13" x14ac:dyDescent="0.25">
      <c r="A169" s="119">
        <v>44622</v>
      </c>
      <c r="B169" s="119">
        <v>44622</v>
      </c>
      <c r="C169" s="118" t="e">
        <f t="shared" ca="1" si="22"/>
        <v>#REF!</v>
      </c>
      <c r="D169" s="118" t="e">
        <f t="shared" ca="1" si="23"/>
        <v>#REF!</v>
      </c>
      <c r="E169" s="118" t="e">
        <f t="shared" ca="1" si="24"/>
        <v>#REF!</v>
      </c>
      <c r="F169" s="118" t="e">
        <f t="shared" ca="1" si="25"/>
        <v>#REF!</v>
      </c>
      <c r="G169" s="118" t="e">
        <f t="shared" ca="1" si="26"/>
        <v>#REF!</v>
      </c>
      <c r="H169" s="118" t="e">
        <f t="shared" ca="1" si="27"/>
        <v>#REF!</v>
      </c>
      <c r="I169" s="118" t="e">
        <f t="shared" ca="1" si="28"/>
        <v>#REF!</v>
      </c>
      <c r="J169" s="118" t="e">
        <f t="shared" ca="1" si="29"/>
        <v>#REF!</v>
      </c>
      <c r="K169" s="118" t="e">
        <f t="shared" ca="1" si="30"/>
        <v>#REF!</v>
      </c>
      <c r="L169" s="118" t="e">
        <f t="shared" ca="1" si="31"/>
        <v>#REF!</v>
      </c>
      <c r="M169" s="118" t="e">
        <f t="shared" ca="1" si="32"/>
        <v>#REF!</v>
      </c>
    </row>
    <row r="170" spans="1:13" x14ac:dyDescent="0.25">
      <c r="A170" s="119">
        <v>44623</v>
      </c>
      <c r="B170" s="119">
        <v>44623</v>
      </c>
      <c r="C170" s="118" t="e">
        <f t="shared" ca="1" si="22"/>
        <v>#REF!</v>
      </c>
      <c r="D170" s="118" t="e">
        <f t="shared" ca="1" si="23"/>
        <v>#REF!</v>
      </c>
      <c r="E170" s="118" t="e">
        <f t="shared" ca="1" si="24"/>
        <v>#REF!</v>
      </c>
      <c r="F170" s="118" t="e">
        <f t="shared" ca="1" si="25"/>
        <v>#REF!</v>
      </c>
      <c r="G170" s="118" t="e">
        <f t="shared" ca="1" si="26"/>
        <v>#REF!</v>
      </c>
      <c r="H170" s="118" t="e">
        <f t="shared" ca="1" si="27"/>
        <v>#REF!</v>
      </c>
      <c r="I170" s="118" t="e">
        <f t="shared" ca="1" si="28"/>
        <v>#REF!</v>
      </c>
      <c r="J170" s="118" t="e">
        <f t="shared" ca="1" si="29"/>
        <v>#REF!</v>
      </c>
      <c r="K170" s="118" t="e">
        <f t="shared" ca="1" si="30"/>
        <v>#REF!</v>
      </c>
      <c r="L170" s="118" t="e">
        <f t="shared" ca="1" si="31"/>
        <v>#REF!</v>
      </c>
      <c r="M170" s="118" t="e">
        <f t="shared" ca="1" si="32"/>
        <v>#REF!</v>
      </c>
    </row>
    <row r="171" spans="1:13" x14ac:dyDescent="0.25">
      <c r="A171" s="119">
        <v>44624</v>
      </c>
      <c r="B171" s="119">
        <v>44624</v>
      </c>
      <c r="C171" s="118" t="e">
        <f t="shared" ca="1" si="22"/>
        <v>#REF!</v>
      </c>
      <c r="D171" s="118" t="e">
        <f t="shared" ca="1" si="23"/>
        <v>#REF!</v>
      </c>
      <c r="E171" s="118" t="e">
        <f t="shared" ca="1" si="24"/>
        <v>#REF!</v>
      </c>
      <c r="F171" s="118" t="e">
        <f t="shared" ca="1" si="25"/>
        <v>#REF!</v>
      </c>
      <c r="G171" s="118" t="e">
        <f t="shared" ca="1" si="26"/>
        <v>#REF!</v>
      </c>
      <c r="H171" s="118" t="e">
        <f t="shared" ca="1" si="27"/>
        <v>#REF!</v>
      </c>
      <c r="I171" s="118" t="e">
        <f t="shared" ca="1" si="28"/>
        <v>#REF!</v>
      </c>
      <c r="J171" s="118" t="e">
        <f t="shared" ca="1" si="29"/>
        <v>#REF!</v>
      </c>
      <c r="K171" s="118" t="e">
        <f t="shared" ca="1" si="30"/>
        <v>#REF!</v>
      </c>
      <c r="L171" s="118" t="e">
        <f t="shared" ca="1" si="31"/>
        <v>#REF!</v>
      </c>
      <c r="M171" s="118" t="e">
        <f t="shared" ca="1" si="32"/>
        <v>#REF!</v>
      </c>
    </row>
    <row r="172" spans="1:13" x14ac:dyDescent="0.25">
      <c r="A172" s="119">
        <v>44625</v>
      </c>
      <c r="B172" s="119">
        <v>44625</v>
      </c>
      <c r="C172" s="118" t="e">
        <f t="shared" ca="1" si="22"/>
        <v>#REF!</v>
      </c>
      <c r="D172" s="118" t="e">
        <f t="shared" ca="1" si="23"/>
        <v>#REF!</v>
      </c>
      <c r="E172" s="118" t="e">
        <f t="shared" ca="1" si="24"/>
        <v>#REF!</v>
      </c>
      <c r="F172" s="118" t="e">
        <f t="shared" ca="1" si="25"/>
        <v>#REF!</v>
      </c>
      <c r="G172" s="118" t="e">
        <f t="shared" ca="1" si="26"/>
        <v>#REF!</v>
      </c>
      <c r="H172" s="118" t="e">
        <f t="shared" ca="1" si="27"/>
        <v>#REF!</v>
      </c>
      <c r="I172" s="118" t="e">
        <f t="shared" ca="1" si="28"/>
        <v>#REF!</v>
      </c>
      <c r="J172" s="118" t="e">
        <f t="shared" ca="1" si="29"/>
        <v>#REF!</v>
      </c>
      <c r="K172" s="118" t="e">
        <f t="shared" ca="1" si="30"/>
        <v>#REF!</v>
      </c>
      <c r="L172" s="118" t="e">
        <f t="shared" ca="1" si="31"/>
        <v>#REF!</v>
      </c>
      <c r="M172" s="118" t="e">
        <f t="shared" ca="1" si="32"/>
        <v>#REF!</v>
      </c>
    </row>
    <row r="173" spans="1:13" x14ac:dyDescent="0.25">
      <c r="A173" s="119">
        <v>44626</v>
      </c>
      <c r="B173" s="119">
        <v>44626</v>
      </c>
      <c r="C173" s="118" t="e">
        <f t="shared" ca="1" si="22"/>
        <v>#REF!</v>
      </c>
      <c r="D173" s="118" t="e">
        <f t="shared" ca="1" si="23"/>
        <v>#REF!</v>
      </c>
      <c r="E173" s="118" t="e">
        <f t="shared" ca="1" si="24"/>
        <v>#REF!</v>
      </c>
      <c r="F173" s="118" t="e">
        <f t="shared" ca="1" si="25"/>
        <v>#REF!</v>
      </c>
      <c r="G173" s="118" t="e">
        <f t="shared" ca="1" si="26"/>
        <v>#REF!</v>
      </c>
      <c r="H173" s="118" t="e">
        <f t="shared" ca="1" si="27"/>
        <v>#REF!</v>
      </c>
      <c r="I173" s="118" t="e">
        <f t="shared" ca="1" si="28"/>
        <v>#REF!</v>
      </c>
      <c r="J173" s="118" t="e">
        <f t="shared" ca="1" si="29"/>
        <v>#REF!</v>
      </c>
      <c r="K173" s="118" t="e">
        <f t="shared" ca="1" si="30"/>
        <v>#REF!</v>
      </c>
      <c r="L173" s="118" t="e">
        <f t="shared" ca="1" si="31"/>
        <v>#REF!</v>
      </c>
      <c r="M173" s="118" t="e">
        <f t="shared" ca="1" si="32"/>
        <v>#REF!</v>
      </c>
    </row>
    <row r="174" spans="1:13" x14ac:dyDescent="0.25">
      <c r="A174" s="119" t="s">
        <v>182</v>
      </c>
      <c r="B174" s="119">
        <v>44627</v>
      </c>
      <c r="C174" s="118" t="e">
        <f t="shared" ca="1" si="22"/>
        <v>#REF!</v>
      </c>
      <c r="D174" s="118" t="e">
        <f t="shared" ca="1" si="23"/>
        <v>#REF!</v>
      </c>
      <c r="E174" s="118" t="e">
        <f t="shared" ca="1" si="24"/>
        <v>#REF!</v>
      </c>
      <c r="F174" s="118" t="e">
        <f t="shared" ca="1" si="25"/>
        <v>#REF!</v>
      </c>
      <c r="G174" s="118" t="e">
        <f t="shared" ca="1" si="26"/>
        <v>#REF!</v>
      </c>
      <c r="H174" s="118" t="e">
        <f t="shared" ca="1" si="27"/>
        <v>#REF!</v>
      </c>
      <c r="I174" s="118" t="e">
        <f t="shared" ca="1" si="28"/>
        <v>#REF!</v>
      </c>
      <c r="J174" s="118" t="e">
        <f t="shared" ca="1" si="29"/>
        <v>#REF!</v>
      </c>
      <c r="K174" s="118" t="e">
        <f t="shared" ca="1" si="30"/>
        <v>#REF!</v>
      </c>
      <c r="L174" s="118" t="e">
        <f t="shared" ca="1" si="31"/>
        <v>#REF!</v>
      </c>
      <c r="M174" s="118" t="e">
        <f t="shared" ca="1" si="32"/>
        <v>#REF!</v>
      </c>
    </row>
    <row r="175" spans="1:13" x14ac:dyDescent="0.25">
      <c r="A175" s="119">
        <v>44628</v>
      </c>
      <c r="B175" s="119">
        <v>44628</v>
      </c>
      <c r="C175" s="118" t="e">
        <f t="shared" ca="1" si="22"/>
        <v>#REF!</v>
      </c>
      <c r="D175" s="118" t="e">
        <f t="shared" ca="1" si="23"/>
        <v>#REF!</v>
      </c>
      <c r="E175" s="118" t="e">
        <f t="shared" ca="1" si="24"/>
        <v>#REF!</v>
      </c>
      <c r="F175" s="118" t="e">
        <f t="shared" ca="1" si="25"/>
        <v>#REF!</v>
      </c>
      <c r="G175" s="118" t="e">
        <f t="shared" ca="1" si="26"/>
        <v>#REF!</v>
      </c>
      <c r="H175" s="118" t="e">
        <f t="shared" ca="1" si="27"/>
        <v>#REF!</v>
      </c>
      <c r="I175" s="118" t="e">
        <f t="shared" ca="1" si="28"/>
        <v>#REF!</v>
      </c>
      <c r="J175" s="118" t="e">
        <f t="shared" ca="1" si="29"/>
        <v>#REF!</v>
      </c>
      <c r="K175" s="118" t="e">
        <f t="shared" ca="1" si="30"/>
        <v>#REF!</v>
      </c>
      <c r="L175" s="118" t="e">
        <f t="shared" ca="1" si="31"/>
        <v>#REF!</v>
      </c>
      <c r="M175" s="118" t="e">
        <f t="shared" ca="1" si="32"/>
        <v>#REF!</v>
      </c>
    </row>
    <row r="176" spans="1:13" x14ac:dyDescent="0.25">
      <c r="A176" s="119">
        <v>44629</v>
      </c>
      <c r="B176" s="119">
        <v>44629</v>
      </c>
      <c r="C176" s="118" t="e">
        <f t="shared" ca="1" si="22"/>
        <v>#REF!</v>
      </c>
      <c r="D176" s="118" t="e">
        <f t="shared" ca="1" si="23"/>
        <v>#REF!</v>
      </c>
      <c r="E176" s="118" t="e">
        <f t="shared" ca="1" si="24"/>
        <v>#REF!</v>
      </c>
      <c r="F176" s="118" t="e">
        <f t="shared" ca="1" si="25"/>
        <v>#REF!</v>
      </c>
      <c r="G176" s="118" t="e">
        <f t="shared" ca="1" si="26"/>
        <v>#REF!</v>
      </c>
      <c r="H176" s="118" t="e">
        <f t="shared" ca="1" si="27"/>
        <v>#REF!</v>
      </c>
      <c r="I176" s="118" t="e">
        <f t="shared" ca="1" si="28"/>
        <v>#REF!</v>
      </c>
      <c r="J176" s="118" t="e">
        <f t="shared" ca="1" si="29"/>
        <v>#REF!</v>
      </c>
      <c r="K176" s="118" t="e">
        <f t="shared" ca="1" si="30"/>
        <v>#REF!</v>
      </c>
      <c r="L176" s="118" t="e">
        <f t="shared" ca="1" si="31"/>
        <v>#REF!</v>
      </c>
      <c r="M176" s="118" t="e">
        <f t="shared" ca="1" si="32"/>
        <v>#REF!</v>
      </c>
    </row>
    <row r="177" spans="1:13" x14ac:dyDescent="0.25">
      <c r="A177" s="119">
        <v>44630</v>
      </c>
      <c r="B177" s="119">
        <v>44630</v>
      </c>
      <c r="C177" s="118" t="e">
        <f t="shared" ca="1" si="22"/>
        <v>#REF!</v>
      </c>
      <c r="D177" s="118" t="e">
        <f t="shared" ca="1" si="23"/>
        <v>#REF!</v>
      </c>
      <c r="E177" s="118" t="e">
        <f t="shared" ca="1" si="24"/>
        <v>#REF!</v>
      </c>
      <c r="F177" s="118" t="e">
        <f t="shared" ca="1" si="25"/>
        <v>#REF!</v>
      </c>
      <c r="G177" s="118" t="e">
        <f t="shared" ca="1" si="26"/>
        <v>#REF!</v>
      </c>
      <c r="H177" s="118" t="e">
        <f t="shared" ca="1" si="27"/>
        <v>#REF!</v>
      </c>
      <c r="I177" s="118" t="e">
        <f t="shared" ca="1" si="28"/>
        <v>#REF!</v>
      </c>
      <c r="J177" s="118" t="e">
        <f t="shared" ca="1" si="29"/>
        <v>#REF!</v>
      </c>
      <c r="K177" s="118" t="e">
        <f t="shared" ca="1" si="30"/>
        <v>#REF!</v>
      </c>
      <c r="L177" s="118" t="e">
        <f t="shared" ca="1" si="31"/>
        <v>#REF!</v>
      </c>
      <c r="M177" s="118" t="e">
        <f t="shared" ca="1" si="32"/>
        <v>#REF!</v>
      </c>
    </row>
    <row r="178" spans="1:13" x14ac:dyDescent="0.25">
      <c r="A178" s="119">
        <v>44631</v>
      </c>
      <c r="B178" s="119">
        <v>44631</v>
      </c>
      <c r="C178" s="118" t="e">
        <f t="shared" ca="1" si="22"/>
        <v>#REF!</v>
      </c>
      <c r="D178" s="118" t="e">
        <f t="shared" ca="1" si="23"/>
        <v>#REF!</v>
      </c>
      <c r="E178" s="118" t="e">
        <f t="shared" ca="1" si="24"/>
        <v>#REF!</v>
      </c>
      <c r="F178" s="118" t="e">
        <f t="shared" ca="1" si="25"/>
        <v>#REF!</v>
      </c>
      <c r="G178" s="118" t="e">
        <f t="shared" ca="1" si="26"/>
        <v>#REF!</v>
      </c>
      <c r="H178" s="118" t="e">
        <f t="shared" ca="1" si="27"/>
        <v>#REF!</v>
      </c>
      <c r="I178" s="118" t="e">
        <f t="shared" ca="1" si="28"/>
        <v>#REF!</v>
      </c>
      <c r="J178" s="118" t="e">
        <f t="shared" ca="1" si="29"/>
        <v>#REF!</v>
      </c>
      <c r="K178" s="118" t="e">
        <f t="shared" ca="1" si="30"/>
        <v>#REF!</v>
      </c>
      <c r="L178" s="118" t="e">
        <f t="shared" ca="1" si="31"/>
        <v>#REF!</v>
      </c>
      <c r="M178" s="118" t="e">
        <f t="shared" ca="1" si="32"/>
        <v>#REF!</v>
      </c>
    </row>
    <row r="179" spans="1:13" x14ac:dyDescent="0.25">
      <c r="A179" s="119">
        <v>44632</v>
      </c>
      <c r="B179" s="119">
        <v>44632</v>
      </c>
      <c r="C179" s="118" t="e">
        <f t="shared" ca="1" si="22"/>
        <v>#REF!</v>
      </c>
      <c r="D179" s="118" t="e">
        <f t="shared" ca="1" si="23"/>
        <v>#REF!</v>
      </c>
      <c r="E179" s="118" t="e">
        <f t="shared" ca="1" si="24"/>
        <v>#REF!</v>
      </c>
      <c r="F179" s="118" t="e">
        <f t="shared" ca="1" si="25"/>
        <v>#REF!</v>
      </c>
      <c r="G179" s="118" t="e">
        <f t="shared" ca="1" si="26"/>
        <v>#REF!</v>
      </c>
      <c r="H179" s="118" t="e">
        <f t="shared" ca="1" si="27"/>
        <v>#REF!</v>
      </c>
      <c r="I179" s="118" t="e">
        <f t="shared" ca="1" si="28"/>
        <v>#REF!</v>
      </c>
      <c r="J179" s="118" t="e">
        <f t="shared" ca="1" si="29"/>
        <v>#REF!</v>
      </c>
      <c r="K179" s="118" t="e">
        <f t="shared" ca="1" si="30"/>
        <v>#REF!</v>
      </c>
      <c r="L179" s="118" t="e">
        <f t="shared" ca="1" si="31"/>
        <v>#REF!</v>
      </c>
      <c r="M179" s="118" t="e">
        <f t="shared" ca="1" si="32"/>
        <v>#REF!</v>
      </c>
    </row>
    <row r="180" spans="1:13" x14ac:dyDescent="0.25">
      <c r="A180" s="119">
        <v>44633</v>
      </c>
      <c r="B180" s="119">
        <v>44633</v>
      </c>
      <c r="C180" s="118" t="e">
        <f t="shared" ca="1" si="22"/>
        <v>#REF!</v>
      </c>
      <c r="D180" s="118" t="e">
        <f t="shared" ca="1" si="23"/>
        <v>#REF!</v>
      </c>
      <c r="E180" s="118" t="e">
        <f t="shared" ca="1" si="24"/>
        <v>#REF!</v>
      </c>
      <c r="F180" s="118" t="e">
        <f t="shared" ca="1" si="25"/>
        <v>#REF!</v>
      </c>
      <c r="G180" s="118" t="e">
        <f t="shared" ca="1" si="26"/>
        <v>#REF!</v>
      </c>
      <c r="H180" s="118" t="e">
        <f t="shared" ca="1" si="27"/>
        <v>#REF!</v>
      </c>
      <c r="I180" s="118" t="e">
        <f t="shared" ca="1" si="28"/>
        <v>#REF!</v>
      </c>
      <c r="J180" s="118" t="e">
        <f t="shared" ca="1" si="29"/>
        <v>#REF!</v>
      </c>
      <c r="K180" s="118" t="e">
        <f t="shared" ca="1" si="30"/>
        <v>#REF!</v>
      </c>
      <c r="L180" s="118" t="e">
        <f t="shared" ca="1" si="31"/>
        <v>#REF!</v>
      </c>
      <c r="M180" s="118" t="e">
        <f t="shared" ca="1" si="32"/>
        <v>#REF!</v>
      </c>
    </row>
    <row r="181" spans="1:13" x14ac:dyDescent="0.25">
      <c r="A181" s="119" t="s">
        <v>183</v>
      </c>
      <c r="B181" s="119">
        <v>44634</v>
      </c>
      <c r="C181" s="118" t="e">
        <f t="shared" ca="1" si="22"/>
        <v>#REF!</v>
      </c>
      <c r="D181" s="118" t="e">
        <f t="shared" ca="1" si="23"/>
        <v>#REF!</v>
      </c>
      <c r="E181" s="118" t="e">
        <f t="shared" ca="1" si="24"/>
        <v>#REF!</v>
      </c>
      <c r="F181" s="118" t="e">
        <f t="shared" ca="1" si="25"/>
        <v>#REF!</v>
      </c>
      <c r="G181" s="118" t="e">
        <f t="shared" ca="1" si="26"/>
        <v>#REF!</v>
      </c>
      <c r="H181" s="118" t="e">
        <f t="shared" ca="1" si="27"/>
        <v>#REF!</v>
      </c>
      <c r="I181" s="118" t="e">
        <f t="shared" ca="1" si="28"/>
        <v>#REF!</v>
      </c>
      <c r="J181" s="118" t="e">
        <f t="shared" ca="1" si="29"/>
        <v>#REF!</v>
      </c>
      <c r="K181" s="118" t="e">
        <f t="shared" ca="1" si="30"/>
        <v>#REF!</v>
      </c>
      <c r="L181" s="118" t="e">
        <f t="shared" ca="1" si="31"/>
        <v>#REF!</v>
      </c>
      <c r="M181" s="118" t="e">
        <f t="shared" ca="1" si="32"/>
        <v>#REF!</v>
      </c>
    </row>
    <row r="182" spans="1:13" x14ac:dyDescent="0.25">
      <c r="A182" s="119">
        <v>44635</v>
      </c>
      <c r="B182" s="119">
        <v>44635</v>
      </c>
      <c r="C182" s="118" t="e">
        <f t="shared" ca="1" si="22"/>
        <v>#REF!</v>
      </c>
      <c r="D182" s="118" t="e">
        <f t="shared" ca="1" si="23"/>
        <v>#REF!</v>
      </c>
      <c r="E182" s="118" t="e">
        <f t="shared" ca="1" si="24"/>
        <v>#REF!</v>
      </c>
      <c r="F182" s="118" t="e">
        <f t="shared" ca="1" si="25"/>
        <v>#REF!</v>
      </c>
      <c r="G182" s="118" t="e">
        <f t="shared" ca="1" si="26"/>
        <v>#REF!</v>
      </c>
      <c r="H182" s="118" t="e">
        <f t="shared" ca="1" si="27"/>
        <v>#REF!</v>
      </c>
      <c r="I182" s="118" t="e">
        <f t="shared" ca="1" si="28"/>
        <v>#REF!</v>
      </c>
      <c r="J182" s="118" t="e">
        <f t="shared" ca="1" si="29"/>
        <v>#REF!</v>
      </c>
      <c r="K182" s="118" t="e">
        <f t="shared" ca="1" si="30"/>
        <v>#REF!</v>
      </c>
      <c r="L182" s="118" t="e">
        <f t="shared" ca="1" si="31"/>
        <v>#REF!</v>
      </c>
      <c r="M182" s="118" t="e">
        <f t="shared" ca="1" si="32"/>
        <v>#REF!</v>
      </c>
    </row>
    <row r="183" spans="1:13" x14ac:dyDescent="0.25">
      <c r="A183" s="119">
        <v>44636</v>
      </c>
      <c r="B183" s="119">
        <v>44636</v>
      </c>
      <c r="C183" s="118" t="e">
        <f t="shared" ca="1" si="22"/>
        <v>#REF!</v>
      </c>
      <c r="D183" s="118" t="e">
        <f t="shared" ca="1" si="23"/>
        <v>#REF!</v>
      </c>
      <c r="E183" s="118" t="e">
        <f t="shared" ca="1" si="24"/>
        <v>#REF!</v>
      </c>
      <c r="F183" s="118" t="e">
        <f t="shared" ca="1" si="25"/>
        <v>#REF!</v>
      </c>
      <c r="G183" s="118" t="e">
        <f t="shared" ca="1" si="26"/>
        <v>#REF!</v>
      </c>
      <c r="H183" s="118" t="e">
        <f t="shared" ca="1" si="27"/>
        <v>#REF!</v>
      </c>
      <c r="I183" s="118" t="e">
        <f t="shared" ca="1" si="28"/>
        <v>#REF!</v>
      </c>
      <c r="J183" s="118" t="e">
        <f t="shared" ca="1" si="29"/>
        <v>#REF!</v>
      </c>
      <c r="K183" s="118" t="e">
        <f t="shared" ca="1" si="30"/>
        <v>#REF!</v>
      </c>
      <c r="L183" s="118" t="e">
        <f t="shared" ca="1" si="31"/>
        <v>#REF!</v>
      </c>
      <c r="M183" s="118" t="e">
        <f t="shared" ca="1" si="32"/>
        <v>#REF!</v>
      </c>
    </row>
    <row r="184" spans="1:13" x14ac:dyDescent="0.25">
      <c r="A184" s="119">
        <v>44637</v>
      </c>
      <c r="B184" s="119">
        <v>44637</v>
      </c>
      <c r="C184" s="118" t="e">
        <f t="shared" ca="1" si="22"/>
        <v>#REF!</v>
      </c>
      <c r="D184" s="118" t="e">
        <f t="shared" ca="1" si="23"/>
        <v>#REF!</v>
      </c>
      <c r="E184" s="118" t="e">
        <f t="shared" ca="1" si="24"/>
        <v>#REF!</v>
      </c>
      <c r="F184" s="118" t="e">
        <f t="shared" ca="1" si="25"/>
        <v>#REF!</v>
      </c>
      <c r="G184" s="118" t="e">
        <f t="shared" ca="1" si="26"/>
        <v>#REF!</v>
      </c>
      <c r="H184" s="118" t="e">
        <f t="shared" ca="1" si="27"/>
        <v>#REF!</v>
      </c>
      <c r="I184" s="118" t="e">
        <f t="shared" ca="1" si="28"/>
        <v>#REF!</v>
      </c>
      <c r="J184" s="118" t="e">
        <f t="shared" ca="1" si="29"/>
        <v>#REF!</v>
      </c>
      <c r="K184" s="118" t="e">
        <f t="shared" ca="1" si="30"/>
        <v>#REF!</v>
      </c>
      <c r="L184" s="118" t="e">
        <f t="shared" ca="1" si="31"/>
        <v>#REF!</v>
      </c>
      <c r="M184" s="118" t="e">
        <f t="shared" ca="1" si="32"/>
        <v>#REF!</v>
      </c>
    </row>
    <row r="185" spans="1:13" x14ac:dyDescent="0.25">
      <c r="A185" s="119">
        <v>44638</v>
      </c>
      <c r="B185" s="119">
        <v>44638</v>
      </c>
      <c r="C185" s="118" t="e">
        <f t="shared" ca="1" si="22"/>
        <v>#REF!</v>
      </c>
      <c r="D185" s="118" t="e">
        <f t="shared" ca="1" si="23"/>
        <v>#REF!</v>
      </c>
      <c r="E185" s="118" t="e">
        <f t="shared" ca="1" si="24"/>
        <v>#REF!</v>
      </c>
      <c r="F185" s="118" t="e">
        <f t="shared" ca="1" si="25"/>
        <v>#REF!</v>
      </c>
      <c r="G185" s="118" t="e">
        <f t="shared" ca="1" si="26"/>
        <v>#REF!</v>
      </c>
      <c r="H185" s="118" t="e">
        <f t="shared" ca="1" si="27"/>
        <v>#REF!</v>
      </c>
      <c r="I185" s="118" t="e">
        <f t="shared" ca="1" si="28"/>
        <v>#REF!</v>
      </c>
      <c r="J185" s="118" t="e">
        <f t="shared" ca="1" si="29"/>
        <v>#REF!</v>
      </c>
      <c r="K185" s="118" t="e">
        <f t="shared" ca="1" si="30"/>
        <v>#REF!</v>
      </c>
      <c r="L185" s="118" t="e">
        <f t="shared" ca="1" si="31"/>
        <v>#REF!</v>
      </c>
      <c r="M185" s="118" t="e">
        <f t="shared" ca="1" si="32"/>
        <v>#REF!</v>
      </c>
    </row>
    <row r="186" spans="1:13" x14ac:dyDescent="0.25">
      <c r="A186" s="119">
        <v>44639</v>
      </c>
      <c r="B186" s="119">
        <v>44639</v>
      </c>
      <c r="C186" s="118" t="e">
        <f t="shared" ca="1" si="22"/>
        <v>#REF!</v>
      </c>
      <c r="D186" s="118" t="e">
        <f t="shared" ca="1" si="23"/>
        <v>#REF!</v>
      </c>
      <c r="E186" s="118" t="e">
        <f t="shared" ca="1" si="24"/>
        <v>#REF!</v>
      </c>
      <c r="F186" s="118" t="e">
        <f t="shared" ca="1" si="25"/>
        <v>#REF!</v>
      </c>
      <c r="G186" s="118" t="e">
        <f t="shared" ca="1" si="26"/>
        <v>#REF!</v>
      </c>
      <c r="H186" s="118" t="e">
        <f t="shared" ca="1" si="27"/>
        <v>#REF!</v>
      </c>
      <c r="I186" s="118" t="e">
        <f t="shared" ca="1" si="28"/>
        <v>#REF!</v>
      </c>
      <c r="J186" s="118" t="e">
        <f t="shared" ca="1" si="29"/>
        <v>#REF!</v>
      </c>
      <c r="K186" s="118" t="e">
        <f t="shared" ca="1" si="30"/>
        <v>#REF!</v>
      </c>
      <c r="L186" s="118" t="e">
        <f t="shared" ca="1" si="31"/>
        <v>#REF!</v>
      </c>
      <c r="M186" s="118" t="e">
        <f t="shared" ca="1" si="32"/>
        <v>#REF!</v>
      </c>
    </row>
    <row r="187" spans="1:13" x14ac:dyDescent="0.25">
      <c r="A187" s="119">
        <v>44640</v>
      </c>
      <c r="B187" s="119">
        <v>44640</v>
      </c>
      <c r="C187" s="118" t="e">
        <f t="shared" ca="1" si="22"/>
        <v>#REF!</v>
      </c>
      <c r="D187" s="118" t="e">
        <f t="shared" ca="1" si="23"/>
        <v>#REF!</v>
      </c>
      <c r="E187" s="118" t="e">
        <f t="shared" ca="1" si="24"/>
        <v>#REF!</v>
      </c>
      <c r="F187" s="118" t="e">
        <f t="shared" ca="1" si="25"/>
        <v>#REF!</v>
      </c>
      <c r="G187" s="118" t="e">
        <f t="shared" ca="1" si="26"/>
        <v>#REF!</v>
      </c>
      <c r="H187" s="118" t="e">
        <f t="shared" ca="1" si="27"/>
        <v>#REF!</v>
      </c>
      <c r="I187" s="118" t="e">
        <f t="shared" ca="1" si="28"/>
        <v>#REF!</v>
      </c>
      <c r="J187" s="118" t="e">
        <f t="shared" ca="1" si="29"/>
        <v>#REF!</v>
      </c>
      <c r="K187" s="118" t="e">
        <f t="shared" ca="1" si="30"/>
        <v>#REF!</v>
      </c>
      <c r="L187" s="118" t="e">
        <f t="shared" ca="1" si="31"/>
        <v>#REF!</v>
      </c>
      <c r="M187" s="118" t="e">
        <f t="shared" ca="1" si="32"/>
        <v>#REF!</v>
      </c>
    </row>
    <row r="188" spans="1:13" x14ac:dyDescent="0.25">
      <c r="A188" s="119">
        <v>44641</v>
      </c>
      <c r="B188" s="119">
        <v>44641</v>
      </c>
      <c r="C188" s="118" t="e">
        <f t="shared" ca="1" si="22"/>
        <v>#REF!</v>
      </c>
      <c r="D188" s="118" t="e">
        <f t="shared" ca="1" si="23"/>
        <v>#REF!</v>
      </c>
      <c r="E188" s="118" t="e">
        <f t="shared" ca="1" si="24"/>
        <v>#REF!</v>
      </c>
      <c r="F188" s="118" t="e">
        <f t="shared" ca="1" si="25"/>
        <v>#REF!</v>
      </c>
      <c r="G188" s="118" t="e">
        <f t="shared" ca="1" si="26"/>
        <v>#REF!</v>
      </c>
      <c r="H188" s="118" t="e">
        <f t="shared" ca="1" si="27"/>
        <v>#REF!</v>
      </c>
      <c r="I188" s="118" t="e">
        <f t="shared" ca="1" si="28"/>
        <v>#REF!</v>
      </c>
      <c r="J188" s="118" t="e">
        <f t="shared" ca="1" si="29"/>
        <v>#REF!</v>
      </c>
      <c r="K188" s="118" t="e">
        <f t="shared" ca="1" si="30"/>
        <v>#REF!</v>
      </c>
      <c r="L188" s="118" t="e">
        <f t="shared" ca="1" si="31"/>
        <v>#REF!</v>
      </c>
      <c r="M188" s="118" t="e">
        <f t="shared" ca="1" si="32"/>
        <v>#REF!</v>
      </c>
    </row>
    <row r="189" spans="1:13" x14ac:dyDescent="0.25">
      <c r="A189" s="119">
        <v>44642</v>
      </c>
      <c r="B189" s="119">
        <v>44642</v>
      </c>
      <c r="C189" s="118" t="e">
        <f t="shared" ca="1" si="22"/>
        <v>#REF!</v>
      </c>
      <c r="D189" s="118" t="e">
        <f t="shared" ca="1" si="23"/>
        <v>#REF!</v>
      </c>
      <c r="E189" s="118" t="e">
        <f t="shared" ca="1" si="24"/>
        <v>#REF!</v>
      </c>
      <c r="F189" s="118" t="e">
        <f t="shared" ca="1" si="25"/>
        <v>#REF!</v>
      </c>
      <c r="G189" s="118" t="e">
        <f t="shared" ca="1" si="26"/>
        <v>#REF!</v>
      </c>
      <c r="H189" s="118" t="e">
        <f t="shared" ca="1" si="27"/>
        <v>#REF!</v>
      </c>
      <c r="I189" s="118" t="e">
        <f t="shared" ca="1" si="28"/>
        <v>#REF!</v>
      </c>
      <c r="J189" s="118" t="e">
        <f t="shared" ca="1" si="29"/>
        <v>#REF!</v>
      </c>
      <c r="K189" s="118" t="e">
        <f t="shared" ca="1" si="30"/>
        <v>#REF!</v>
      </c>
      <c r="L189" s="118" t="e">
        <f t="shared" ca="1" si="31"/>
        <v>#REF!</v>
      </c>
      <c r="M189" s="118" t="e">
        <f t="shared" ca="1" si="32"/>
        <v>#REF!</v>
      </c>
    </row>
    <row r="190" spans="1:13" x14ac:dyDescent="0.25">
      <c r="A190" s="119">
        <v>44643</v>
      </c>
      <c r="B190" s="119">
        <v>44643</v>
      </c>
      <c r="C190" s="118" t="e">
        <f t="shared" ca="1" si="22"/>
        <v>#REF!</v>
      </c>
      <c r="D190" s="118" t="e">
        <f t="shared" ca="1" si="23"/>
        <v>#REF!</v>
      </c>
      <c r="E190" s="118" t="e">
        <f t="shared" ca="1" si="24"/>
        <v>#REF!</v>
      </c>
      <c r="F190" s="118" t="e">
        <f t="shared" ca="1" si="25"/>
        <v>#REF!</v>
      </c>
      <c r="G190" s="118" t="e">
        <f t="shared" ca="1" si="26"/>
        <v>#REF!</v>
      </c>
      <c r="H190" s="118" t="e">
        <f t="shared" ca="1" si="27"/>
        <v>#REF!</v>
      </c>
      <c r="I190" s="118" t="e">
        <f t="shared" ca="1" si="28"/>
        <v>#REF!</v>
      </c>
      <c r="J190" s="118" t="e">
        <f t="shared" ca="1" si="29"/>
        <v>#REF!</v>
      </c>
      <c r="K190" s="118" t="e">
        <f t="shared" ca="1" si="30"/>
        <v>#REF!</v>
      </c>
      <c r="L190" s="118" t="e">
        <f t="shared" ca="1" si="31"/>
        <v>#REF!</v>
      </c>
      <c r="M190" s="118" t="e">
        <f t="shared" ca="1" si="32"/>
        <v>#REF!</v>
      </c>
    </row>
    <row r="191" spans="1:13" x14ac:dyDescent="0.25">
      <c r="A191" s="119">
        <v>44644</v>
      </c>
      <c r="B191" s="119">
        <v>44644</v>
      </c>
      <c r="C191" s="118" t="e">
        <f t="shared" ca="1" si="22"/>
        <v>#REF!</v>
      </c>
      <c r="D191" s="118" t="e">
        <f t="shared" ca="1" si="23"/>
        <v>#REF!</v>
      </c>
      <c r="E191" s="118" t="e">
        <f t="shared" ca="1" si="24"/>
        <v>#REF!</v>
      </c>
      <c r="F191" s="118" t="e">
        <f t="shared" ca="1" si="25"/>
        <v>#REF!</v>
      </c>
      <c r="G191" s="118" t="e">
        <f t="shared" ca="1" si="26"/>
        <v>#REF!</v>
      </c>
      <c r="H191" s="118" t="e">
        <f t="shared" ca="1" si="27"/>
        <v>#REF!</v>
      </c>
      <c r="I191" s="118" t="e">
        <f t="shared" ca="1" si="28"/>
        <v>#REF!</v>
      </c>
      <c r="J191" s="118" t="e">
        <f t="shared" ca="1" si="29"/>
        <v>#REF!</v>
      </c>
      <c r="K191" s="118" t="e">
        <f t="shared" ca="1" si="30"/>
        <v>#REF!</v>
      </c>
      <c r="L191" s="118" t="e">
        <f t="shared" ca="1" si="31"/>
        <v>#REF!</v>
      </c>
      <c r="M191" s="118" t="e">
        <f t="shared" ca="1" si="32"/>
        <v>#REF!</v>
      </c>
    </row>
    <row r="192" spans="1:13" x14ac:dyDescent="0.25">
      <c r="A192" s="119">
        <v>44645</v>
      </c>
      <c r="B192" s="119">
        <v>44645</v>
      </c>
      <c r="C192" s="118" t="e">
        <f t="shared" ca="1" si="22"/>
        <v>#REF!</v>
      </c>
      <c r="D192" s="118" t="e">
        <f t="shared" ca="1" si="23"/>
        <v>#REF!</v>
      </c>
      <c r="E192" s="118" t="e">
        <f t="shared" ca="1" si="24"/>
        <v>#REF!</v>
      </c>
      <c r="F192" s="118" t="e">
        <f t="shared" ca="1" si="25"/>
        <v>#REF!</v>
      </c>
      <c r="G192" s="118" t="e">
        <f t="shared" ca="1" si="26"/>
        <v>#REF!</v>
      </c>
      <c r="H192" s="118" t="e">
        <f t="shared" ca="1" si="27"/>
        <v>#REF!</v>
      </c>
      <c r="I192" s="118" t="e">
        <f t="shared" ca="1" si="28"/>
        <v>#REF!</v>
      </c>
      <c r="J192" s="118" t="e">
        <f t="shared" ca="1" si="29"/>
        <v>#REF!</v>
      </c>
      <c r="K192" s="118" t="e">
        <f t="shared" ca="1" si="30"/>
        <v>#REF!</v>
      </c>
      <c r="L192" s="118" t="e">
        <f t="shared" ca="1" si="31"/>
        <v>#REF!</v>
      </c>
      <c r="M192" s="118" t="e">
        <f t="shared" ca="1" si="32"/>
        <v>#REF!</v>
      </c>
    </row>
    <row r="193" spans="1:13" x14ac:dyDescent="0.25">
      <c r="A193" s="119">
        <v>44646</v>
      </c>
      <c r="B193" s="119">
        <v>44646</v>
      </c>
      <c r="C193" s="118" t="e">
        <f t="shared" ca="1" si="22"/>
        <v>#REF!</v>
      </c>
      <c r="D193" s="118" t="e">
        <f t="shared" ca="1" si="23"/>
        <v>#REF!</v>
      </c>
      <c r="E193" s="118" t="e">
        <f t="shared" ca="1" si="24"/>
        <v>#REF!</v>
      </c>
      <c r="F193" s="118" t="e">
        <f t="shared" ca="1" si="25"/>
        <v>#REF!</v>
      </c>
      <c r="G193" s="118" t="e">
        <f t="shared" ca="1" si="26"/>
        <v>#REF!</v>
      </c>
      <c r="H193" s="118" t="e">
        <f t="shared" ca="1" si="27"/>
        <v>#REF!</v>
      </c>
      <c r="I193" s="118" t="e">
        <f t="shared" ca="1" si="28"/>
        <v>#REF!</v>
      </c>
      <c r="J193" s="118" t="e">
        <f t="shared" ca="1" si="29"/>
        <v>#REF!</v>
      </c>
      <c r="K193" s="118" t="e">
        <f t="shared" ca="1" si="30"/>
        <v>#REF!</v>
      </c>
      <c r="L193" s="118" t="e">
        <f t="shared" ca="1" si="31"/>
        <v>#REF!</v>
      </c>
      <c r="M193" s="118" t="e">
        <f t="shared" ca="1" si="32"/>
        <v>#REF!</v>
      </c>
    </row>
    <row r="194" spans="1:13" x14ac:dyDescent="0.25">
      <c r="A194" s="119">
        <v>44647</v>
      </c>
      <c r="B194" s="119">
        <v>44647</v>
      </c>
      <c r="C194" s="118" t="e">
        <f t="shared" ca="1" si="22"/>
        <v>#REF!</v>
      </c>
      <c r="D194" s="118" t="e">
        <f t="shared" ca="1" si="23"/>
        <v>#REF!</v>
      </c>
      <c r="E194" s="118" t="e">
        <f t="shared" ca="1" si="24"/>
        <v>#REF!</v>
      </c>
      <c r="F194" s="118" t="e">
        <f t="shared" ca="1" si="25"/>
        <v>#REF!</v>
      </c>
      <c r="G194" s="118" t="e">
        <f t="shared" ca="1" si="26"/>
        <v>#REF!</v>
      </c>
      <c r="H194" s="118" t="e">
        <f t="shared" ca="1" si="27"/>
        <v>#REF!</v>
      </c>
      <c r="I194" s="118" t="e">
        <f t="shared" ca="1" si="28"/>
        <v>#REF!</v>
      </c>
      <c r="J194" s="118" t="e">
        <f t="shared" ca="1" si="29"/>
        <v>#REF!</v>
      </c>
      <c r="K194" s="118" t="e">
        <f t="shared" ca="1" si="30"/>
        <v>#REF!</v>
      </c>
      <c r="L194" s="118" t="e">
        <f t="shared" ca="1" si="31"/>
        <v>#REF!</v>
      </c>
      <c r="M194" s="118" t="e">
        <f t="shared" ca="1" si="32"/>
        <v>#REF!</v>
      </c>
    </row>
    <row r="195" spans="1:13" x14ac:dyDescent="0.25">
      <c r="A195" s="119">
        <v>44648</v>
      </c>
      <c r="B195" s="119">
        <v>44648</v>
      </c>
      <c r="C195" s="118" t="e">
        <f t="shared" ref="C195:C258" ca="1" si="33">INDIRECT(CONCATENATE("",$A195,"!H10"))</f>
        <v>#REF!</v>
      </c>
      <c r="D195" s="118" t="e">
        <f t="shared" ref="D195:D258" ca="1" si="34">INDIRECT(CONCATENATE("",$A195,"!H11"))</f>
        <v>#REF!</v>
      </c>
      <c r="E195" s="118" t="e">
        <f t="shared" ref="E195:E258" ca="1" si="35">INDIRECT(CONCATENATE("",$A195,"!H12"))</f>
        <v>#REF!</v>
      </c>
      <c r="F195" s="118" t="e">
        <f t="shared" ref="F195:F258" ca="1" si="36">INDIRECT(CONCATENATE("",$A195,"!H13"))</f>
        <v>#REF!</v>
      </c>
      <c r="G195" s="118" t="e">
        <f t="shared" ref="G195:G258" ca="1" si="37">INDIRECT(CONCATENATE("",$A195,"!H14"))</f>
        <v>#REF!</v>
      </c>
      <c r="H195" s="118" t="e">
        <f t="shared" ref="H195:H258" ca="1" si="38">INDIRECT(CONCATENATE("",$A195,"!i12"))</f>
        <v>#REF!</v>
      </c>
      <c r="I195" s="118" t="e">
        <f t="shared" ref="I195:I258" ca="1" si="39">INDIRECT(CONCATENATE("",$A195,"!i13"))</f>
        <v>#REF!</v>
      </c>
      <c r="J195" s="118" t="e">
        <f t="shared" ref="J195:J258" ca="1" si="40">INDIRECT(CONCATENATE("",$A195,"!i14"))</f>
        <v>#REF!</v>
      </c>
      <c r="K195" s="118" t="e">
        <f t="shared" ref="K195:K258" ca="1" si="41">INDIRECT(CONCATENATE("",$A195,"!J12"))</f>
        <v>#REF!</v>
      </c>
      <c r="L195" s="118" t="e">
        <f t="shared" ref="L195:L258" ca="1" si="42">INDIRECT(CONCATENATE("",$A195,"!J13"))</f>
        <v>#REF!</v>
      </c>
      <c r="M195" s="118" t="e">
        <f t="shared" ref="M195:M258" ca="1" si="43">INDIRECT(CONCATENATE("",$A195,"!J14"))</f>
        <v>#REF!</v>
      </c>
    </row>
    <row r="196" spans="1:13" x14ac:dyDescent="0.25">
      <c r="A196" s="119">
        <v>44649</v>
      </c>
      <c r="B196" s="119">
        <v>44649</v>
      </c>
      <c r="C196" s="118" t="e">
        <f t="shared" ca="1" si="33"/>
        <v>#REF!</v>
      </c>
      <c r="D196" s="118" t="e">
        <f t="shared" ca="1" si="34"/>
        <v>#REF!</v>
      </c>
      <c r="E196" s="118" t="e">
        <f t="shared" ca="1" si="35"/>
        <v>#REF!</v>
      </c>
      <c r="F196" s="118" t="e">
        <f t="shared" ca="1" si="36"/>
        <v>#REF!</v>
      </c>
      <c r="G196" s="118" t="e">
        <f t="shared" ca="1" si="37"/>
        <v>#REF!</v>
      </c>
      <c r="H196" s="118" t="e">
        <f t="shared" ca="1" si="38"/>
        <v>#REF!</v>
      </c>
      <c r="I196" s="118" t="e">
        <f t="shared" ca="1" si="39"/>
        <v>#REF!</v>
      </c>
      <c r="J196" s="118" t="e">
        <f t="shared" ca="1" si="40"/>
        <v>#REF!</v>
      </c>
      <c r="K196" s="118" t="e">
        <f t="shared" ca="1" si="41"/>
        <v>#REF!</v>
      </c>
      <c r="L196" s="118" t="e">
        <f t="shared" ca="1" si="42"/>
        <v>#REF!</v>
      </c>
      <c r="M196" s="118" t="e">
        <f t="shared" ca="1" si="43"/>
        <v>#REF!</v>
      </c>
    </row>
    <row r="197" spans="1:13" x14ac:dyDescent="0.25">
      <c r="A197" s="119">
        <v>44650</v>
      </c>
      <c r="B197" s="119">
        <v>44650</v>
      </c>
      <c r="C197" s="118" t="e">
        <f t="shared" ca="1" si="33"/>
        <v>#REF!</v>
      </c>
      <c r="D197" s="118" t="e">
        <f t="shared" ca="1" si="34"/>
        <v>#REF!</v>
      </c>
      <c r="E197" s="118" t="e">
        <f t="shared" ca="1" si="35"/>
        <v>#REF!</v>
      </c>
      <c r="F197" s="118" t="e">
        <f t="shared" ca="1" si="36"/>
        <v>#REF!</v>
      </c>
      <c r="G197" s="118" t="e">
        <f t="shared" ca="1" si="37"/>
        <v>#REF!</v>
      </c>
      <c r="H197" s="118" t="e">
        <f t="shared" ca="1" si="38"/>
        <v>#REF!</v>
      </c>
      <c r="I197" s="118" t="e">
        <f t="shared" ca="1" si="39"/>
        <v>#REF!</v>
      </c>
      <c r="J197" s="118" t="e">
        <f t="shared" ca="1" si="40"/>
        <v>#REF!</v>
      </c>
      <c r="K197" s="118" t="e">
        <f t="shared" ca="1" si="41"/>
        <v>#REF!</v>
      </c>
      <c r="L197" s="118" t="e">
        <f t="shared" ca="1" si="42"/>
        <v>#REF!</v>
      </c>
      <c r="M197" s="118" t="e">
        <f t="shared" ca="1" si="43"/>
        <v>#REF!</v>
      </c>
    </row>
    <row r="198" spans="1:13" x14ac:dyDescent="0.25">
      <c r="A198" s="119">
        <v>44651</v>
      </c>
      <c r="B198" s="119">
        <v>44651</v>
      </c>
      <c r="C198" s="118" t="e">
        <f t="shared" ca="1" si="33"/>
        <v>#REF!</v>
      </c>
      <c r="D198" s="118" t="e">
        <f t="shared" ca="1" si="34"/>
        <v>#REF!</v>
      </c>
      <c r="E198" s="118" t="e">
        <f t="shared" ca="1" si="35"/>
        <v>#REF!</v>
      </c>
      <c r="F198" s="118" t="e">
        <f t="shared" ca="1" si="36"/>
        <v>#REF!</v>
      </c>
      <c r="G198" s="118" t="e">
        <f t="shared" ca="1" si="37"/>
        <v>#REF!</v>
      </c>
      <c r="H198" s="118" t="e">
        <f t="shared" ca="1" si="38"/>
        <v>#REF!</v>
      </c>
      <c r="I198" s="118" t="e">
        <f t="shared" ca="1" si="39"/>
        <v>#REF!</v>
      </c>
      <c r="J198" s="118" t="e">
        <f t="shared" ca="1" si="40"/>
        <v>#REF!</v>
      </c>
      <c r="K198" s="118" t="e">
        <f t="shared" ca="1" si="41"/>
        <v>#REF!</v>
      </c>
      <c r="L198" s="118" t="e">
        <f t="shared" ca="1" si="42"/>
        <v>#REF!</v>
      </c>
      <c r="M198" s="118" t="e">
        <f t="shared" ca="1" si="43"/>
        <v>#REF!</v>
      </c>
    </row>
    <row r="199" spans="1:13" x14ac:dyDescent="0.25">
      <c r="A199" s="119">
        <v>44652</v>
      </c>
      <c r="B199" s="119">
        <v>44652</v>
      </c>
      <c r="C199" s="118" t="e">
        <f t="shared" ca="1" si="33"/>
        <v>#REF!</v>
      </c>
      <c r="D199" s="118" t="e">
        <f t="shared" ca="1" si="34"/>
        <v>#REF!</v>
      </c>
      <c r="E199" s="118" t="e">
        <f t="shared" ca="1" si="35"/>
        <v>#REF!</v>
      </c>
      <c r="F199" s="118" t="e">
        <f t="shared" ca="1" si="36"/>
        <v>#REF!</v>
      </c>
      <c r="G199" s="118" t="e">
        <f t="shared" ca="1" si="37"/>
        <v>#REF!</v>
      </c>
      <c r="H199" s="118" t="e">
        <f t="shared" ca="1" si="38"/>
        <v>#REF!</v>
      </c>
      <c r="I199" s="118" t="e">
        <f t="shared" ca="1" si="39"/>
        <v>#REF!</v>
      </c>
      <c r="J199" s="118" t="e">
        <f t="shared" ca="1" si="40"/>
        <v>#REF!</v>
      </c>
      <c r="K199" s="118" t="e">
        <f t="shared" ca="1" si="41"/>
        <v>#REF!</v>
      </c>
      <c r="L199" s="118" t="e">
        <f t="shared" ca="1" si="42"/>
        <v>#REF!</v>
      </c>
      <c r="M199" s="118" t="e">
        <f t="shared" ca="1" si="43"/>
        <v>#REF!</v>
      </c>
    </row>
    <row r="200" spans="1:13" x14ac:dyDescent="0.25">
      <c r="A200" s="119">
        <v>44653</v>
      </c>
      <c r="B200" s="119">
        <v>44653</v>
      </c>
      <c r="C200" s="118" t="e">
        <f t="shared" ca="1" si="33"/>
        <v>#REF!</v>
      </c>
      <c r="D200" s="118" t="e">
        <f t="shared" ca="1" si="34"/>
        <v>#REF!</v>
      </c>
      <c r="E200" s="118" t="e">
        <f t="shared" ca="1" si="35"/>
        <v>#REF!</v>
      </c>
      <c r="F200" s="118" t="e">
        <f t="shared" ca="1" si="36"/>
        <v>#REF!</v>
      </c>
      <c r="G200" s="118" t="e">
        <f t="shared" ca="1" si="37"/>
        <v>#REF!</v>
      </c>
      <c r="H200" s="118" t="e">
        <f t="shared" ca="1" si="38"/>
        <v>#REF!</v>
      </c>
      <c r="I200" s="118" t="e">
        <f t="shared" ca="1" si="39"/>
        <v>#REF!</v>
      </c>
      <c r="J200" s="118" t="e">
        <f t="shared" ca="1" si="40"/>
        <v>#REF!</v>
      </c>
      <c r="K200" s="118" t="e">
        <f t="shared" ca="1" si="41"/>
        <v>#REF!</v>
      </c>
      <c r="L200" s="118" t="e">
        <f t="shared" ca="1" si="42"/>
        <v>#REF!</v>
      </c>
      <c r="M200" s="118" t="e">
        <f t="shared" ca="1" si="43"/>
        <v>#REF!</v>
      </c>
    </row>
    <row r="201" spans="1:13" x14ac:dyDescent="0.25">
      <c r="A201" s="119">
        <v>44654</v>
      </c>
      <c r="B201" s="119">
        <v>44654</v>
      </c>
      <c r="C201" s="118" t="e">
        <f t="shared" ca="1" si="33"/>
        <v>#REF!</v>
      </c>
      <c r="D201" s="118" t="e">
        <f t="shared" ca="1" si="34"/>
        <v>#REF!</v>
      </c>
      <c r="E201" s="118" t="e">
        <f t="shared" ca="1" si="35"/>
        <v>#REF!</v>
      </c>
      <c r="F201" s="118" t="e">
        <f t="shared" ca="1" si="36"/>
        <v>#REF!</v>
      </c>
      <c r="G201" s="118" t="e">
        <f t="shared" ca="1" si="37"/>
        <v>#REF!</v>
      </c>
      <c r="H201" s="118" t="e">
        <f t="shared" ca="1" si="38"/>
        <v>#REF!</v>
      </c>
      <c r="I201" s="118" t="e">
        <f t="shared" ca="1" si="39"/>
        <v>#REF!</v>
      </c>
      <c r="J201" s="118" t="e">
        <f t="shared" ca="1" si="40"/>
        <v>#REF!</v>
      </c>
      <c r="K201" s="118" t="e">
        <f t="shared" ca="1" si="41"/>
        <v>#REF!</v>
      </c>
      <c r="L201" s="118" t="e">
        <f t="shared" ca="1" si="42"/>
        <v>#REF!</v>
      </c>
      <c r="M201" s="118" t="e">
        <f t="shared" ca="1" si="43"/>
        <v>#REF!</v>
      </c>
    </row>
    <row r="202" spans="1:13" x14ac:dyDescent="0.25">
      <c r="A202" s="119" t="s">
        <v>184</v>
      </c>
      <c r="B202" s="119">
        <v>44655</v>
      </c>
      <c r="C202" s="118" t="e">
        <f t="shared" ca="1" si="33"/>
        <v>#REF!</v>
      </c>
      <c r="D202" s="118" t="e">
        <f t="shared" ca="1" si="34"/>
        <v>#REF!</v>
      </c>
      <c r="E202" s="118" t="e">
        <f t="shared" ca="1" si="35"/>
        <v>#REF!</v>
      </c>
      <c r="F202" s="118" t="e">
        <f t="shared" ca="1" si="36"/>
        <v>#REF!</v>
      </c>
      <c r="G202" s="118" t="e">
        <f t="shared" ca="1" si="37"/>
        <v>#REF!</v>
      </c>
      <c r="H202" s="118" t="e">
        <f t="shared" ca="1" si="38"/>
        <v>#REF!</v>
      </c>
      <c r="I202" s="118" t="e">
        <f t="shared" ca="1" si="39"/>
        <v>#REF!</v>
      </c>
      <c r="J202" s="118" t="e">
        <f t="shared" ca="1" si="40"/>
        <v>#REF!</v>
      </c>
      <c r="K202" s="118" t="e">
        <f t="shared" ca="1" si="41"/>
        <v>#REF!</v>
      </c>
      <c r="L202" s="118" t="e">
        <f t="shared" ca="1" si="42"/>
        <v>#REF!</v>
      </c>
      <c r="M202" s="118" t="e">
        <f t="shared" ca="1" si="43"/>
        <v>#REF!</v>
      </c>
    </row>
    <row r="203" spans="1:13" x14ac:dyDescent="0.25">
      <c r="A203" s="119">
        <v>44656</v>
      </c>
      <c r="B203" s="119">
        <v>44656</v>
      </c>
      <c r="C203" s="118" t="e">
        <f t="shared" ca="1" si="33"/>
        <v>#REF!</v>
      </c>
      <c r="D203" s="118" t="e">
        <f t="shared" ca="1" si="34"/>
        <v>#REF!</v>
      </c>
      <c r="E203" s="118" t="e">
        <f t="shared" ca="1" si="35"/>
        <v>#REF!</v>
      </c>
      <c r="F203" s="118" t="e">
        <f t="shared" ca="1" si="36"/>
        <v>#REF!</v>
      </c>
      <c r="G203" s="118" t="e">
        <f t="shared" ca="1" si="37"/>
        <v>#REF!</v>
      </c>
      <c r="H203" s="118" t="e">
        <f t="shared" ca="1" si="38"/>
        <v>#REF!</v>
      </c>
      <c r="I203" s="118" t="e">
        <f t="shared" ca="1" si="39"/>
        <v>#REF!</v>
      </c>
      <c r="J203" s="118" t="e">
        <f t="shared" ca="1" si="40"/>
        <v>#REF!</v>
      </c>
      <c r="K203" s="118" t="e">
        <f t="shared" ca="1" si="41"/>
        <v>#REF!</v>
      </c>
      <c r="L203" s="118" t="e">
        <f t="shared" ca="1" si="42"/>
        <v>#REF!</v>
      </c>
      <c r="M203" s="118" t="e">
        <f t="shared" ca="1" si="43"/>
        <v>#REF!</v>
      </c>
    </row>
    <row r="204" spans="1:13" x14ac:dyDescent="0.25">
      <c r="A204" s="119">
        <v>44657</v>
      </c>
      <c r="B204" s="119">
        <v>44657</v>
      </c>
      <c r="C204" s="118" t="e">
        <f t="shared" ca="1" si="33"/>
        <v>#REF!</v>
      </c>
      <c r="D204" s="118" t="e">
        <f t="shared" ca="1" si="34"/>
        <v>#REF!</v>
      </c>
      <c r="E204" s="118" t="e">
        <f t="shared" ca="1" si="35"/>
        <v>#REF!</v>
      </c>
      <c r="F204" s="118" t="e">
        <f t="shared" ca="1" si="36"/>
        <v>#REF!</v>
      </c>
      <c r="G204" s="118" t="e">
        <f t="shared" ca="1" si="37"/>
        <v>#REF!</v>
      </c>
      <c r="H204" s="118" t="e">
        <f t="shared" ca="1" si="38"/>
        <v>#REF!</v>
      </c>
      <c r="I204" s="118" t="e">
        <f t="shared" ca="1" si="39"/>
        <v>#REF!</v>
      </c>
      <c r="J204" s="118" t="e">
        <f t="shared" ca="1" si="40"/>
        <v>#REF!</v>
      </c>
      <c r="K204" s="118" t="e">
        <f t="shared" ca="1" si="41"/>
        <v>#REF!</v>
      </c>
      <c r="L204" s="118" t="e">
        <f t="shared" ca="1" si="42"/>
        <v>#REF!</v>
      </c>
      <c r="M204" s="118" t="e">
        <f t="shared" ca="1" si="43"/>
        <v>#REF!</v>
      </c>
    </row>
    <row r="205" spans="1:13" x14ac:dyDescent="0.25">
      <c r="A205" s="119">
        <v>44658</v>
      </c>
      <c r="B205" s="119">
        <v>44658</v>
      </c>
      <c r="C205" s="118" t="e">
        <f t="shared" ca="1" si="33"/>
        <v>#REF!</v>
      </c>
      <c r="D205" s="118" t="e">
        <f t="shared" ca="1" si="34"/>
        <v>#REF!</v>
      </c>
      <c r="E205" s="118" t="e">
        <f t="shared" ca="1" si="35"/>
        <v>#REF!</v>
      </c>
      <c r="F205" s="118" t="e">
        <f t="shared" ca="1" si="36"/>
        <v>#REF!</v>
      </c>
      <c r="G205" s="118" t="e">
        <f t="shared" ca="1" si="37"/>
        <v>#REF!</v>
      </c>
      <c r="H205" s="118" t="e">
        <f t="shared" ca="1" si="38"/>
        <v>#REF!</v>
      </c>
      <c r="I205" s="118" t="e">
        <f t="shared" ca="1" si="39"/>
        <v>#REF!</v>
      </c>
      <c r="J205" s="118" t="e">
        <f t="shared" ca="1" si="40"/>
        <v>#REF!</v>
      </c>
      <c r="K205" s="118" t="e">
        <f t="shared" ca="1" si="41"/>
        <v>#REF!</v>
      </c>
      <c r="L205" s="118" t="e">
        <f t="shared" ca="1" si="42"/>
        <v>#REF!</v>
      </c>
      <c r="M205" s="118" t="e">
        <f t="shared" ca="1" si="43"/>
        <v>#REF!</v>
      </c>
    </row>
    <row r="206" spans="1:13" x14ac:dyDescent="0.25">
      <c r="A206" s="119">
        <v>44659</v>
      </c>
      <c r="B206" s="119">
        <v>44659</v>
      </c>
      <c r="C206" s="118" t="e">
        <f t="shared" ca="1" si="33"/>
        <v>#REF!</v>
      </c>
      <c r="D206" s="118" t="e">
        <f t="shared" ca="1" si="34"/>
        <v>#REF!</v>
      </c>
      <c r="E206" s="118" t="e">
        <f t="shared" ca="1" si="35"/>
        <v>#REF!</v>
      </c>
      <c r="F206" s="118" t="e">
        <f t="shared" ca="1" si="36"/>
        <v>#REF!</v>
      </c>
      <c r="G206" s="118" t="e">
        <f t="shared" ca="1" si="37"/>
        <v>#REF!</v>
      </c>
      <c r="H206" s="118" t="e">
        <f t="shared" ca="1" si="38"/>
        <v>#REF!</v>
      </c>
      <c r="I206" s="118" t="e">
        <f t="shared" ca="1" si="39"/>
        <v>#REF!</v>
      </c>
      <c r="J206" s="118" t="e">
        <f t="shared" ca="1" si="40"/>
        <v>#REF!</v>
      </c>
      <c r="K206" s="118" t="e">
        <f t="shared" ca="1" si="41"/>
        <v>#REF!</v>
      </c>
      <c r="L206" s="118" t="e">
        <f t="shared" ca="1" si="42"/>
        <v>#REF!</v>
      </c>
      <c r="M206" s="118" t="e">
        <f t="shared" ca="1" si="43"/>
        <v>#REF!</v>
      </c>
    </row>
    <row r="207" spans="1:13" x14ac:dyDescent="0.25">
      <c r="A207" s="119">
        <v>44660</v>
      </c>
      <c r="B207" s="119">
        <v>44660</v>
      </c>
      <c r="C207" s="118" t="e">
        <f t="shared" ca="1" si="33"/>
        <v>#REF!</v>
      </c>
      <c r="D207" s="118" t="e">
        <f t="shared" ca="1" si="34"/>
        <v>#REF!</v>
      </c>
      <c r="E207" s="118" t="e">
        <f t="shared" ca="1" si="35"/>
        <v>#REF!</v>
      </c>
      <c r="F207" s="118" t="e">
        <f t="shared" ca="1" si="36"/>
        <v>#REF!</v>
      </c>
      <c r="G207" s="118" t="e">
        <f t="shared" ca="1" si="37"/>
        <v>#REF!</v>
      </c>
      <c r="H207" s="118" t="e">
        <f t="shared" ca="1" si="38"/>
        <v>#REF!</v>
      </c>
      <c r="I207" s="118" t="e">
        <f t="shared" ca="1" si="39"/>
        <v>#REF!</v>
      </c>
      <c r="J207" s="118" t="e">
        <f t="shared" ca="1" si="40"/>
        <v>#REF!</v>
      </c>
      <c r="K207" s="118" t="e">
        <f t="shared" ca="1" si="41"/>
        <v>#REF!</v>
      </c>
      <c r="L207" s="118" t="e">
        <f t="shared" ca="1" si="42"/>
        <v>#REF!</v>
      </c>
      <c r="M207" s="118" t="e">
        <f t="shared" ca="1" si="43"/>
        <v>#REF!</v>
      </c>
    </row>
    <row r="208" spans="1:13" x14ac:dyDescent="0.25">
      <c r="A208" s="119">
        <v>44661</v>
      </c>
      <c r="B208" s="119">
        <v>44661</v>
      </c>
      <c r="C208" s="118" t="e">
        <f t="shared" ca="1" si="33"/>
        <v>#REF!</v>
      </c>
      <c r="D208" s="118" t="e">
        <f t="shared" ca="1" si="34"/>
        <v>#REF!</v>
      </c>
      <c r="E208" s="118" t="e">
        <f t="shared" ca="1" si="35"/>
        <v>#REF!</v>
      </c>
      <c r="F208" s="118" t="e">
        <f t="shared" ca="1" si="36"/>
        <v>#REF!</v>
      </c>
      <c r="G208" s="118" t="e">
        <f t="shared" ca="1" si="37"/>
        <v>#REF!</v>
      </c>
      <c r="H208" s="118" t="e">
        <f t="shared" ca="1" si="38"/>
        <v>#REF!</v>
      </c>
      <c r="I208" s="118" t="e">
        <f t="shared" ca="1" si="39"/>
        <v>#REF!</v>
      </c>
      <c r="J208" s="118" t="e">
        <f t="shared" ca="1" si="40"/>
        <v>#REF!</v>
      </c>
      <c r="K208" s="118" t="e">
        <f t="shared" ca="1" si="41"/>
        <v>#REF!</v>
      </c>
      <c r="L208" s="118" t="e">
        <f t="shared" ca="1" si="42"/>
        <v>#REF!</v>
      </c>
      <c r="M208" s="118" t="e">
        <f t="shared" ca="1" si="43"/>
        <v>#REF!</v>
      </c>
    </row>
    <row r="209" spans="1:13" x14ac:dyDescent="0.25">
      <c r="A209" s="119" t="s">
        <v>185</v>
      </c>
      <c r="B209" s="119">
        <v>44662</v>
      </c>
      <c r="C209" s="118" t="e">
        <f t="shared" ca="1" si="33"/>
        <v>#REF!</v>
      </c>
      <c r="D209" s="118" t="e">
        <f t="shared" ca="1" si="34"/>
        <v>#REF!</v>
      </c>
      <c r="E209" s="118" t="e">
        <f t="shared" ca="1" si="35"/>
        <v>#REF!</v>
      </c>
      <c r="F209" s="118" t="e">
        <f t="shared" ca="1" si="36"/>
        <v>#REF!</v>
      </c>
      <c r="G209" s="118" t="e">
        <f t="shared" ca="1" si="37"/>
        <v>#REF!</v>
      </c>
      <c r="H209" s="118" t="e">
        <f t="shared" ca="1" si="38"/>
        <v>#REF!</v>
      </c>
      <c r="I209" s="118" t="e">
        <f t="shared" ca="1" si="39"/>
        <v>#REF!</v>
      </c>
      <c r="J209" s="118" t="e">
        <f t="shared" ca="1" si="40"/>
        <v>#REF!</v>
      </c>
      <c r="K209" s="118" t="e">
        <f t="shared" ca="1" si="41"/>
        <v>#REF!</v>
      </c>
      <c r="L209" s="118" t="e">
        <f t="shared" ca="1" si="42"/>
        <v>#REF!</v>
      </c>
      <c r="M209" s="118" t="e">
        <f t="shared" ca="1" si="43"/>
        <v>#REF!</v>
      </c>
    </row>
    <row r="210" spans="1:13" x14ac:dyDescent="0.25">
      <c r="A210" s="119">
        <v>44663</v>
      </c>
      <c r="B210" s="119">
        <v>44663</v>
      </c>
      <c r="C210" s="118" t="e">
        <f t="shared" ca="1" si="33"/>
        <v>#REF!</v>
      </c>
      <c r="D210" s="118" t="e">
        <f t="shared" ca="1" si="34"/>
        <v>#REF!</v>
      </c>
      <c r="E210" s="118" t="e">
        <f t="shared" ca="1" si="35"/>
        <v>#REF!</v>
      </c>
      <c r="F210" s="118" t="e">
        <f t="shared" ca="1" si="36"/>
        <v>#REF!</v>
      </c>
      <c r="G210" s="118" t="e">
        <f t="shared" ca="1" si="37"/>
        <v>#REF!</v>
      </c>
      <c r="H210" s="118" t="e">
        <f t="shared" ca="1" si="38"/>
        <v>#REF!</v>
      </c>
      <c r="I210" s="118" t="e">
        <f t="shared" ca="1" si="39"/>
        <v>#REF!</v>
      </c>
      <c r="J210" s="118" t="e">
        <f t="shared" ca="1" si="40"/>
        <v>#REF!</v>
      </c>
      <c r="K210" s="118" t="e">
        <f t="shared" ca="1" si="41"/>
        <v>#REF!</v>
      </c>
      <c r="L210" s="118" t="e">
        <f t="shared" ca="1" si="42"/>
        <v>#REF!</v>
      </c>
      <c r="M210" s="118" t="e">
        <f t="shared" ca="1" si="43"/>
        <v>#REF!</v>
      </c>
    </row>
    <row r="211" spans="1:13" x14ac:dyDescent="0.25">
      <c r="A211" s="119">
        <v>44664</v>
      </c>
      <c r="B211" s="119">
        <v>44664</v>
      </c>
      <c r="C211" s="118" t="e">
        <f t="shared" ca="1" si="33"/>
        <v>#REF!</v>
      </c>
      <c r="D211" s="118" t="e">
        <f t="shared" ca="1" si="34"/>
        <v>#REF!</v>
      </c>
      <c r="E211" s="118" t="e">
        <f t="shared" ca="1" si="35"/>
        <v>#REF!</v>
      </c>
      <c r="F211" s="118" t="e">
        <f t="shared" ca="1" si="36"/>
        <v>#REF!</v>
      </c>
      <c r="G211" s="118" t="e">
        <f t="shared" ca="1" si="37"/>
        <v>#REF!</v>
      </c>
      <c r="H211" s="118" t="e">
        <f t="shared" ca="1" si="38"/>
        <v>#REF!</v>
      </c>
      <c r="I211" s="118" t="e">
        <f t="shared" ca="1" si="39"/>
        <v>#REF!</v>
      </c>
      <c r="J211" s="118" t="e">
        <f t="shared" ca="1" si="40"/>
        <v>#REF!</v>
      </c>
      <c r="K211" s="118" t="e">
        <f t="shared" ca="1" si="41"/>
        <v>#REF!</v>
      </c>
      <c r="L211" s="118" t="e">
        <f t="shared" ca="1" si="42"/>
        <v>#REF!</v>
      </c>
      <c r="M211" s="118" t="e">
        <f t="shared" ca="1" si="43"/>
        <v>#REF!</v>
      </c>
    </row>
    <row r="212" spans="1:13" x14ac:dyDescent="0.25">
      <c r="A212" s="119">
        <v>44665</v>
      </c>
      <c r="B212" s="119">
        <v>44665</v>
      </c>
      <c r="C212" s="118" t="e">
        <f t="shared" ca="1" si="33"/>
        <v>#REF!</v>
      </c>
      <c r="D212" s="118" t="e">
        <f t="shared" ca="1" si="34"/>
        <v>#REF!</v>
      </c>
      <c r="E212" s="118" t="e">
        <f t="shared" ca="1" si="35"/>
        <v>#REF!</v>
      </c>
      <c r="F212" s="118" t="e">
        <f t="shared" ca="1" si="36"/>
        <v>#REF!</v>
      </c>
      <c r="G212" s="118" t="e">
        <f t="shared" ca="1" si="37"/>
        <v>#REF!</v>
      </c>
      <c r="H212" s="118" t="e">
        <f t="shared" ca="1" si="38"/>
        <v>#REF!</v>
      </c>
      <c r="I212" s="118" t="e">
        <f t="shared" ca="1" si="39"/>
        <v>#REF!</v>
      </c>
      <c r="J212" s="118" t="e">
        <f t="shared" ca="1" si="40"/>
        <v>#REF!</v>
      </c>
      <c r="K212" s="118" t="e">
        <f t="shared" ca="1" si="41"/>
        <v>#REF!</v>
      </c>
      <c r="L212" s="118" t="e">
        <f t="shared" ca="1" si="42"/>
        <v>#REF!</v>
      </c>
      <c r="M212" s="118" t="e">
        <f t="shared" ca="1" si="43"/>
        <v>#REF!</v>
      </c>
    </row>
    <row r="213" spans="1:13" x14ac:dyDescent="0.25">
      <c r="A213" s="119">
        <v>44666</v>
      </c>
      <c r="B213" s="119">
        <v>44666</v>
      </c>
      <c r="C213" s="118" t="e">
        <f t="shared" ca="1" si="33"/>
        <v>#REF!</v>
      </c>
      <c r="D213" s="118" t="e">
        <f t="shared" ca="1" si="34"/>
        <v>#REF!</v>
      </c>
      <c r="E213" s="118" t="e">
        <f t="shared" ca="1" si="35"/>
        <v>#REF!</v>
      </c>
      <c r="F213" s="118" t="e">
        <f t="shared" ca="1" si="36"/>
        <v>#REF!</v>
      </c>
      <c r="G213" s="118" t="e">
        <f t="shared" ca="1" si="37"/>
        <v>#REF!</v>
      </c>
      <c r="H213" s="118" t="e">
        <f t="shared" ca="1" si="38"/>
        <v>#REF!</v>
      </c>
      <c r="I213" s="118" t="e">
        <f t="shared" ca="1" si="39"/>
        <v>#REF!</v>
      </c>
      <c r="J213" s="118" t="e">
        <f t="shared" ca="1" si="40"/>
        <v>#REF!</v>
      </c>
      <c r="K213" s="118" t="e">
        <f t="shared" ca="1" si="41"/>
        <v>#REF!</v>
      </c>
      <c r="L213" s="118" t="e">
        <f t="shared" ca="1" si="42"/>
        <v>#REF!</v>
      </c>
      <c r="M213" s="118" t="e">
        <f t="shared" ca="1" si="43"/>
        <v>#REF!</v>
      </c>
    </row>
    <row r="214" spans="1:13" x14ac:dyDescent="0.25">
      <c r="A214" s="119">
        <v>44667</v>
      </c>
      <c r="B214" s="119">
        <v>44667</v>
      </c>
      <c r="C214" s="118" t="e">
        <f t="shared" ca="1" si="33"/>
        <v>#REF!</v>
      </c>
      <c r="D214" s="118" t="e">
        <f t="shared" ca="1" si="34"/>
        <v>#REF!</v>
      </c>
      <c r="E214" s="118" t="e">
        <f t="shared" ca="1" si="35"/>
        <v>#REF!</v>
      </c>
      <c r="F214" s="118" t="e">
        <f t="shared" ca="1" si="36"/>
        <v>#REF!</v>
      </c>
      <c r="G214" s="118" t="e">
        <f t="shared" ca="1" si="37"/>
        <v>#REF!</v>
      </c>
      <c r="H214" s="118" t="e">
        <f t="shared" ca="1" si="38"/>
        <v>#REF!</v>
      </c>
      <c r="I214" s="118" t="e">
        <f t="shared" ca="1" si="39"/>
        <v>#REF!</v>
      </c>
      <c r="J214" s="118" t="e">
        <f t="shared" ca="1" si="40"/>
        <v>#REF!</v>
      </c>
      <c r="K214" s="118" t="e">
        <f t="shared" ca="1" si="41"/>
        <v>#REF!</v>
      </c>
      <c r="L214" s="118" t="e">
        <f t="shared" ca="1" si="42"/>
        <v>#REF!</v>
      </c>
      <c r="M214" s="118" t="e">
        <f t="shared" ca="1" si="43"/>
        <v>#REF!</v>
      </c>
    </row>
    <row r="215" spans="1:13" x14ac:dyDescent="0.25">
      <c r="A215" s="119">
        <v>44668</v>
      </c>
      <c r="B215" s="119">
        <v>44668</v>
      </c>
      <c r="C215" s="118" t="e">
        <f t="shared" ca="1" si="33"/>
        <v>#REF!</v>
      </c>
      <c r="D215" s="118" t="e">
        <f t="shared" ca="1" si="34"/>
        <v>#REF!</v>
      </c>
      <c r="E215" s="118" t="e">
        <f t="shared" ca="1" si="35"/>
        <v>#REF!</v>
      </c>
      <c r="F215" s="118" t="e">
        <f t="shared" ca="1" si="36"/>
        <v>#REF!</v>
      </c>
      <c r="G215" s="118" t="e">
        <f t="shared" ca="1" si="37"/>
        <v>#REF!</v>
      </c>
      <c r="H215" s="118" t="e">
        <f t="shared" ca="1" si="38"/>
        <v>#REF!</v>
      </c>
      <c r="I215" s="118" t="e">
        <f t="shared" ca="1" si="39"/>
        <v>#REF!</v>
      </c>
      <c r="J215" s="118" t="e">
        <f t="shared" ca="1" si="40"/>
        <v>#REF!</v>
      </c>
      <c r="K215" s="118" t="e">
        <f t="shared" ca="1" si="41"/>
        <v>#REF!</v>
      </c>
      <c r="L215" s="118" t="e">
        <f t="shared" ca="1" si="42"/>
        <v>#REF!</v>
      </c>
      <c r="M215" s="118" t="e">
        <f t="shared" ca="1" si="43"/>
        <v>#REF!</v>
      </c>
    </row>
    <row r="216" spans="1:13" x14ac:dyDescent="0.25">
      <c r="A216" s="119">
        <v>44669</v>
      </c>
      <c r="B216" s="119">
        <v>44669</v>
      </c>
      <c r="C216" s="118" t="e">
        <f t="shared" ca="1" si="33"/>
        <v>#REF!</v>
      </c>
      <c r="D216" s="118" t="e">
        <f t="shared" ca="1" si="34"/>
        <v>#REF!</v>
      </c>
      <c r="E216" s="118" t="e">
        <f t="shared" ca="1" si="35"/>
        <v>#REF!</v>
      </c>
      <c r="F216" s="118" t="e">
        <f t="shared" ca="1" si="36"/>
        <v>#REF!</v>
      </c>
      <c r="G216" s="118" t="e">
        <f t="shared" ca="1" si="37"/>
        <v>#REF!</v>
      </c>
      <c r="H216" s="118" t="e">
        <f t="shared" ca="1" si="38"/>
        <v>#REF!</v>
      </c>
      <c r="I216" s="118" t="e">
        <f t="shared" ca="1" si="39"/>
        <v>#REF!</v>
      </c>
      <c r="J216" s="118" t="e">
        <f t="shared" ca="1" si="40"/>
        <v>#REF!</v>
      </c>
      <c r="K216" s="118" t="e">
        <f t="shared" ca="1" si="41"/>
        <v>#REF!</v>
      </c>
      <c r="L216" s="118" t="e">
        <f t="shared" ca="1" si="42"/>
        <v>#REF!</v>
      </c>
      <c r="M216" s="118" t="e">
        <f t="shared" ca="1" si="43"/>
        <v>#REF!</v>
      </c>
    </row>
    <row r="217" spans="1:13" x14ac:dyDescent="0.25">
      <c r="A217" s="119">
        <v>44670</v>
      </c>
      <c r="B217" s="119">
        <v>44670</v>
      </c>
      <c r="C217" s="118" t="e">
        <f t="shared" ca="1" si="33"/>
        <v>#REF!</v>
      </c>
      <c r="D217" s="118" t="e">
        <f t="shared" ca="1" si="34"/>
        <v>#REF!</v>
      </c>
      <c r="E217" s="118" t="e">
        <f t="shared" ca="1" si="35"/>
        <v>#REF!</v>
      </c>
      <c r="F217" s="118" t="e">
        <f t="shared" ca="1" si="36"/>
        <v>#REF!</v>
      </c>
      <c r="G217" s="118" t="e">
        <f t="shared" ca="1" si="37"/>
        <v>#REF!</v>
      </c>
      <c r="H217" s="118" t="e">
        <f t="shared" ca="1" si="38"/>
        <v>#REF!</v>
      </c>
      <c r="I217" s="118" t="e">
        <f t="shared" ca="1" si="39"/>
        <v>#REF!</v>
      </c>
      <c r="J217" s="118" t="e">
        <f t="shared" ca="1" si="40"/>
        <v>#REF!</v>
      </c>
      <c r="K217" s="118" t="e">
        <f t="shared" ca="1" si="41"/>
        <v>#REF!</v>
      </c>
      <c r="L217" s="118" t="e">
        <f t="shared" ca="1" si="42"/>
        <v>#REF!</v>
      </c>
      <c r="M217" s="118" t="e">
        <f t="shared" ca="1" si="43"/>
        <v>#REF!</v>
      </c>
    </row>
    <row r="218" spans="1:13" x14ac:dyDescent="0.25">
      <c r="A218" s="119">
        <v>44671</v>
      </c>
      <c r="B218" s="119">
        <v>44671</v>
      </c>
      <c r="C218" s="118" t="e">
        <f t="shared" ca="1" si="33"/>
        <v>#REF!</v>
      </c>
      <c r="D218" s="118" t="e">
        <f t="shared" ca="1" si="34"/>
        <v>#REF!</v>
      </c>
      <c r="E218" s="118" t="e">
        <f t="shared" ca="1" si="35"/>
        <v>#REF!</v>
      </c>
      <c r="F218" s="118" t="e">
        <f t="shared" ca="1" si="36"/>
        <v>#REF!</v>
      </c>
      <c r="G218" s="118" t="e">
        <f t="shared" ca="1" si="37"/>
        <v>#REF!</v>
      </c>
      <c r="H218" s="118" t="e">
        <f t="shared" ca="1" si="38"/>
        <v>#REF!</v>
      </c>
      <c r="I218" s="118" t="e">
        <f t="shared" ca="1" si="39"/>
        <v>#REF!</v>
      </c>
      <c r="J218" s="118" t="e">
        <f t="shared" ca="1" si="40"/>
        <v>#REF!</v>
      </c>
      <c r="K218" s="118" t="e">
        <f t="shared" ca="1" si="41"/>
        <v>#REF!</v>
      </c>
      <c r="L218" s="118" t="e">
        <f t="shared" ca="1" si="42"/>
        <v>#REF!</v>
      </c>
      <c r="M218" s="118" t="e">
        <f t="shared" ca="1" si="43"/>
        <v>#REF!</v>
      </c>
    </row>
    <row r="219" spans="1:13" x14ac:dyDescent="0.25">
      <c r="A219" s="119">
        <v>44672</v>
      </c>
      <c r="B219" s="119">
        <v>44672</v>
      </c>
      <c r="C219" s="118" t="e">
        <f t="shared" ca="1" si="33"/>
        <v>#REF!</v>
      </c>
      <c r="D219" s="118" t="e">
        <f t="shared" ca="1" si="34"/>
        <v>#REF!</v>
      </c>
      <c r="E219" s="118" t="e">
        <f t="shared" ca="1" si="35"/>
        <v>#REF!</v>
      </c>
      <c r="F219" s="118" t="e">
        <f t="shared" ca="1" si="36"/>
        <v>#REF!</v>
      </c>
      <c r="G219" s="118" t="e">
        <f t="shared" ca="1" si="37"/>
        <v>#REF!</v>
      </c>
      <c r="H219" s="118" t="e">
        <f t="shared" ca="1" si="38"/>
        <v>#REF!</v>
      </c>
      <c r="I219" s="118" t="e">
        <f t="shared" ca="1" si="39"/>
        <v>#REF!</v>
      </c>
      <c r="J219" s="118" t="e">
        <f t="shared" ca="1" si="40"/>
        <v>#REF!</v>
      </c>
      <c r="K219" s="118" t="e">
        <f t="shared" ca="1" si="41"/>
        <v>#REF!</v>
      </c>
      <c r="L219" s="118" t="e">
        <f t="shared" ca="1" si="42"/>
        <v>#REF!</v>
      </c>
      <c r="M219" s="118" t="e">
        <f t="shared" ca="1" si="43"/>
        <v>#REF!</v>
      </c>
    </row>
    <row r="220" spans="1:13" x14ac:dyDescent="0.25">
      <c r="A220" s="119">
        <v>44673</v>
      </c>
      <c r="B220" s="119">
        <v>44673</v>
      </c>
      <c r="C220" s="118" t="e">
        <f t="shared" ca="1" si="33"/>
        <v>#REF!</v>
      </c>
      <c r="D220" s="118" t="e">
        <f t="shared" ca="1" si="34"/>
        <v>#REF!</v>
      </c>
      <c r="E220" s="118" t="e">
        <f t="shared" ca="1" si="35"/>
        <v>#REF!</v>
      </c>
      <c r="F220" s="118" t="e">
        <f t="shared" ca="1" si="36"/>
        <v>#REF!</v>
      </c>
      <c r="G220" s="118" t="e">
        <f t="shared" ca="1" si="37"/>
        <v>#REF!</v>
      </c>
      <c r="H220" s="118" t="e">
        <f t="shared" ca="1" si="38"/>
        <v>#REF!</v>
      </c>
      <c r="I220" s="118" t="e">
        <f t="shared" ca="1" si="39"/>
        <v>#REF!</v>
      </c>
      <c r="J220" s="118" t="e">
        <f t="shared" ca="1" si="40"/>
        <v>#REF!</v>
      </c>
      <c r="K220" s="118" t="e">
        <f t="shared" ca="1" si="41"/>
        <v>#REF!</v>
      </c>
      <c r="L220" s="118" t="e">
        <f t="shared" ca="1" si="42"/>
        <v>#REF!</v>
      </c>
      <c r="M220" s="118" t="e">
        <f t="shared" ca="1" si="43"/>
        <v>#REF!</v>
      </c>
    </row>
    <row r="221" spans="1:13" x14ac:dyDescent="0.25">
      <c r="A221" s="119">
        <v>44674</v>
      </c>
      <c r="B221" s="119">
        <v>44674</v>
      </c>
      <c r="C221" s="118" t="e">
        <f t="shared" ca="1" si="33"/>
        <v>#REF!</v>
      </c>
      <c r="D221" s="118" t="e">
        <f t="shared" ca="1" si="34"/>
        <v>#REF!</v>
      </c>
      <c r="E221" s="118" t="e">
        <f t="shared" ca="1" si="35"/>
        <v>#REF!</v>
      </c>
      <c r="F221" s="118" t="e">
        <f t="shared" ca="1" si="36"/>
        <v>#REF!</v>
      </c>
      <c r="G221" s="118" t="e">
        <f t="shared" ca="1" si="37"/>
        <v>#REF!</v>
      </c>
      <c r="H221" s="118" t="e">
        <f t="shared" ca="1" si="38"/>
        <v>#REF!</v>
      </c>
      <c r="I221" s="118" t="e">
        <f t="shared" ca="1" si="39"/>
        <v>#REF!</v>
      </c>
      <c r="J221" s="118" t="e">
        <f t="shared" ca="1" si="40"/>
        <v>#REF!</v>
      </c>
      <c r="K221" s="118" t="e">
        <f t="shared" ca="1" si="41"/>
        <v>#REF!</v>
      </c>
      <c r="L221" s="118" t="e">
        <f t="shared" ca="1" si="42"/>
        <v>#REF!</v>
      </c>
      <c r="M221" s="118" t="e">
        <f t="shared" ca="1" si="43"/>
        <v>#REF!</v>
      </c>
    </row>
    <row r="222" spans="1:13" x14ac:dyDescent="0.25">
      <c r="A222" s="119">
        <v>44675</v>
      </c>
      <c r="B222" s="119">
        <v>44675</v>
      </c>
      <c r="C222" s="118" t="e">
        <f t="shared" ca="1" si="33"/>
        <v>#REF!</v>
      </c>
      <c r="D222" s="118" t="e">
        <f t="shared" ca="1" si="34"/>
        <v>#REF!</v>
      </c>
      <c r="E222" s="118" t="e">
        <f t="shared" ca="1" si="35"/>
        <v>#REF!</v>
      </c>
      <c r="F222" s="118" t="e">
        <f t="shared" ca="1" si="36"/>
        <v>#REF!</v>
      </c>
      <c r="G222" s="118" t="e">
        <f t="shared" ca="1" si="37"/>
        <v>#REF!</v>
      </c>
      <c r="H222" s="118" t="e">
        <f t="shared" ca="1" si="38"/>
        <v>#REF!</v>
      </c>
      <c r="I222" s="118" t="e">
        <f t="shared" ca="1" si="39"/>
        <v>#REF!</v>
      </c>
      <c r="J222" s="118" t="e">
        <f t="shared" ca="1" si="40"/>
        <v>#REF!</v>
      </c>
      <c r="K222" s="118" t="e">
        <f t="shared" ca="1" si="41"/>
        <v>#REF!</v>
      </c>
      <c r="L222" s="118" t="e">
        <f t="shared" ca="1" si="42"/>
        <v>#REF!</v>
      </c>
      <c r="M222" s="118" t="e">
        <f t="shared" ca="1" si="43"/>
        <v>#REF!</v>
      </c>
    </row>
    <row r="223" spans="1:13" x14ac:dyDescent="0.25">
      <c r="A223" s="119">
        <v>44676</v>
      </c>
      <c r="B223" s="119">
        <v>44676</v>
      </c>
      <c r="C223" s="118" t="e">
        <f t="shared" ca="1" si="33"/>
        <v>#REF!</v>
      </c>
      <c r="D223" s="118" t="e">
        <f t="shared" ca="1" si="34"/>
        <v>#REF!</v>
      </c>
      <c r="E223" s="118" t="e">
        <f t="shared" ca="1" si="35"/>
        <v>#REF!</v>
      </c>
      <c r="F223" s="118" t="e">
        <f t="shared" ca="1" si="36"/>
        <v>#REF!</v>
      </c>
      <c r="G223" s="118" t="e">
        <f t="shared" ca="1" si="37"/>
        <v>#REF!</v>
      </c>
      <c r="H223" s="118" t="e">
        <f t="shared" ca="1" si="38"/>
        <v>#REF!</v>
      </c>
      <c r="I223" s="118" t="e">
        <f t="shared" ca="1" si="39"/>
        <v>#REF!</v>
      </c>
      <c r="J223" s="118" t="e">
        <f t="shared" ca="1" si="40"/>
        <v>#REF!</v>
      </c>
      <c r="K223" s="118" t="e">
        <f t="shared" ca="1" si="41"/>
        <v>#REF!</v>
      </c>
      <c r="L223" s="118" t="e">
        <f t="shared" ca="1" si="42"/>
        <v>#REF!</v>
      </c>
      <c r="M223" s="118" t="e">
        <f t="shared" ca="1" si="43"/>
        <v>#REF!</v>
      </c>
    </row>
    <row r="224" spans="1:13" x14ac:dyDescent="0.25">
      <c r="A224" s="119">
        <v>44677</v>
      </c>
      <c r="B224" s="119">
        <v>44677</v>
      </c>
      <c r="C224" s="118" t="e">
        <f t="shared" ca="1" si="33"/>
        <v>#REF!</v>
      </c>
      <c r="D224" s="118" t="e">
        <f t="shared" ca="1" si="34"/>
        <v>#REF!</v>
      </c>
      <c r="E224" s="118" t="e">
        <f t="shared" ca="1" si="35"/>
        <v>#REF!</v>
      </c>
      <c r="F224" s="118" t="e">
        <f t="shared" ca="1" si="36"/>
        <v>#REF!</v>
      </c>
      <c r="G224" s="118" t="e">
        <f t="shared" ca="1" si="37"/>
        <v>#REF!</v>
      </c>
      <c r="H224" s="118" t="e">
        <f t="shared" ca="1" si="38"/>
        <v>#REF!</v>
      </c>
      <c r="I224" s="118" t="e">
        <f t="shared" ca="1" si="39"/>
        <v>#REF!</v>
      </c>
      <c r="J224" s="118" t="e">
        <f t="shared" ca="1" si="40"/>
        <v>#REF!</v>
      </c>
      <c r="K224" s="118" t="e">
        <f t="shared" ca="1" si="41"/>
        <v>#REF!</v>
      </c>
      <c r="L224" s="118" t="e">
        <f t="shared" ca="1" si="42"/>
        <v>#REF!</v>
      </c>
      <c r="M224" s="118" t="e">
        <f t="shared" ca="1" si="43"/>
        <v>#REF!</v>
      </c>
    </row>
    <row r="225" spans="1:13" x14ac:dyDescent="0.25">
      <c r="A225" s="119" t="s">
        <v>186</v>
      </c>
      <c r="B225" s="119">
        <v>44678</v>
      </c>
      <c r="C225" s="118" t="e">
        <f t="shared" ca="1" si="33"/>
        <v>#REF!</v>
      </c>
      <c r="D225" s="118" t="e">
        <f t="shared" ca="1" si="34"/>
        <v>#REF!</v>
      </c>
      <c r="E225" s="118" t="e">
        <f t="shared" ca="1" si="35"/>
        <v>#REF!</v>
      </c>
      <c r="F225" s="118" t="e">
        <f t="shared" ca="1" si="36"/>
        <v>#REF!</v>
      </c>
      <c r="G225" s="118" t="e">
        <f t="shared" ca="1" si="37"/>
        <v>#REF!</v>
      </c>
      <c r="H225" s="118" t="e">
        <f t="shared" ca="1" si="38"/>
        <v>#REF!</v>
      </c>
      <c r="I225" s="118" t="e">
        <f t="shared" ca="1" si="39"/>
        <v>#REF!</v>
      </c>
      <c r="J225" s="118" t="e">
        <f t="shared" ca="1" si="40"/>
        <v>#REF!</v>
      </c>
      <c r="K225" s="118" t="e">
        <f t="shared" ca="1" si="41"/>
        <v>#REF!</v>
      </c>
      <c r="L225" s="118" t="e">
        <f t="shared" ca="1" si="42"/>
        <v>#REF!</v>
      </c>
      <c r="M225" s="118" t="e">
        <f t="shared" ca="1" si="43"/>
        <v>#REF!</v>
      </c>
    </row>
    <row r="226" spans="1:13" x14ac:dyDescent="0.25">
      <c r="A226" s="119">
        <v>44679</v>
      </c>
      <c r="B226" s="119">
        <v>44679</v>
      </c>
      <c r="C226" s="118" t="e">
        <f t="shared" ca="1" si="33"/>
        <v>#REF!</v>
      </c>
      <c r="D226" s="118" t="e">
        <f t="shared" ca="1" si="34"/>
        <v>#REF!</v>
      </c>
      <c r="E226" s="118" t="e">
        <f t="shared" ca="1" si="35"/>
        <v>#REF!</v>
      </c>
      <c r="F226" s="118" t="e">
        <f t="shared" ca="1" si="36"/>
        <v>#REF!</v>
      </c>
      <c r="G226" s="118" t="e">
        <f t="shared" ca="1" si="37"/>
        <v>#REF!</v>
      </c>
      <c r="H226" s="118" t="e">
        <f t="shared" ca="1" si="38"/>
        <v>#REF!</v>
      </c>
      <c r="I226" s="118" t="e">
        <f t="shared" ca="1" si="39"/>
        <v>#REF!</v>
      </c>
      <c r="J226" s="118" t="e">
        <f t="shared" ca="1" si="40"/>
        <v>#REF!</v>
      </c>
      <c r="K226" s="118" t="e">
        <f t="shared" ca="1" si="41"/>
        <v>#REF!</v>
      </c>
      <c r="L226" s="118" t="e">
        <f t="shared" ca="1" si="42"/>
        <v>#REF!</v>
      </c>
      <c r="M226" s="118" t="e">
        <f t="shared" ca="1" si="43"/>
        <v>#REF!</v>
      </c>
    </row>
    <row r="227" spans="1:13" x14ac:dyDescent="0.25">
      <c r="A227" s="119">
        <v>44680</v>
      </c>
      <c r="B227" s="119">
        <v>44680</v>
      </c>
      <c r="C227" s="118" t="e">
        <f t="shared" ca="1" si="33"/>
        <v>#REF!</v>
      </c>
      <c r="D227" s="118" t="e">
        <f t="shared" ca="1" si="34"/>
        <v>#REF!</v>
      </c>
      <c r="E227" s="118" t="e">
        <f t="shared" ca="1" si="35"/>
        <v>#REF!</v>
      </c>
      <c r="F227" s="118" t="e">
        <f t="shared" ca="1" si="36"/>
        <v>#REF!</v>
      </c>
      <c r="G227" s="118" t="e">
        <f t="shared" ca="1" si="37"/>
        <v>#REF!</v>
      </c>
      <c r="H227" s="118" t="e">
        <f t="shared" ca="1" si="38"/>
        <v>#REF!</v>
      </c>
      <c r="I227" s="118" t="e">
        <f t="shared" ca="1" si="39"/>
        <v>#REF!</v>
      </c>
      <c r="J227" s="118" t="e">
        <f t="shared" ca="1" si="40"/>
        <v>#REF!</v>
      </c>
      <c r="K227" s="118" t="e">
        <f t="shared" ca="1" si="41"/>
        <v>#REF!</v>
      </c>
      <c r="L227" s="118" t="e">
        <f t="shared" ca="1" si="42"/>
        <v>#REF!</v>
      </c>
      <c r="M227" s="118" t="e">
        <f t="shared" ca="1" si="43"/>
        <v>#REF!</v>
      </c>
    </row>
    <row r="228" spans="1:13" x14ac:dyDescent="0.25">
      <c r="A228" s="119">
        <v>44681</v>
      </c>
      <c r="B228" s="119">
        <v>44681</v>
      </c>
      <c r="C228" s="118" t="e">
        <f t="shared" ca="1" si="33"/>
        <v>#REF!</v>
      </c>
      <c r="D228" s="118" t="e">
        <f t="shared" ca="1" si="34"/>
        <v>#REF!</v>
      </c>
      <c r="E228" s="118" t="e">
        <f t="shared" ca="1" si="35"/>
        <v>#REF!</v>
      </c>
      <c r="F228" s="118" t="e">
        <f t="shared" ca="1" si="36"/>
        <v>#REF!</v>
      </c>
      <c r="G228" s="118" t="e">
        <f t="shared" ca="1" si="37"/>
        <v>#REF!</v>
      </c>
      <c r="H228" s="118" t="e">
        <f t="shared" ca="1" si="38"/>
        <v>#REF!</v>
      </c>
      <c r="I228" s="118" t="e">
        <f t="shared" ca="1" si="39"/>
        <v>#REF!</v>
      </c>
      <c r="J228" s="118" t="e">
        <f t="shared" ca="1" si="40"/>
        <v>#REF!</v>
      </c>
      <c r="K228" s="118" t="e">
        <f t="shared" ca="1" si="41"/>
        <v>#REF!</v>
      </c>
      <c r="L228" s="118" t="e">
        <f t="shared" ca="1" si="42"/>
        <v>#REF!</v>
      </c>
      <c r="M228" s="118" t="e">
        <f t="shared" ca="1" si="43"/>
        <v>#REF!</v>
      </c>
    </row>
    <row r="229" spans="1:13" x14ac:dyDescent="0.25">
      <c r="A229" s="119">
        <v>44682</v>
      </c>
      <c r="B229" s="119">
        <v>44682</v>
      </c>
      <c r="C229" s="118" t="e">
        <f t="shared" ca="1" si="33"/>
        <v>#REF!</v>
      </c>
      <c r="D229" s="118" t="e">
        <f t="shared" ca="1" si="34"/>
        <v>#REF!</v>
      </c>
      <c r="E229" s="118" t="e">
        <f t="shared" ca="1" si="35"/>
        <v>#REF!</v>
      </c>
      <c r="F229" s="118" t="e">
        <f t="shared" ca="1" si="36"/>
        <v>#REF!</v>
      </c>
      <c r="G229" s="118" t="e">
        <f t="shared" ca="1" si="37"/>
        <v>#REF!</v>
      </c>
      <c r="H229" s="118" t="e">
        <f t="shared" ca="1" si="38"/>
        <v>#REF!</v>
      </c>
      <c r="I229" s="118" t="e">
        <f t="shared" ca="1" si="39"/>
        <v>#REF!</v>
      </c>
      <c r="J229" s="118" t="e">
        <f t="shared" ca="1" si="40"/>
        <v>#REF!</v>
      </c>
      <c r="K229" s="118" t="e">
        <f t="shared" ca="1" si="41"/>
        <v>#REF!</v>
      </c>
      <c r="L229" s="118" t="e">
        <f t="shared" ca="1" si="42"/>
        <v>#REF!</v>
      </c>
      <c r="M229" s="118" t="e">
        <f t="shared" ca="1" si="43"/>
        <v>#REF!</v>
      </c>
    </row>
    <row r="230" spans="1:13" x14ac:dyDescent="0.25">
      <c r="A230" s="119">
        <v>44683</v>
      </c>
      <c r="B230" s="119">
        <v>44683</v>
      </c>
      <c r="C230" s="118" t="e">
        <f t="shared" ca="1" si="33"/>
        <v>#REF!</v>
      </c>
      <c r="D230" s="118" t="e">
        <f t="shared" ca="1" si="34"/>
        <v>#REF!</v>
      </c>
      <c r="E230" s="118" t="e">
        <f t="shared" ca="1" si="35"/>
        <v>#REF!</v>
      </c>
      <c r="F230" s="118" t="e">
        <f t="shared" ca="1" si="36"/>
        <v>#REF!</v>
      </c>
      <c r="G230" s="118" t="e">
        <f t="shared" ca="1" si="37"/>
        <v>#REF!</v>
      </c>
      <c r="H230" s="118" t="e">
        <f t="shared" ca="1" si="38"/>
        <v>#REF!</v>
      </c>
      <c r="I230" s="118" t="e">
        <f t="shared" ca="1" si="39"/>
        <v>#REF!</v>
      </c>
      <c r="J230" s="118" t="e">
        <f t="shared" ca="1" si="40"/>
        <v>#REF!</v>
      </c>
      <c r="K230" s="118" t="e">
        <f t="shared" ca="1" si="41"/>
        <v>#REF!</v>
      </c>
      <c r="L230" s="118" t="e">
        <f t="shared" ca="1" si="42"/>
        <v>#REF!</v>
      </c>
      <c r="M230" s="118" t="e">
        <f t="shared" ca="1" si="43"/>
        <v>#REF!</v>
      </c>
    </row>
    <row r="231" spans="1:13" x14ac:dyDescent="0.25">
      <c r="A231" s="119">
        <v>44684</v>
      </c>
      <c r="B231" s="119">
        <v>44684</v>
      </c>
      <c r="C231" s="118" t="e">
        <f t="shared" ca="1" si="33"/>
        <v>#REF!</v>
      </c>
      <c r="D231" s="118" t="e">
        <f t="shared" ca="1" si="34"/>
        <v>#REF!</v>
      </c>
      <c r="E231" s="118" t="e">
        <f t="shared" ca="1" si="35"/>
        <v>#REF!</v>
      </c>
      <c r="F231" s="118" t="e">
        <f t="shared" ca="1" si="36"/>
        <v>#REF!</v>
      </c>
      <c r="G231" s="118" t="e">
        <f t="shared" ca="1" si="37"/>
        <v>#REF!</v>
      </c>
      <c r="H231" s="118" t="e">
        <f t="shared" ca="1" si="38"/>
        <v>#REF!</v>
      </c>
      <c r="I231" s="118" t="e">
        <f t="shared" ca="1" si="39"/>
        <v>#REF!</v>
      </c>
      <c r="J231" s="118" t="e">
        <f t="shared" ca="1" si="40"/>
        <v>#REF!</v>
      </c>
      <c r="K231" s="118" t="e">
        <f t="shared" ca="1" si="41"/>
        <v>#REF!</v>
      </c>
      <c r="L231" s="118" t="e">
        <f t="shared" ca="1" si="42"/>
        <v>#REF!</v>
      </c>
      <c r="M231" s="118" t="e">
        <f t="shared" ca="1" si="43"/>
        <v>#REF!</v>
      </c>
    </row>
    <row r="232" spans="1:13" x14ac:dyDescent="0.25">
      <c r="A232" s="119">
        <v>44685</v>
      </c>
      <c r="B232" s="119">
        <v>44685</v>
      </c>
      <c r="C232" s="118" t="e">
        <f t="shared" ca="1" si="33"/>
        <v>#REF!</v>
      </c>
      <c r="D232" s="118" t="e">
        <f t="shared" ca="1" si="34"/>
        <v>#REF!</v>
      </c>
      <c r="E232" s="118" t="e">
        <f t="shared" ca="1" si="35"/>
        <v>#REF!</v>
      </c>
      <c r="F232" s="118" t="e">
        <f t="shared" ca="1" si="36"/>
        <v>#REF!</v>
      </c>
      <c r="G232" s="118" t="e">
        <f t="shared" ca="1" si="37"/>
        <v>#REF!</v>
      </c>
      <c r="H232" s="118" t="e">
        <f t="shared" ca="1" si="38"/>
        <v>#REF!</v>
      </c>
      <c r="I232" s="118" t="e">
        <f t="shared" ca="1" si="39"/>
        <v>#REF!</v>
      </c>
      <c r="J232" s="118" t="e">
        <f t="shared" ca="1" si="40"/>
        <v>#REF!</v>
      </c>
      <c r="K232" s="118" t="e">
        <f t="shared" ca="1" si="41"/>
        <v>#REF!</v>
      </c>
      <c r="L232" s="118" t="e">
        <f t="shared" ca="1" si="42"/>
        <v>#REF!</v>
      </c>
      <c r="M232" s="118" t="e">
        <f t="shared" ca="1" si="43"/>
        <v>#REF!</v>
      </c>
    </row>
    <row r="233" spans="1:13" x14ac:dyDescent="0.25">
      <c r="A233" s="119">
        <v>44686</v>
      </c>
      <c r="B233" s="119">
        <v>44686</v>
      </c>
      <c r="C233" s="118" t="e">
        <f t="shared" ca="1" si="33"/>
        <v>#REF!</v>
      </c>
      <c r="D233" s="118" t="e">
        <f t="shared" ca="1" si="34"/>
        <v>#REF!</v>
      </c>
      <c r="E233" s="118" t="e">
        <f t="shared" ca="1" si="35"/>
        <v>#REF!</v>
      </c>
      <c r="F233" s="118" t="e">
        <f t="shared" ca="1" si="36"/>
        <v>#REF!</v>
      </c>
      <c r="G233" s="118" t="e">
        <f t="shared" ca="1" si="37"/>
        <v>#REF!</v>
      </c>
      <c r="H233" s="118" t="e">
        <f t="shared" ca="1" si="38"/>
        <v>#REF!</v>
      </c>
      <c r="I233" s="118" t="e">
        <f t="shared" ca="1" si="39"/>
        <v>#REF!</v>
      </c>
      <c r="J233" s="118" t="e">
        <f t="shared" ca="1" si="40"/>
        <v>#REF!</v>
      </c>
      <c r="K233" s="118" t="e">
        <f t="shared" ca="1" si="41"/>
        <v>#REF!</v>
      </c>
      <c r="L233" s="118" t="e">
        <f t="shared" ca="1" si="42"/>
        <v>#REF!</v>
      </c>
      <c r="M233" s="118" t="e">
        <f t="shared" ca="1" si="43"/>
        <v>#REF!</v>
      </c>
    </row>
    <row r="234" spans="1:13" x14ac:dyDescent="0.25">
      <c r="A234" s="119">
        <v>44687</v>
      </c>
      <c r="B234" s="119">
        <v>44687</v>
      </c>
      <c r="C234" s="118" t="e">
        <f t="shared" ca="1" si="33"/>
        <v>#REF!</v>
      </c>
      <c r="D234" s="118" t="e">
        <f t="shared" ca="1" si="34"/>
        <v>#REF!</v>
      </c>
      <c r="E234" s="118" t="e">
        <f t="shared" ca="1" si="35"/>
        <v>#REF!</v>
      </c>
      <c r="F234" s="118" t="e">
        <f t="shared" ca="1" si="36"/>
        <v>#REF!</v>
      </c>
      <c r="G234" s="118" t="e">
        <f t="shared" ca="1" si="37"/>
        <v>#REF!</v>
      </c>
      <c r="H234" s="118" t="e">
        <f t="shared" ca="1" si="38"/>
        <v>#REF!</v>
      </c>
      <c r="I234" s="118" t="e">
        <f t="shared" ca="1" si="39"/>
        <v>#REF!</v>
      </c>
      <c r="J234" s="118" t="e">
        <f t="shared" ca="1" si="40"/>
        <v>#REF!</v>
      </c>
      <c r="K234" s="118" t="e">
        <f t="shared" ca="1" si="41"/>
        <v>#REF!</v>
      </c>
      <c r="L234" s="118" t="e">
        <f t="shared" ca="1" si="42"/>
        <v>#REF!</v>
      </c>
      <c r="M234" s="118" t="e">
        <f t="shared" ca="1" si="43"/>
        <v>#REF!</v>
      </c>
    </row>
    <row r="235" spans="1:13" x14ac:dyDescent="0.25">
      <c r="A235" s="119">
        <v>44688</v>
      </c>
      <c r="B235" s="119">
        <v>44688</v>
      </c>
      <c r="C235" s="118" t="e">
        <f t="shared" ca="1" si="33"/>
        <v>#REF!</v>
      </c>
      <c r="D235" s="118" t="e">
        <f t="shared" ca="1" si="34"/>
        <v>#REF!</v>
      </c>
      <c r="E235" s="118" t="e">
        <f t="shared" ca="1" si="35"/>
        <v>#REF!</v>
      </c>
      <c r="F235" s="118" t="e">
        <f t="shared" ca="1" si="36"/>
        <v>#REF!</v>
      </c>
      <c r="G235" s="118" t="e">
        <f t="shared" ca="1" si="37"/>
        <v>#REF!</v>
      </c>
      <c r="H235" s="118" t="e">
        <f t="shared" ca="1" si="38"/>
        <v>#REF!</v>
      </c>
      <c r="I235" s="118" t="e">
        <f t="shared" ca="1" si="39"/>
        <v>#REF!</v>
      </c>
      <c r="J235" s="118" t="e">
        <f t="shared" ca="1" si="40"/>
        <v>#REF!</v>
      </c>
      <c r="K235" s="118" t="e">
        <f t="shared" ca="1" si="41"/>
        <v>#REF!</v>
      </c>
      <c r="L235" s="118" t="e">
        <f t="shared" ca="1" si="42"/>
        <v>#REF!</v>
      </c>
      <c r="M235" s="118" t="e">
        <f t="shared" ca="1" si="43"/>
        <v>#REF!</v>
      </c>
    </row>
    <row r="236" spans="1:13" x14ac:dyDescent="0.25">
      <c r="A236" s="119">
        <v>44689</v>
      </c>
      <c r="B236" s="119">
        <v>44689</v>
      </c>
      <c r="C236" s="118" t="e">
        <f t="shared" ca="1" si="33"/>
        <v>#REF!</v>
      </c>
      <c r="D236" s="118" t="e">
        <f t="shared" ca="1" si="34"/>
        <v>#REF!</v>
      </c>
      <c r="E236" s="118" t="e">
        <f t="shared" ca="1" si="35"/>
        <v>#REF!</v>
      </c>
      <c r="F236" s="118" t="e">
        <f t="shared" ca="1" si="36"/>
        <v>#REF!</v>
      </c>
      <c r="G236" s="118" t="e">
        <f t="shared" ca="1" si="37"/>
        <v>#REF!</v>
      </c>
      <c r="H236" s="118" t="e">
        <f t="shared" ca="1" si="38"/>
        <v>#REF!</v>
      </c>
      <c r="I236" s="118" t="e">
        <f t="shared" ca="1" si="39"/>
        <v>#REF!</v>
      </c>
      <c r="J236" s="118" t="e">
        <f t="shared" ca="1" si="40"/>
        <v>#REF!</v>
      </c>
      <c r="K236" s="118" t="e">
        <f t="shared" ca="1" si="41"/>
        <v>#REF!</v>
      </c>
      <c r="L236" s="118" t="e">
        <f t="shared" ca="1" si="42"/>
        <v>#REF!</v>
      </c>
      <c r="M236" s="118" t="e">
        <f t="shared" ca="1" si="43"/>
        <v>#REF!</v>
      </c>
    </row>
    <row r="237" spans="1:13" x14ac:dyDescent="0.25">
      <c r="A237" s="119">
        <v>44690</v>
      </c>
      <c r="B237" s="119">
        <v>44690</v>
      </c>
      <c r="C237" s="118" t="e">
        <f t="shared" ca="1" si="33"/>
        <v>#REF!</v>
      </c>
      <c r="D237" s="118" t="e">
        <f t="shared" ca="1" si="34"/>
        <v>#REF!</v>
      </c>
      <c r="E237" s="118" t="e">
        <f t="shared" ca="1" si="35"/>
        <v>#REF!</v>
      </c>
      <c r="F237" s="118" t="e">
        <f t="shared" ca="1" si="36"/>
        <v>#REF!</v>
      </c>
      <c r="G237" s="118" t="e">
        <f t="shared" ca="1" si="37"/>
        <v>#REF!</v>
      </c>
      <c r="H237" s="118" t="e">
        <f t="shared" ca="1" si="38"/>
        <v>#REF!</v>
      </c>
      <c r="I237" s="118" t="e">
        <f t="shared" ca="1" si="39"/>
        <v>#REF!</v>
      </c>
      <c r="J237" s="118" t="e">
        <f t="shared" ca="1" si="40"/>
        <v>#REF!</v>
      </c>
      <c r="K237" s="118" t="e">
        <f t="shared" ca="1" si="41"/>
        <v>#REF!</v>
      </c>
      <c r="L237" s="118" t="e">
        <f t="shared" ca="1" si="42"/>
        <v>#REF!</v>
      </c>
      <c r="M237" s="118" t="e">
        <f t="shared" ca="1" si="43"/>
        <v>#REF!</v>
      </c>
    </row>
    <row r="238" spans="1:13" x14ac:dyDescent="0.25">
      <c r="A238" s="119">
        <v>44691</v>
      </c>
      <c r="B238" s="119">
        <v>44691</v>
      </c>
      <c r="C238" s="118" t="e">
        <f t="shared" ca="1" si="33"/>
        <v>#REF!</v>
      </c>
      <c r="D238" s="118" t="e">
        <f t="shared" ca="1" si="34"/>
        <v>#REF!</v>
      </c>
      <c r="E238" s="118" t="e">
        <f t="shared" ca="1" si="35"/>
        <v>#REF!</v>
      </c>
      <c r="F238" s="118" t="e">
        <f t="shared" ca="1" si="36"/>
        <v>#REF!</v>
      </c>
      <c r="G238" s="118" t="e">
        <f t="shared" ca="1" si="37"/>
        <v>#REF!</v>
      </c>
      <c r="H238" s="118" t="e">
        <f t="shared" ca="1" si="38"/>
        <v>#REF!</v>
      </c>
      <c r="I238" s="118" t="e">
        <f t="shared" ca="1" si="39"/>
        <v>#REF!</v>
      </c>
      <c r="J238" s="118" t="e">
        <f t="shared" ca="1" si="40"/>
        <v>#REF!</v>
      </c>
      <c r="K238" s="118" t="e">
        <f t="shared" ca="1" si="41"/>
        <v>#REF!</v>
      </c>
      <c r="L238" s="118" t="e">
        <f t="shared" ca="1" si="42"/>
        <v>#REF!</v>
      </c>
      <c r="M238" s="118" t="e">
        <f t="shared" ca="1" si="43"/>
        <v>#REF!</v>
      </c>
    </row>
    <row r="239" spans="1:13" x14ac:dyDescent="0.25">
      <c r="A239" s="119">
        <v>44692</v>
      </c>
      <c r="B239" s="119">
        <v>44692</v>
      </c>
      <c r="C239" s="118" t="e">
        <f t="shared" ca="1" si="33"/>
        <v>#REF!</v>
      </c>
      <c r="D239" s="118" t="e">
        <f t="shared" ca="1" si="34"/>
        <v>#REF!</v>
      </c>
      <c r="E239" s="118" t="e">
        <f t="shared" ca="1" si="35"/>
        <v>#REF!</v>
      </c>
      <c r="F239" s="118" t="e">
        <f t="shared" ca="1" si="36"/>
        <v>#REF!</v>
      </c>
      <c r="G239" s="118" t="e">
        <f t="shared" ca="1" si="37"/>
        <v>#REF!</v>
      </c>
      <c r="H239" s="118" t="e">
        <f t="shared" ca="1" si="38"/>
        <v>#REF!</v>
      </c>
      <c r="I239" s="118" t="e">
        <f t="shared" ca="1" si="39"/>
        <v>#REF!</v>
      </c>
      <c r="J239" s="118" t="e">
        <f t="shared" ca="1" si="40"/>
        <v>#REF!</v>
      </c>
      <c r="K239" s="118" t="e">
        <f t="shared" ca="1" si="41"/>
        <v>#REF!</v>
      </c>
      <c r="L239" s="118" t="e">
        <f t="shared" ca="1" si="42"/>
        <v>#REF!</v>
      </c>
      <c r="M239" s="118" t="e">
        <f t="shared" ca="1" si="43"/>
        <v>#REF!</v>
      </c>
    </row>
    <row r="240" spans="1:13" x14ac:dyDescent="0.25">
      <c r="A240" s="119">
        <v>44693</v>
      </c>
      <c r="B240" s="119">
        <v>44693</v>
      </c>
      <c r="C240" s="118" t="e">
        <f t="shared" ca="1" si="33"/>
        <v>#REF!</v>
      </c>
      <c r="D240" s="118" t="e">
        <f t="shared" ca="1" si="34"/>
        <v>#REF!</v>
      </c>
      <c r="E240" s="118" t="e">
        <f t="shared" ca="1" si="35"/>
        <v>#REF!</v>
      </c>
      <c r="F240" s="118" t="e">
        <f t="shared" ca="1" si="36"/>
        <v>#REF!</v>
      </c>
      <c r="G240" s="118" t="e">
        <f t="shared" ca="1" si="37"/>
        <v>#REF!</v>
      </c>
      <c r="H240" s="118" t="e">
        <f t="shared" ca="1" si="38"/>
        <v>#REF!</v>
      </c>
      <c r="I240" s="118" t="e">
        <f t="shared" ca="1" si="39"/>
        <v>#REF!</v>
      </c>
      <c r="J240" s="118" t="e">
        <f t="shared" ca="1" si="40"/>
        <v>#REF!</v>
      </c>
      <c r="K240" s="118" t="e">
        <f t="shared" ca="1" si="41"/>
        <v>#REF!</v>
      </c>
      <c r="L240" s="118" t="e">
        <f t="shared" ca="1" si="42"/>
        <v>#REF!</v>
      </c>
      <c r="M240" s="118" t="e">
        <f t="shared" ca="1" si="43"/>
        <v>#REF!</v>
      </c>
    </row>
    <row r="241" spans="1:13" x14ac:dyDescent="0.25">
      <c r="A241" s="119">
        <v>44694</v>
      </c>
      <c r="B241" s="119">
        <v>44694</v>
      </c>
      <c r="C241" s="118" t="e">
        <f t="shared" ca="1" si="33"/>
        <v>#REF!</v>
      </c>
      <c r="D241" s="118" t="e">
        <f t="shared" ca="1" si="34"/>
        <v>#REF!</v>
      </c>
      <c r="E241" s="118" t="e">
        <f t="shared" ca="1" si="35"/>
        <v>#REF!</v>
      </c>
      <c r="F241" s="118" t="e">
        <f t="shared" ca="1" si="36"/>
        <v>#REF!</v>
      </c>
      <c r="G241" s="118" t="e">
        <f t="shared" ca="1" si="37"/>
        <v>#REF!</v>
      </c>
      <c r="H241" s="118" t="e">
        <f t="shared" ca="1" si="38"/>
        <v>#REF!</v>
      </c>
      <c r="I241" s="118" t="e">
        <f t="shared" ca="1" si="39"/>
        <v>#REF!</v>
      </c>
      <c r="J241" s="118" t="e">
        <f t="shared" ca="1" si="40"/>
        <v>#REF!</v>
      </c>
      <c r="K241" s="118" t="e">
        <f t="shared" ca="1" si="41"/>
        <v>#REF!</v>
      </c>
      <c r="L241" s="118" t="e">
        <f t="shared" ca="1" si="42"/>
        <v>#REF!</v>
      </c>
      <c r="M241" s="118" t="e">
        <f t="shared" ca="1" si="43"/>
        <v>#REF!</v>
      </c>
    </row>
    <row r="242" spans="1:13" x14ac:dyDescent="0.25">
      <c r="A242" s="119">
        <v>44695</v>
      </c>
      <c r="B242" s="119">
        <v>44695</v>
      </c>
      <c r="C242" s="118" t="e">
        <f t="shared" ca="1" si="33"/>
        <v>#REF!</v>
      </c>
      <c r="D242" s="118" t="e">
        <f t="shared" ca="1" si="34"/>
        <v>#REF!</v>
      </c>
      <c r="E242" s="118" t="e">
        <f t="shared" ca="1" si="35"/>
        <v>#REF!</v>
      </c>
      <c r="F242" s="118" t="e">
        <f t="shared" ca="1" si="36"/>
        <v>#REF!</v>
      </c>
      <c r="G242" s="118" t="e">
        <f t="shared" ca="1" si="37"/>
        <v>#REF!</v>
      </c>
      <c r="H242" s="118" t="e">
        <f t="shared" ca="1" si="38"/>
        <v>#REF!</v>
      </c>
      <c r="I242" s="118" t="e">
        <f t="shared" ca="1" si="39"/>
        <v>#REF!</v>
      </c>
      <c r="J242" s="118" t="e">
        <f t="shared" ca="1" si="40"/>
        <v>#REF!</v>
      </c>
      <c r="K242" s="118" t="e">
        <f t="shared" ca="1" si="41"/>
        <v>#REF!</v>
      </c>
      <c r="L242" s="118" t="e">
        <f t="shared" ca="1" si="42"/>
        <v>#REF!</v>
      </c>
      <c r="M242" s="118" t="e">
        <f t="shared" ca="1" si="43"/>
        <v>#REF!</v>
      </c>
    </row>
    <row r="243" spans="1:13" x14ac:dyDescent="0.25">
      <c r="A243" s="119">
        <v>44696</v>
      </c>
      <c r="B243" s="119">
        <v>44696</v>
      </c>
      <c r="C243" s="118" t="e">
        <f t="shared" ca="1" si="33"/>
        <v>#REF!</v>
      </c>
      <c r="D243" s="118" t="e">
        <f t="shared" ca="1" si="34"/>
        <v>#REF!</v>
      </c>
      <c r="E243" s="118" t="e">
        <f t="shared" ca="1" si="35"/>
        <v>#REF!</v>
      </c>
      <c r="F243" s="118" t="e">
        <f t="shared" ca="1" si="36"/>
        <v>#REF!</v>
      </c>
      <c r="G243" s="118" t="e">
        <f t="shared" ca="1" si="37"/>
        <v>#REF!</v>
      </c>
      <c r="H243" s="118" t="e">
        <f t="shared" ca="1" si="38"/>
        <v>#REF!</v>
      </c>
      <c r="I243" s="118" t="e">
        <f t="shared" ca="1" si="39"/>
        <v>#REF!</v>
      </c>
      <c r="J243" s="118" t="e">
        <f t="shared" ca="1" si="40"/>
        <v>#REF!</v>
      </c>
      <c r="K243" s="118" t="e">
        <f t="shared" ca="1" si="41"/>
        <v>#REF!</v>
      </c>
      <c r="L243" s="118" t="e">
        <f t="shared" ca="1" si="42"/>
        <v>#REF!</v>
      </c>
      <c r="M243" s="118" t="e">
        <f t="shared" ca="1" si="43"/>
        <v>#REF!</v>
      </c>
    </row>
    <row r="244" spans="1:13" x14ac:dyDescent="0.25">
      <c r="A244" s="119">
        <v>44697</v>
      </c>
      <c r="B244" s="119">
        <v>44697</v>
      </c>
      <c r="C244" s="118" t="e">
        <f t="shared" ca="1" si="33"/>
        <v>#REF!</v>
      </c>
      <c r="D244" s="118" t="e">
        <f t="shared" ca="1" si="34"/>
        <v>#REF!</v>
      </c>
      <c r="E244" s="118" t="e">
        <f t="shared" ca="1" si="35"/>
        <v>#REF!</v>
      </c>
      <c r="F244" s="118" t="e">
        <f t="shared" ca="1" si="36"/>
        <v>#REF!</v>
      </c>
      <c r="G244" s="118" t="e">
        <f t="shared" ca="1" si="37"/>
        <v>#REF!</v>
      </c>
      <c r="H244" s="118" t="e">
        <f t="shared" ca="1" si="38"/>
        <v>#REF!</v>
      </c>
      <c r="I244" s="118" t="e">
        <f t="shared" ca="1" si="39"/>
        <v>#REF!</v>
      </c>
      <c r="J244" s="118" t="e">
        <f t="shared" ca="1" si="40"/>
        <v>#REF!</v>
      </c>
      <c r="K244" s="118" t="e">
        <f t="shared" ca="1" si="41"/>
        <v>#REF!</v>
      </c>
      <c r="L244" s="118" t="e">
        <f t="shared" ca="1" si="42"/>
        <v>#REF!</v>
      </c>
      <c r="M244" s="118" t="e">
        <f t="shared" ca="1" si="43"/>
        <v>#REF!</v>
      </c>
    </row>
    <row r="245" spans="1:13" x14ac:dyDescent="0.25">
      <c r="A245" s="119">
        <v>44698</v>
      </c>
      <c r="B245" s="119">
        <v>44698</v>
      </c>
      <c r="C245" s="118" t="e">
        <f t="shared" ca="1" si="33"/>
        <v>#REF!</v>
      </c>
      <c r="D245" s="118" t="e">
        <f t="shared" ca="1" si="34"/>
        <v>#REF!</v>
      </c>
      <c r="E245" s="118" t="e">
        <f t="shared" ca="1" si="35"/>
        <v>#REF!</v>
      </c>
      <c r="F245" s="118" t="e">
        <f t="shared" ca="1" si="36"/>
        <v>#REF!</v>
      </c>
      <c r="G245" s="118" t="e">
        <f t="shared" ca="1" si="37"/>
        <v>#REF!</v>
      </c>
      <c r="H245" s="118" t="e">
        <f t="shared" ca="1" si="38"/>
        <v>#REF!</v>
      </c>
      <c r="I245" s="118" t="e">
        <f t="shared" ca="1" si="39"/>
        <v>#REF!</v>
      </c>
      <c r="J245" s="118" t="e">
        <f t="shared" ca="1" si="40"/>
        <v>#REF!</v>
      </c>
      <c r="K245" s="118" t="e">
        <f t="shared" ca="1" si="41"/>
        <v>#REF!</v>
      </c>
      <c r="L245" s="118" t="e">
        <f t="shared" ca="1" si="42"/>
        <v>#REF!</v>
      </c>
      <c r="M245" s="118" t="e">
        <f t="shared" ca="1" si="43"/>
        <v>#REF!</v>
      </c>
    </row>
    <row r="246" spans="1:13" x14ac:dyDescent="0.25">
      <c r="A246" s="119">
        <v>44699</v>
      </c>
      <c r="B246" s="119">
        <v>44699</v>
      </c>
      <c r="C246" s="118" t="e">
        <f t="shared" ca="1" si="33"/>
        <v>#REF!</v>
      </c>
      <c r="D246" s="118" t="e">
        <f t="shared" ca="1" si="34"/>
        <v>#REF!</v>
      </c>
      <c r="E246" s="118" t="e">
        <f t="shared" ca="1" si="35"/>
        <v>#REF!</v>
      </c>
      <c r="F246" s="118" t="e">
        <f t="shared" ca="1" si="36"/>
        <v>#REF!</v>
      </c>
      <c r="G246" s="118" t="e">
        <f t="shared" ca="1" si="37"/>
        <v>#REF!</v>
      </c>
      <c r="H246" s="118" t="e">
        <f t="shared" ca="1" si="38"/>
        <v>#REF!</v>
      </c>
      <c r="I246" s="118" t="e">
        <f t="shared" ca="1" si="39"/>
        <v>#REF!</v>
      </c>
      <c r="J246" s="118" t="e">
        <f t="shared" ca="1" si="40"/>
        <v>#REF!</v>
      </c>
      <c r="K246" s="118" t="e">
        <f t="shared" ca="1" si="41"/>
        <v>#REF!</v>
      </c>
      <c r="L246" s="118" t="e">
        <f t="shared" ca="1" si="42"/>
        <v>#REF!</v>
      </c>
      <c r="M246" s="118" t="e">
        <f t="shared" ca="1" si="43"/>
        <v>#REF!</v>
      </c>
    </row>
    <row r="247" spans="1:13" x14ac:dyDescent="0.25">
      <c r="A247" s="119">
        <v>44700</v>
      </c>
      <c r="B247" s="119">
        <v>44700</v>
      </c>
      <c r="C247" s="118" t="e">
        <f t="shared" ca="1" si="33"/>
        <v>#REF!</v>
      </c>
      <c r="D247" s="118" t="e">
        <f t="shared" ca="1" si="34"/>
        <v>#REF!</v>
      </c>
      <c r="E247" s="118" t="e">
        <f t="shared" ca="1" si="35"/>
        <v>#REF!</v>
      </c>
      <c r="F247" s="118" t="e">
        <f t="shared" ca="1" si="36"/>
        <v>#REF!</v>
      </c>
      <c r="G247" s="118" t="e">
        <f t="shared" ca="1" si="37"/>
        <v>#REF!</v>
      </c>
      <c r="H247" s="118" t="e">
        <f t="shared" ca="1" si="38"/>
        <v>#REF!</v>
      </c>
      <c r="I247" s="118" t="e">
        <f t="shared" ca="1" si="39"/>
        <v>#REF!</v>
      </c>
      <c r="J247" s="118" t="e">
        <f t="shared" ca="1" si="40"/>
        <v>#REF!</v>
      </c>
      <c r="K247" s="118" t="e">
        <f t="shared" ca="1" si="41"/>
        <v>#REF!</v>
      </c>
      <c r="L247" s="118" t="e">
        <f t="shared" ca="1" si="42"/>
        <v>#REF!</v>
      </c>
      <c r="M247" s="118" t="e">
        <f t="shared" ca="1" si="43"/>
        <v>#REF!</v>
      </c>
    </row>
    <row r="248" spans="1:13" x14ac:dyDescent="0.25">
      <c r="A248" s="119">
        <v>44701</v>
      </c>
      <c r="B248" s="119">
        <v>44701</v>
      </c>
      <c r="C248" s="118" t="e">
        <f t="shared" ca="1" si="33"/>
        <v>#REF!</v>
      </c>
      <c r="D248" s="118" t="e">
        <f t="shared" ca="1" si="34"/>
        <v>#REF!</v>
      </c>
      <c r="E248" s="118" t="e">
        <f t="shared" ca="1" si="35"/>
        <v>#REF!</v>
      </c>
      <c r="F248" s="118" t="e">
        <f t="shared" ca="1" si="36"/>
        <v>#REF!</v>
      </c>
      <c r="G248" s="118" t="e">
        <f t="shared" ca="1" si="37"/>
        <v>#REF!</v>
      </c>
      <c r="H248" s="118" t="e">
        <f t="shared" ca="1" si="38"/>
        <v>#REF!</v>
      </c>
      <c r="I248" s="118" t="e">
        <f t="shared" ca="1" si="39"/>
        <v>#REF!</v>
      </c>
      <c r="J248" s="118" t="e">
        <f t="shared" ca="1" si="40"/>
        <v>#REF!</v>
      </c>
      <c r="K248" s="118" t="e">
        <f t="shared" ca="1" si="41"/>
        <v>#REF!</v>
      </c>
      <c r="L248" s="118" t="e">
        <f t="shared" ca="1" si="42"/>
        <v>#REF!</v>
      </c>
      <c r="M248" s="118" t="e">
        <f t="shared" ca="1" si="43"/>
        <v>#REF!</v>
      </c>
    </row>
    <row r="249" spans="1:13" x14ac:dyDescent="0.25">
      <c r="A249" s="119">
        <v>44702</v>
      </c>
      <c r="B249" s="119">
        <v>44702</v>
      </c>
      <c r="C249" s="118" t="e">
        <f t="shared" ca="1" si="33"/>
        <v>#REF!</v>
      </c>
      <c r="D249" s="118" t="e">
        <f t="shared" ca="1" si="34"/>
        <v>#REF!</v>
      </c>
      <c r="E249" s="118" t="e">
        <f t="shared" ca="1" si="35"/>
        <v>#REF!</v>
      </c>
      <c r="F249" s="118" t="e">
        <f t="shared" ca="1" si="36"/>
        <v>#REF!</v>
      </c>
      <c r="G249" s="118" t="e">
        <f t="shared" ca="1" si="37"/>
        <v>#REF!</v>
      </c>
      <c r="H249" s="118" t="e">
        <f t="shared" ca="1" si="38"/>
        <v>#REF!</v>
      </c>
      <c r="I249" s="118" t="e">
        <f t="shared" ca="1" si="39"/>
        <v>#REF!</v>
      </c>
      <c r="J249" s="118" t="e">
        <f t="shared" ca="1" si="40"/>
        <v>#REF!</v>
      </c>
      <c r="K249" s="118" t="e">
        <f t="shared" ca="1" si="41"/>
        <v>#REF!</v>
      </c>
      <c r="L249" s="118" t="e">
        <f t="shared" ca="1" si="42"/>
        <v>#REF!</v>
      </c>
      <c r="M249" s="118" t="e">
        <f t="shared" ca="1" si="43"/>
        <v>#REF!</v>
      </c>
    </row>
    <row r="250" spans="1:13" x14ac:dyDescent="0.25">
      <c r="A250" s="119">
        <v>44703</v>
      </c>
      <c r="B250" s="119">
        <v>44703</v>
      </c>
      <c r="C250" s="118" t="e">
        <f t="shared" ca="1" si="33"/>
        <v>#REF!</v>
      </c>
      <c r="D250" s="118" t="e">
        <f t="shared" ca="1" si="34"/>
        <v>#REF!</v>
      </c>
      <c r="E250" s="118" t="e">
        <f t="shared" ca="1" si="35"/>
        <v>#REF!</v>
      </c>
      <c r="F250" s="118" t="e">
        <f t="shared" ca="1" si="36"/>
        <v>#REF!</v>
      </c>
      <c r="G250" s="118" t="e">
        <f t="shared" ca="1" si="37"/>
        <v>#REF!</v>
      </c>
      <c r="H250" s="118" t="e">
        <f t="shared" ca="1" si="38"/>
        <v>#REF!</v>
      </c>
      <c r="I250" s="118" t="e">
        <f t="shared" ca="1" si="39"/>
        <v>#REF!</v>
      </c>
      <c r="J250" s="118" t="e">
        <f t="shared" ca="1" si="40"/>
        <v>#REF!</v>
      </c>
      <c r="K250" s="118" t="e">
        <f t="shared" ca="1" si="41"/>
        <v>#REF!</v>
      </c>
      <c r="L250" s="118" t="e">
        <f t="shared" ca="1" si="42"/>
        <v>#REF!</v>
      </c>
      <c r="M250" s="118" t="e">
        <f t="shared" ca="1" si="43"/>
        <v>#REF!</v>
      </c>
    </row>
    <row r="251" spans="1:13" x14ac:dyDescent="0.25">
      <c r="A251" s="119">
        <v>44704</v>
      </c>
      <c r="B251" s="119">
        <v>44704</v>
      </c>
      <c r="C251" s="118" t="e">
        <f t="shared" ca="1" si="33"/>
        <v>#REF!</v>
      </c>
      <c r="D251" s="118" t="e">
        <f t="shared" ca="1" si="34"/>
        <v>#REF!</v>
      </c>
      <c r="E251" s="118" t="e">
        <f t="shared" ca="1" si="35"/>
        <v>#REF!</v>
      </c>
      <c r="F251" s="118" t="e">
        <f t="shared" ca="1" si="36"/>
        <v>#REF!</v>
      </c>
      <c r="G251" s="118" t="e">
        <f t="shared" ca="1" si="37"/>
        <v>#REF!</v>
      </c>
      <c r="H251" s="118" t="e">
        <f t="shared" ca="1" si="38"/>
        <v>#REF!</v>
      </c>
      <c r="I251" s="118" t="e">
        <f t="shared" ca="1" si="39"/>
        <v>#REF!</v>
      </c>
      <c r="J251" s="118" t="e">
        <f t="shared" ca="1" si="40"/>
        <v>#REF!</v>
      </c>
      <c r="K251" s="118" t="e">
        <f t="shared" ca="1" si="41"/>
        <v>#REF!</v>
      </c>
      <c r="L251" s="118" t="e">
        <f t="shared" ca="1" si="42"/>
        <v>#REF!</v>
      </c>
      <c r="M251" s="118" t="e">
        <f t="shared" ca="1" si="43"/>
        <v>#REF!</v>
      </c>
    </row>
    <row r="252" spans="1:13" x14ac:dyDescent="0.25">
      <c r="A252" s="119">
        <v>44705</v>
      </c>
      <c r="B252" s="119">
        <v>44705</v>
      </c>
      <c r="C252" s="118" t="e">
        <f t="shared" ca="1" si="33"/>
        <v>#REF!</v>
      </c>
      <c r="D252" s="118" t="e">
        <f t="shared" ca="1" si="34"/>
        <v>#REF!</v>
      </c>
      <c r="E252" s="118" t="e">
        <f t="shared" ca="1" si="35"/>
        <v>#REF!</v>
      </c>
      <c r="F252" s="118" t="e">
        <f t="shared" ca="1" si="36"/>
        <v>#REF!</v>
      </c>
      <c r="G252" s="118" t="e">
        <f t="shared" ca="1" si="37"/>
        <v>#REF!</v>
      </c>
      <c r="H252" s="118" t="e">
        <f t="shared" ca="1" si="38"/>
        <v>#REF!</v>
      </c>
      <c r="I252" s="118" t="e">
        <f t="shared" ca="1" si="39"/>
        <v>#REF!</v>
      </c>
      <c r="J252" s="118" t="e">
        <f t="shared" ca="1" si="40"/>
        <v>#REF!</v>
      </c>
      <c r="K252" s="118" t="e">
        <f t="shared" ca="1" si="41"/>
        <v>#REF!</v>
      </c>
      <c r="L252" s="118" t="e">
        <f t="shared" ca="1" si="42"/>
        <v>#REF!</v>
      </c>
      <c r="M252" s="118" t="e">
        <f t="shared" ca="1" si="43"/>
        <v>#REF!</v>
      </c>
    </row>
    <row r="253" spans="1:13" x14ac:dyDescent="0.25">
      <c r="A253" s="119">
        <v>44706</v>
      </c>
      <c r="B253" s="119">
        <v>44706</v>
      </c>
      <c r="C253" s="118" t="e">
        <f t="shared" ca="1" si="33"/>
        <v>#REF!</v>
      </c>
      <c r="D253" s="118" t="e">
        <f t="shared" ca="1" si="34"/>
        <v>#REF!</v>
      </c>
      <c r="E253" s="118" t="e">
        <f t="shared" ca="1" si="35"/>
        <v>#REF!</v>
      </c>
      <c r="F253" s="118" t="e">
        <f t="shared" ca="1" si="36"/>
        <v>#REF!</v>
      </c>
      <c r="G253" s="118" t="e">
        <f t="shared" ca="1" si="37"/>
        <v>#REF!</v>
      </c>
      <c r="H253" s="118" t="e">
        <f t="shared" ca="1" si="38"/>
        <v>#REF!</v>
      </c>
      <c r="I253" s="118" t="e">
        <f t="shared" ca="1" si="39"/>
        <v>#REF!</v>
      </c>
      <c r="J253" s="118" t="e">
        <f t="shared" ca="1" si="40"/>
        <v>#REF!</v>
      </c>
      <c r="K253" s="118" t="e">
        <f t="shared" ca="1" si="41"/>
        <v>#REF!</v>
      </c>
      <c r="L253" s="118" t="e">
        <f t="shared" ca="1" si="42"/>
        <v>#REF!</v>
      </c>
      <c r="M253" s="118" t="e">
        <f t="shared" ca="1" si="43"/>
        <v>#REF!</v>
      </c>
    </row>
    <row r="254" spans="1:13" x14ac:dyDescent="0.25">
      <c r="A254" s="119" t="s">
        <v>187</v>
      </c>
      <c r="B254" s="119">
        <v>44707</v>
      </c>
      <c r="C254" s="118" t="e">
        <f t="shared" ca="1" si="33"/>
        <v>#REF!</v>
      </c>
      <c r="D254" s="118" t="e">
        <f t="shared" ca="1" si="34"/>
        <v>#REF!</v>
      </c>
      <c r="E254" s="118" t="e">
        <f t="shared" ca="1" si="35"/>
        <v>#REF!</v>
      </c>
      <c r="F254" s="118" t="e">
        <f t="shared" ca="1" si="36"/>
        <v>#REF!</v>
      </c>
      <c r="G254" s="118" t="e">
        <f t="shared" ca="1" si="37"/>
        <v>#REF!</v>
      </c>
      <c r="H254" s="118" t="e">
        <f t="shared" ca="1" si="38"/>
        <v>#REF!</v>
      </c>
      <c r="I254" s="118" t="e">
        <f t="shared" ca="1" si="39"/>
        <v>#REF!</v>
      </c>
      <c r="J254" s="118" t="e">
        <f t="shared" ca="1" si="40"/>
        <v>#REF!</v>
      </c>
      <c r="K254" s="118" t="e">
        <f t="shared" ca="1" si="41"/>
        <v>#REF!</v>
      </c>
      <c r="L254" s="118" t="e">
        <f t="shared" ca="1" si="42"/>
        <v>#REF!</v>
      </c>
      <c r="M254" s="118" t="e">
        <f t="shared" ca="1" si="43"/>
        <v>#REF!</v>
      </c>
    </row>
    <row r="255" spans="1:13" x14ac:dyDescent="0.25">
      <c r="A255" s="119">
        <v>44708</v>
      </c>
      <c r="B255" s="119">
        <v>44708</v>
      </c>
      <c r="C255" s="118" t="e">
        <f t="shared" ca="1" si="33"/>
        <v>#REF!</v>
      </c>
      <c r="D255" s="118" t="e">
        <f t="shared" ca="1" si="34"/>
        <v>#REF!</v>
      </c>
      <c r="E255" s="118" t="e">
        <f t="shared" ca="1" si="35"/>
        <v>#REF!</v>
      </c>
      <c r="F255" s="118" t="e">
        <f t="shared" ca="1" si="36"/>
        <v>#REF!</v>
      </c>
      <c r="G255" s="118" t="e">
        <f t="shared" ca="1" si="37"/>
        <v>#REF!</v>
      </c>
      <c r="H255" s="118" t="e">
        <f t="shared" ca="1" si="38"/>
        <v>#REF!</v>
      </c>
      <c r="I255" s="118" t="e">
        <f t="shared" ca="1" si="39"/>
        <v>#REF!</v>
      </c>
      <c r="J255" s="118" t="e">
        <f t="shared" ca="1" si="40"/>
        <v>#REF!</v>
      </c>
      <c r="K255" s="118" t="e">
        <f t="shared" ca="1" si="41"/>
        <v>#REF!</v>
      </c>
      <c r="L255" s="118" t="e">
        <f t="shared" ca="1" si="42"/>
        <v>#REF!</v>
      </c>
      <c r="M255" s="118" t="e">
        <f t="shared" ca="1" si="43"/>
        <v>#REF!</v>
      </c>
    </row>
    <row r="256" spans="1:13" x14ac:dyDescent="0.25">
      <c r="A256" s="119">
        <v>44709</v>
      </c>
      <c r="B256" s="119">
        <v>44709</v>
      </c>
      <c r="C256" s="118" t="e">
        <f t="shared" ca="1" si="33"/>
        <v>#REF!</v>
      </c>
      <c r="D256" s="118" t="e">
        <f t="shared" ca="1" si="34"/>
        <v>#REF!</v>
      </c>
      <c r="E256" s="118" t="e">
        <f t="shared" ca="1" si="35"/>
        <v>#REF!</v>
      </c>
      <c r="F256" s="118" t="e">
        <f t="shared" ca="1" si="36"/>
        <v>#REF!</v>
      </c>
      <c r="G256" s="118" t="e">
        <f t="shared" ca="1" si="37"/>
        <v>#REF!</v>
      </c>
      <c r="H256" s="118" t="e">
        <f t="shared" ca="1" si="38"/>
        <v>#REF!</v>
      </c>
      <c r="I256" s="118" t="e">
        <f t="shared" ca="1" si="39"/>
        <v>#REF!</v>
      </c>
      <c r="J256" s="118" t="e">
        <f t="shared" ca="1" si="40"/>
        <v>#REF!</v>
      </c>
      <c r="K256" s="118" t="e">
        <f t="shared" ca="1" si="41"/>
        <v>#REF!</v>
      </c>
      <c r="L256" s="118" t="e">
        <f t="shared" ca="1" si="42"/>
        <v>#REF!</v>
      </c>
      <c r="M256" s="118" t="e">
        <f t="shared" ca="1" si="43"/>
        <v>#REF!</v>
      </c>
    </row>
    <row r="257" spans="1:13" x14ac:dyDescent="0.25">
      <c r="A257" s="119">
        <v>44710</v>
      </c>
      <c r="B257" s="119">
        <v>44710</v>
      </c>
      <c r="C257" s="118" t="e">
        <f t="shared" ca="1" si="33"/>
        <v>#REF!</v>
      </c>
      <c r="D257" s="118" t="e">
        <f t="shared" ca="1" si="34"/>
        <v>#REF!</v>
      </c>
      <c r="E257" s="118" t="e">
        <f t="shared" ca="1" si="35"/>
        <v>#REF!</v>
      </c>
      <c r="F257" s="118" t="e">
        <f t="shared" ca="1" si="36"/>
        <v>#REF!</v>
      </c>
      <c r="G257" s="118" t="e">
        <f t="shared" ca="1" si="37"/>
        <v>#REF!</v>
      </c>
      <c r="H257" s="118" t="e">
        <f t="shared" ca="1" si="38"/>
        <v>#REF!</v>
      </c>
      <c r="I257" s="118" t="e">
        <f t="shared" ca="1" si="39"/>
        <v>#REF!</v>
      </c>
      <c r="J257" s="118" t="e">
        <f t="shared" ca="1" si="40"/>
        <v>#REF!</v>
      </c>
      <c r="K257" s="118" t="e">
        <f t="shared" ca="1" si="41"/>
        <v>#REF!</v>
      </c>
      <c r="L257" s="118" t="e">
        <f t="shared" ca="1" si="42"/>
        <v>#REF!</v>
      </c>
      <c r="M257" s="118" t="e">
        <f t="shared" ca="1" si="43"/>
        <v>#REF!</v>
      </c>
    </row>
    <row r="258" spans="1:13" x14ac:dyDescent="0.25">
      <c r="A258" s="119">
        <v>44711</v>
      </c>
      <c r="B258" s="119">
        <v>44711</v>
      </c>
      <c r="C258" s="118" t="e">
        <f t="shared" ca="1" si="33"/>
        <v>#REF!</v>
      </c>
      <c r="D258" s="118" t="e">
        <f t="shared" ca="1" si="34"/>
        <v>#REF!</v>
      </c>
      <c r="E258" s="118" t="e">
        <f t="shared" ca="1" si="35"/>
        <v>#REF!</v>
      </c>
      <c r="F258" s="118" t="e">
        <f t="shared" ca="1" si="36"/>
        <v>#REF!</v>
      </c>
      <c r="G258" s="118" t="e">
        <f t="shared" ca="1" si="37"/>
        <v>#REF!</v>
      </c>
      <c r="H258" s="118" t="e">
        <f t="shared" ca="1" si="38"/>
        <v>#REF!</v>
      </c>
      <c r="I258" s="118" t="e">
        <f t="shared" ca="1" si="39"/>
        <v>#REF!</v>
      </c>
      <c r="J258" s="118" t="e">
        <f t="shared" ca="1" si="40"/>
        <v>#REF!</v>
      </c>
      <c r="K258" s="118" t="e">
        <f t="shared" ca="1" si="41"/>
        <v>#REF!</v>
      </c>
      <c r="L258" s="118" t="e">
        <f t="shared" ca="1" si="42"/>
        <v>#REF!</v>
      </c>
      <c r="M258" s="118" t="e">
        <f t="shared" ca="1" si="43"/>
        <v>#REF!</v>
      </c>
    </row>
    <row r="259" spans="1:13" x14ac:dyDescent="0.25">
      <c r="A259" s="119">
        <v>44712</v>
      </c>
      <c r="B259" s="119">
        <v>44712</v>
      </c>
      <c r="C259" s="118" t="e">
        <f t="shared" ref="C259:C322" ca="1" si="44">INDIRECT(CONCATENATE("",$A259,"!H10"))</f>
        <v>#REF!</v>
      </c>
      <c r="D259" s="118" t="e">
        <f t="shared" ref="D259:D322" ca="1" si="45">INDIRECT(CONCATENATE("",$A259,"!H11"))</f>
        <v>#REF!</v>
      </c>
      <c r="E259" s="118" t="e">
        <f t="shared" ref="E259:E322" ca="1" si="46">INDIRECT(CONCATENATE("",$A259,"!H12"))</f>
        <v>#REF!</v>
      </c>
      <c r="F259" s="118" t="e">
        <f t="shared" ref="F259:F322" ca="1" si="47">INDIRECT(CONCATENATE("",$A259,"!H13"))</f>
        <v>#REF!</v>
      </c>
      <c r="G259" s="118" t="e">
        <f t="shared" ref="G259:G322" ca="1" si="48">INDIRECT(CONCATENATE("",$A259,"!H14"))</f>
        <v>#REF!</v>
      </c>
      <c r="H259" s="118" t="e">
        <f t="shared" ref="H259:H322" ca="1" si="49">INDIRECT(CONCATENATE("",$A259,"!i12"))</f>
        <v>#REF!</v>
      </c>
      <c r="I259" s="118" t="e">
        <f t="shared" ref="I259:I322" ca="1" si="50">INDIRECT(CONCATENATE("",$A259,"!i13"))</f>
        <v>#REF!</v>
      </c>
      <c r="J259" s="118" t="e">
        <f t="shared" ref="J259:J322" ca="1" si="51">INDIRECT(CONCATENATE("",$A259,"!i14"))</f>
        <v>#REF!</v>
      </c>
      <c r="K259" s="118" t="e">
        <f t="shared" ref="K259:K322" ca="1" si="52">INDIRECT(CONCATENATE("",$A259,"!J12"))</f>
        <v>#REF!</v>
      </c>
      <c r="L259" s="118" t="e">
        <f t="shared" ref="L259:L322" ca="1" si="53">INDIRECT(CONCATENATE("",$A259,"!J13"))</f>
        <v>#REF!</v>
      </c>
      <c r="M259" s="118" t="e">
        <f t="shared" ref="M259:M322" ca="1" si="54">INDIRECT(CONCATENATE("",$A259,"!J14"))</f>
        <v>#REF!</v>
      </c>
    </row>
    <row r="260" spans="1:13" x14ac:dyDescent="0.25">
      <c r="A260" s="119">
        <v>44713</v>
      </c>
      <c r="B260" s="119">
        <v>44713</v>
      </c>
      <c r="C260" s="118" t="e">
        <f t="shared" ca="1" si="44"/>
        <v>#REF!</v>
      </c>
      <c r="D260" s="118" t="e">
        <f t="shared" ca="1" si="45"/>
        <v>#REF!</v>
      </c>
      <c r="E260" s="118" t="e">
        <f t="shared" ca="1" si="46"/>
        <v>#REF!</v>
      </c>
      <c r="F260" s="118" t="e">
        <f t="shared" ca="1" si="47"/>
        <v>#REF!</v>
      </c>
      <c r="G260" s="118" t="e">
        <f t="shared" ca="1" si="48"/>
        <v>#REF!</v>
      </c>
      <c r="H260" s="118" t="e">
        <f t="shared" ca="1" si="49"/>
        <v>#REF!</v>
      </c>
      <c r="I260" s="118" t="e">
        <f t="shared" ca="1" si="50"/>
        <v>#REF!</v>
      </c>
      <c r="J260" s="118" t="e">
        <f t="shared" ca="1" si="51"/>
        <v>#REF!</v>
      </c>
      <c r="K260" s="118" t="e">
        <f t="shared" ca="1" si="52"/>
        <v>#REF!</v>
      </c>
      <c r="L260" s="118" t="e">
        <f t="shared" ca="1" si="53"/>
        <v>#REF!</v>
      </c>
      <c r="M260" s="118" t="e">
        <f t="shared" ca="1" si="54"/>
        <v>#REF!</v>
      </c>
    </row>
    <row r="261" spans="1:13" x14ac:dyDescent="0.25">
      <c r="A261" s="119" t="s">
        <v>188</v>
      </c>
      <c r="B261" s="119">
        <v>44714</v>
      </c>
      <c r="C261" s="118" t="e">
        <f t="shared" ca="1" si="44"/>
        <v>#REF!</v>
      </c>
      <c r="D261" s="118" t="e">
        <f t="shared" ca="1" si="45"/>
        <v>#REF!</v>
      </c>
      <c r="E261" s="118" t="e">
        <f t="shared" ca="1" si="46"/>
        <v>#REF!</v>
      </c>
      <c r="F261" s="118" t="e">
        <f t="shared" ca="1" si="47"/>
        <v>#REF!</v>
      </c>
      <c r="G261" s="118" t="e">
        <f t="shared" ca="1" si="48"/>
        <v>#REF!</v>
      </c>
      <c r="H261" s="118" t="e">
        <f t="shared" ca="1" si="49"/>
        <v>#REF!</v>
      </c>
      <c r="I261" s="118" t="e">
        <f t="shared" ca="1" si="50"/>
        <v>#REF!</v>
      </c>
      <c r="J261" s="118" t="e">
        <f t="shared" ca="1" si="51"/>
        <v>#REF!</v>
      </c>
      <c r="K261" s="118" t="e">
        <f t="shared" ca="1" si="52"/>
        <v>#REF!</v>
      </c>
      <c r="L261" s="118" t="e">
        <f t="shared" ca="1" si="53"/>
        <v>#REF!</v>
      </c>
      <c r="M261" s="118" t="e">
        <f t="shared" ca="1" si="54"/>
        <v>#REF!</v>
      </c>
    </row>
    <row r="262" spans="1:13" x14ac:dyDescent="0.25">
      <c r="A262" s="119">
        <v>44715</v>
      </c>
      <c r="B262" s="119">
        <v>44715</v>
      </c>
      <c r="C262" s="118" t="e">
        <f t="shared" ca="1" si="44"/>
        <v>#REF!</v>
      </c>
      <c r="D262" s="118" t="e">
        <f t="shared" ca="1" si="45"/>
        <v>#REF!</v>
      </c>
      <c r="E262" s="118" t="e">
        <f t="shared" ca="1" si="46"/>
        <v>#REF!</v>
      </c>
      <c r="F262" s="118" t="e">
        <f t="shared" ca="1" si="47"/>
        <v>#REF!</v>
      </c>
      <c r="G262" s="118" t="e">
        <f t="shared" ca="1" si="48"/>
        <v>#REF!</v>
      </c>
      <c r="H262" s="118" t="e">
        <f t="shared" ca="1" si="49"/>
        <v>#REF!</v>
      </c>
      <c r="I262" s="118" t="e">
        <f t="shared" ca="1" si="50"/>
        <v>#REF!</v>
      </c>
      <c r="J262" s="118" t="e">
        <f t="shared" ca="1" si="51"/>
        <v>#REF!</v>
      </c>
      <c r="K262" s="118" t="e">
        <f t="shared" ca="1" si="52"/>
        <v>#REF!</v>
      </c>
      <c r="L262" s="118" t="e">
        <f t="shared" ca="1" si="53"/>
        <v>#REF!</v>
      </c>
      <c r="M262" s="118" t="e">
        <f t="shared" ca="1" si="54"/>
        <v>#REF!</v>
      </c>
    </row>
    <row r="263" spans="1:13" x14ac:dyDescent="0.25">
      <c r="A263" s="119">
        <v>44716</v>
      </c>
      <c r="B263" s="119">
        <v>44716</v>
      </c>
      <c r="C263" s="118" t="e">
        <f t="shared" ca="1" si="44"/>
        <v>#REF!</v>
      </c>
      <c r="D263" s="118" t="e">
        <f t="shared" ca="1" si="45"/>
        <v>#REF!</v>
      </c>
      <c r="E263" s="118" t="e">
        <f t="shared" ca="1" si="46"/>
        <v>#REF!</v>
      </c>
      <c r="F263" s="118" t="e">
        <f t="shared" ca="1" si="47"/>
        <v>#REF!</v>
      </c>
      <c r="G263" s="118" t="e">
        <f t="shared" ca="1" si="48"/>
        <v>#REF!</v>
      </c>
      <c r="H263" s="118" t="e">
        <f t="shared" ca="1" si="49"/>
        <v>#REF!</v>
      </c>
      <c r="I263" s="118" t="e">
        <f t="shared" ca="1" si="50"/>
        <v>#REF!</v>
      </c>
      <c r="J263" s="118" t="e">
        <f t="shared" ca="1" si="51"/>
        <v>#REF!</v>
      </c>
      <c r="K263" s="118" t="e">
        <f t="shared" ca="1" si="52"/>
        <v>#REF!</v>
      </c>
      <c r="L263" s="118" t="e">
        <f t="shared" ca="1" si="53"/>
        <v>#REF!</v>
      </c>
      <c r="M263" s="118" t="e">
        <f t="shared" ca="1" si="54"/>
        <v>#REF!</v>
      </c>
    </row>
    <row r="264" spans="1:13" x14ac:dyDescent="0.25">
      <c r="A264" s="119">
        <v>44717</v>
      </c>
      <c r="B264" s="119">
        <v>44717</v>
      </c>
      <c r="C264" s="118" t="e">
        <f t="shared" ca="1" si="44"/>
        <v>#REF!</v>
      </c>
      <c r="D264" s="118" t="e">
        <f t="shared" ca="1" si="45"/>
        <v>#REF!</v>
      </c>
      <c r="E264" s="118" t="e">
        <f t="shared" ca="1" si="46"/>
        <v>#REF!</v>
      </c>
      <c r="F264" s="118" t="e">
        <f t="shared" ca="1" si="47"/>
        <v>#REF!</v>
      </c>
      <c r="G264" s="118" t="e">
        <f t="shared" ca="1" si="48"/>
        <v>#REF!</v>
      </c>
      <c r="H264" s="118" t="e">
        <f t="shared" ca="1" si="49"/>
        <v>#REF!</v>
      </c>
      <c r="I264" s="118" t="e">
        <f t="shared" ca="1" si="50"/>
        <v>#REF!</v>
      </c>
      <c r="J264" s="118" t="e">
        <f t="shared" ca="1" si="51"/>
        <v>#REF!</v>
      </c>
      <c r="K264" s="118" t="e">
        <f t="shared" ca="1" si="52"/>
        <v>#REF!</v>
      </c>
      <c r="L264" s="118" t="e">
        <f t="shared" ca="1" si="53"/>
        <v>#REF!</v>
      </c>
      <c r="M264" s="118" t="e">
        <f t="shared" ca="1" si="54"/>
        <v>#REF!</v>
      </c>
    </row>
    <row r="265" spans="1:13" x14ac:dyDescent="0.25">
      <c r="A265" s="119">
        <v>44718</v>
      </c>
      <c r="B265" s="119">
        <v>44718</v>
      </c>
      <c r="C265" s="118" t="e">
        <f t="shared" ca="1" si="44"/>
        <v>#REF!</v>
      </c>
      <c r="D265" s="118" t="e">
        <f t="shared" ca="1" si="45"/>
        <v>#REF!</v>
      </c>
      <c r="E265" s="118" t="e">
        <f t="shared" ca="1" si="46"/>
        <v>#REF!</v>
      </c>
      <c r="F265" s="118" t="e">
        <f t="shared" ca="1" si="47"/>
        <v>#REF!</v>
      </c>
      <c r="G265" s="118" t="e">
        <f t="shared" ca="1" si="48"/>
        <v>#REF!</v>
      </c>
      <c r="H265" s="118" t="e">
        <f t="shared" ca="1" si="49"/>
        <v>#REF!</v>
      </c>
      <c r="I265" s="118" t="e">
        <f t="shared" ca="1" si="50"/>
        <v>#REF!</v>
      </c>
      <c r="J265" s="118" t="e">
        <f t="shared" ca="1" si="51"/>
        <v>#REF!</v>
      </c>
      <c r="K265" s="118" t="e">
        <f t="shared" ca="1" si="52"/>
        <v>#REF!</v>
      </c>
      <c r="L265" s="118" t="e">
        <f t="shared" ca="1" si="53"/>
        <v>#REF!</v>
      </c>
      <c r="M265" s="118" t="e">
        <f t="shared" ca="1" si="54"/>
        <v>#REF!</v>
      </c>
    </row>
    <row r="266" spans="1:13" x14ac:dyDescent="0.25">
      <c r="A266" s="119">
        <v>44719</v>
      </c>
      <c r="B266" s="119">
        <v>44719</v>
      </c>
      <c r="C266" s="118" t="e">
        <f t="shared" ca="1" si="44"/>
        <v>#REF!</v>
      </c>
      <c r="D266" s="118" t="e">
        <f t="shared" ca="1" si="45"/>
        <v>#REF!</v>
      </c>
      <c r="E266" s="118" t="e">
        <f t="shared" ca="1" si="46"/>
        <v>#REF!</v>
      </c>
      <c r="F266" s="118" t="e">
        <f t="shared" ca="1" si="47"/>
        <v>#REF!</v>
      </c>
      <c r="G266" s="118" t="e">
        <f t="shared" ca="1" si="48"/>
        <v>#REF!</v>
      </c>
      <c r="H266" s="118" t="e">
        <f t="shared" ca="1" si="49"/>
        <v>#REF!</v>
      </c>
      <c r="I266" s="118" t="e">
        <f t="shared" ca="1" si="50"/>
        <v>#REF!</v>
      </c>
      <c r="J266" s="118" t="e">
        <f t="shared" ca="1" si="51"/>
        <v>#REF!</v>
      </c>
      <c r="K266" s="118" t="e">
        <f t="shared" ca="1" si="52"/>
        <v>#REF!</v>
      </c>
      <c r="L266" s="118" t="e">
        <f t="shared" ca="1" si="53"/>
        <v>#REF!</v>
      </c>
      <c r="M266" s="118" t="e">
        <f t="shared" ca="1" si="54"/>
        <v>#REF!</v>
      </c>
    </row>
    <row r="267" spans="1:13" x14ac:dyDescent="0.25">
      <c r="A267" s="119">
        <v>44720</v>
      </c>
      <c r="B267" s="119">
        <v>44720</v>
      </c>
      <c r="C267" s="118" t="e">
        <f t="shared" ca="1" si="44"/>
        <v>#REF!</v>
      </c>
      <c r="D267" s="118" t="e">
        <f t="shared" ca="1" si="45"/>
        <v>#REF!</v>
      </c>
      <c r="E267" s="118" t="e">
        <f t="shared" ca="1" si="46"/>
        <v>#REF!</v>
      </c>
      <c r="F267" s="118" t="e">
        <f t="shared" ca="1" si="47"/>
        <v>#REF!</v>
      </c>
      <c r="G267" s="118" t="e">
        <f t="shared" ca="1" si="48"/>
        <v>#REF!</v>
      </c>
      <c r="H267" s="118" t="e">
        <f t="shared" ca="1" si="49"/>
        <v>#REF!</v>
      </c>
      <c r="I267" s="118" t="e">
        <f t="shared" ca="1" si="50"/>
        <v>#REF!</v>
      </c>
      <c r="J267" s="118" t="e">
        <f t="shared" ca="1" si="51"/>
        <v>#REF!</v>
      </c>
      <c r="K267" s="118" t="e">
        <f t="shared" ca="1" si="52"/>
        <v>#REF!</v>
      </c>
      <c r="L267" s="118" t="e">
        <f t="shared" ca="1" si="53"/>
        <v>#REF!</v>
      </c>
      <c r="M267" s="118" t="e">
        <f t="shared" ca="1" si="54"/>
        <v>#REF!</v>
      </c>
    </row>
    <row r="268" spans="1:13" x14ac:dyDescent="0.25">
      <c r="A268" s="119" t="s">
        <v>189</v>
      </c>
      <c r="B268" s="119">
        <v>44721</v>
      </c>
      <c r="C268" s="118" t="e">
        <f t="shared" ca="1" si="44"/>
        <v>#REF!</v>
      </c>
      <c r="D268" s="118" t="e">
        <f t="shared" ca="1" si="45"/>
        <v>#REF!</v>
      </c>
      <c r="E268" s="118" t="e">
        <f t="shared" ca="1" si="46"/>
        <v>#REF!</v>
      </c>
      <c r="F268" s="118" t="e">
        <f t="shared" ca="1" si="47"/>
        <v>#REF!</v>
      </c>
      <c r="G268" s="118" t="e">
        <f t="shared" ca="1" si="48"/>
        <v>#REF!</v>
      </c>
      <c r="H268" s="118" t="e">
        <f t="shared" ca="1" si="49"/>
        <v>#REF!</v>
      </c>
      <c r="I268" s="118" t="e">
        <f t="shared" ca="1" si="50"/>
        <v>#REF!</v>
      </c>
      <c r="J268" s="118" t="e">
        <f t="shared" ca="1" si="51"/>
        <v>#REF!</v>
      </c>
      <c r="K268" s="118" t="e">
        <f t="shared" ca="1" si="52"/>
        <v>#REF!</v>
      </c>
      <c r="L268" s="118" t="e">
        <f t="shared" ca="1" si="53"/>
        <v>#REF!</v>
      </c>
      <c r="M268" s="118" t="e">
        <f t="shared" ca="1" si="54"/>
        <v>#REF!</v>
      </c>
    </row>
    <row r="269" spans="1:13" x14ac:dyDescent="0.25">
      <c r="A269" s="119">
        <v>44722</v>
      </c>
      <c r="B269" s="119">
        <v>44722</v>
      </c>
      <c r="C269" s="118" t="e">
        <f t="shared" ca="1" si="44"/>
        <v>#REF!</v>
      </c>
      <c r="D269" s="118" t="e">
        <f t="shared" ca="1" si="45"/>
        <v>#REF!</v>
      </c>
      <c r="E269" s="118" t="e">
        <f t="shared" ca="1" si="46"/>
        <v>#REF!</v>
      </c>
      <c r="F269" s="118" t="e">
        <f t="shared" ca="1" si="47"/>
        <v>#REF!</v>
      </c>
      <c r="G269" s="118" t="e">
        <f t="shared" ca="1" si="48"/>
        <v>#REF!</v>
      </c>
      <c r="H269" s="118" t="e">
        <f t="shared" ca="1" si="49"/>
        <v>#REF!</v>
      </c>
      <c r="I269" s="118" t="e">
        <f t="shared" ca="1" si="50"/>
        <v>#REF!</v>
      </c>
      <c r="J269" s="118" t="e">
        <f t="shared" ca="1" si="51"/>
        <v>#REF!</v>
      </c>
      <c r="K269" s="118" t="e">
        <f t="shared" ca="1" si="52"/>
        <v>#REF!</v>
      </c>
      <c r="L269" s="118" t="e">
        <f t="shared" ca="1" si="53"/>
        <v>#REF!</v>
      </c>
      <c r="M269" s="118" t="e">
        <f t="shared" ca="1" si="54"/>
        <v>#REF!</v>
      </c>
    </row>
    <row r="270" spans="1:13" x14ac:dyDescent="0.25">
      <c r="A270" s="119">
        <v>44723</v>
      </c>
      <c r="B270" s="119">
        <v>44723</v>
      </c>
      <c r="C270" s="118" t="e">
        <f t="shared" ca="1" si="44"/>
        <v>#REF!</v>
      </c>
      <c r="D270" s="118" t="e">
        <f t="shared" ca="1" si="45"/>
        <v>#REF!</v>
      </c>
      <c r="E270" s="118" t="e">
        <f t="shared" ca="1" si="46"/>
        <v>#REF!</v>
      </c>
      <c r="F270" s="118" t="e">
        <f t="shared" ca="1" si="47"/>
        <v>#REF!</v>
      </c>
      <c r="G270" s="118" t="e">
        <f t="shared" ca="1" si="48"/>
        <v>#REF!</v>
      </c>
      <c r="H270" s="118" t="e">
        <f t="shared" ca="1" si="49"/>
        <v>#REF!</v>
      </c>
      <c r="I270" s="118" t="e">
        <f t="shared" ca="1" si="50"/>
        <v>#REF!</v>
      </c>
      <c r="J270" s="118" t="e">
        <f t="shared" ca="1" si="51"/>
        <v>#REF!</v>
      </c>
      <c r="K270" s="118" t="e">
        <f t="shared" ca="1" si="52"/>
        <v>#REF!</v>
      </c>
      <c r="L270" s="118" t="e">
        <f t="shared" ca="1" si="53"/>
        <v>#REF!</v>
      </c>
      <c r="M270" s="118" t="e">
        <f t="shared" ca="1" si="54"/>
        <v>#REF!</v>
      </c>
    </row>
    <row r="271" spans="1:13" x14ac:dyDescent="0.25">
      <c r="A271" s="119">
        <v>44724</v>
      </c>
      <c r="B271" s="119">
        <v>44724</v>
      </c>
      <c r="C271" s="118" t="e">
        <f t="shared" ca="1" si="44"/>
        <v>#REF!</v>
      </c>
      <c r="D271" s="118" t="e">
        <f t="shared" ca="1" si="45"/>
        <v>#REF!</v>
      </c>
      <c r="E271" s="118" t="e">
        <f t="shared" ca="1" si="46"/>
        <v>#REF!</v>
      </c>
      <c r="F271" s="118" t="e">
        <f t="shared" ca="1" si="47"/>
        <v>#REF!</v>
      </c>
      <c r="G271" s="118" t="e">
        <f t="shared" ca="1" si="48"/>
        <v>#REF!</v>
      </c>
      <c r="H271" s="118" t="e">
        <f t="shared" ca="1" si="49"/>
        <v>#REF!</v>
      </c>
      <c r="I271" s="118" t="e">
        <f t="shared" ca="1" si="50"/>
        <v>#REF!</v>
      </c>
      <c r="J271" s="118" t="e">
        <f t="shared" ca="1" si="51"/>
        <v>#REF!</v>
      </c>
      <c r="K271" s="118" t="e">
        <f t="shared" ca="1" si="52"/>
        <v>#REF!</v>
      </c>
      <c r="L271" s="118" t="e">
        <f t="shared" ca="1" si="53"/>
        <v>#REF!</v>
      </c>
      <c r="M271" s="118" t="e">
        <f t="shared" ca="1" si="54"/>
        <v>#REF!</v>
      </c>
    </row>
    <row r="272" spans="1:13" x14ac:dyDescent="0.25">
      <c r="A272" s="119">
        <v>44725</v>
      </c>
      <c r="B272" s="119">
        <v>44725</v>
      </c>
      <c r="C272" s="118" t="e">
        <f t="shared" ca="1" si="44"/>
        <v>#REF!</v>
      </c>
      <c r="D272" s="118" t="e">
        <f t="shared" ca="1" si="45"/>
        <v>#REF!</v>
      </c>
      <c r="E272" s="118" t="e">
        <f t="shared" ca="1" si="46"/>
        <v>#REF!</v>
      </c>
      <c r="F272" s="118" t="e">
        <f t="shared" ca="1" si="47"/>
        <v>#REF!</v>
      </c>
      <c r="G272" s="118" t="e">
        <f t="shared" ca="1" si="48"/>
        <v>#REF!</v>
      </c>
      <c r="H272" s="118" t="e">
        <f t="shared" ca="1" si="49"/>
        <v>#REF!</v>
      </c>
      <c r="I272" s="118" t="e">
        <f t="shared" ca="1" si="50"/>
        <v>#REF!</v>
      </c>
      <c r="J272" s="118" t="e">
        <f t="shared" ca="1" si="51"/>
        <v>#REF!</v>
      </c>
      <c r="K272" s="118" t="e">
        <f t="shared" ca="1" si="52"/>
        <v>#REF!</v>
      </c>
      <c r="L272" s="118" t="e">
        <f t="shared" ca="1" si="53"/>
        <v>#REF!</v>
      </c>
      <c r="M272" s="118" t="e">
        <f t="shared" ca="1" si="54"/>
        <v>#REF!</v>
      </c>
    </row>
    <row r="273" spans="1:13" x14ac:dyDescent="0.25">
      <c r="A273" s="119">
        <v>44726</v>
      </c>
      <c r="B273" s="119">
        <v>44726</v>
      </c>
      <c r="C273" s="118" t="e">
        <f t="shared" ca="1" si="44"/>
        <v>#REF!</v>
      </c>
      <c r="D273" s="118" t="e">
        <f t="shared" ca="1" si="45"/>
        <v>#REF!</v>
      </c>
      <c r="E273" s="118" t="e">
        <f t="shared" ca="1" si="46"/>
        <v>#REF!</v>
      </c>
      <c r="F273" s="118" t="e">
        <f t="shared" ca="1" si="47"/>
        <v>#REF!</v>
      </c>
      <c r="G273" s="118" t="e">
        <f t="shared" ca="1" si="48"/>
        <v>#REF!</v>
      </c>
      <c r="H273" s="118" t="e">
        <f t="shared" ca="1" si="49"/>
        <v>#REF!</v>
      </c>
      <c r="I273" s="118" t="e">
        <f t="shared" ca="1" si="50"/>
        <v>#REF!</v>
      </c>
      <c r="J273" s="118" t="e">
        <f t="shared" ca="1" si="51"/>
        <v>#REF!</v>
      </c>
      <c r="K273" s="118" t="e">
        <f t="shared" ca="1" si="52"/>
        <v>#REF!</v>
      </c>
      <c r="L273" s="118" t="e">
        <f t="shared" ca="1" si="53"/>
        <v>#REF!</v>
      </c>
      <c r="M273" s="118" t="e">
        <f t="shared" ca="1" si="54"/>
        <v>#REF!</v>
      </c>
    </row>
    <row r="274" spans="1:13" x14ac:dyDescent="0.25">
      <c r="A274" s="119">
        <v>44727</v>
      </c>
      <c r="B274" s="119">
        <v>44727</v>
      </c>
      <c r="C274" s="118" t="e">
        <f t="shared" ca="1" si="44"/>
        <v>#REF!</v>
      </c>
      <c r="D274" s="118" t="e">
        <f t="shared" ca="1" si="45"/>
        <v>#REF!</v>
      </c>
      <c r="E274" s="118" t="e">
        <f t="shared" ca="1" si="46"/>
        <v>#REF!</v>
      </c>
      <c r="F274" s="118" t="e">
        <f t="shared" ca="1" si="47"/>
        <v>#REF!</v>
      </c>
      <c r="G274" s="118" t="e">
        <f t="shared" ca="1" si="48"/>
        <v>#REF!</v>
      </c>
      <c r="H274" s="118" t="e">
        <f t="shared" ca="1" si="49"/>
        <v>#REF!</v>
      </c>
      <c r="I274" s="118" t="e">
        <f t="shared" ca="1" si="50"/>
        <v>#REF!</v>
      </c>
      <c r="J274" s="118" t="e">
        <f t="shared" ca="1" si="51"/>
        <v>#REF!</v>
      </c>
      <c r="K274" s="118" t="e">
        <f t="shared" ca="1" si="52"/>
        <v>#REF!</v>
      </c>
      <c r="L274" s="118" t="e">
        <f t="shared" ca="1" si="53"/>
        <v>#REF!</v>
      </c>
      <c r="M274" s="118" t="e">
        <f t="shared" ca="1" si="54"/>
        <v>#REF!</v>
      </c>
    </row>
    <row r="275" spans="1:13" x14ac:dyDescent="0.25">
      <c r="A275" s="119" t="s">
        <v>190</v>
      </c>
      <c r="B275" s="119">
        <v>44728</v>
      </c>
      <c r="C275" s="118" t="e">
        <f t="shared" ca="1" si="44"/>
        <v>#REF!</v>
      </c>
      <c r="D275" s="118" t="e">
        <f t="shared" ca="1" si="45"/>
        <v>#REF!</v>
      </c>
      <c r="E275" s="118" t="e">
        <f t="shared" ca="1" si="46"/>
        <v>#REF!</v>
      </c>
      <c r="F275" s="118" t="e">
        <f t="shared" ca="1" si="47"/>
        <v>#REF!</v>
      </c>
      <c r="G275" s="118" t="e">
        <f t="shared" ca="1" si="48"/>
        <v>#REF!</v>
      </c>
      <c r="H275" s="118" t="e">
        <f t="shared" ca="1" si="49"/>
        <v>#REF!</v>
      </c>
      <c r="I275" s="118" t="e">
        <f t="shared" ca="1" si="50"/>
        <v>#REF!</v>
      </c>
      <c r="J275" s="118" t="e">
        <f t="shared" ca="1" si="51"/>
        <v>#REF!</v>
      </c>
      <c r="K275" s="118" t="e">
        <f t="shared" ca="1" si="52"/>
        <v>#REF!</v>
      </c>
      <c r="L275" s="118" t="e">
        <f t="shared" ca="1" si="53"/>
        <v>#REF!</v>
      </c>
      <c r="M275" s="118" t="e">
        <f t="shared" ca="1" si="54"/>
        <v>#REF!</v>
      </c>
    </row>
    <row r="276" spans="1:13" x14ac:dyDescent="0.25">
      <c r="A276" s="119">
        <v>44729</v>
      </c>
      <c r="B276" s="119">
        <v>44729</v>
      </c>
      <c r="C276" s="118" t="e">
        <f t="shared" ca="1" si="44"/>
        <v>#REF!</v>
      </c>
      <c r="D276" s="118" t="e">
        <f t="shared" ca="1" si="45"/>
        <v>#REF!</v>
      </c>
      <c r="E276" s="118" t="e">
        <f t="shared" ca="1" si="46"/>
        <v>#REF!</v>
      </c>
      <c r="F276" s="118" t="e">
        <f t="shared" ca="1" si="47"/>
        <v>#REF!</v>
      </c>
      <c r="G276" s="118" t="e">
        <f t="shared" ca="1" si="48"/>
        <v>#REF!</v>
      </c>
      <c r="H276" s="118" t="e">
        <f t="shared" ca="1" si="49"/>
        <v>#REF!</v>
      </c>
      <c r="I276" s="118" t="e">
        <f t="shared" ca="1" si="50"/>
        <v>#REF!</v>
      </c>
      <c r="J276" s="118" t="e">
        <f t="shared" ca="1" si="51"/>
        <v>#REF!</v>
      </c>
      <c r="K276" s="118" t="e">
        <f t="shared" ca="1" si="52"/>
        <v>#REF!</v>
      </c>
      <c r="L276" s="118" t="e">
        <f t="shared" ca="1" si="53"/>
        <v>#REF!</v>
      </c>
      <c r="M276" s="118" t="e">
        <f t="shared" ca="1" si="54"/>
        <v>#REF!</v>
      </c>
    </row>
    <row r="277" spans="1:13" x14ac:dyDescent="0.25">
      <c r="A277" s="119">
        <v>44730</v>
      </c>
      <c r="B277" s="119">
        <v>44730</v>
      </c>
      <c r="C277" s="118" t="e">
        <f t="shared" ca="1" si="44"/>
        <v>#REF!</v>
      </c>
      <c r="D277" s="118" t="e">
        <f t="shared" ca="1" si="45"/>
        <v>#REF!</v>
      </c>
      <c r="E277" s="118" t="e">
        <f t="shared" ca="1" si="46"/>
        <v>#REF!</v>
      </c>
      <c r="F277" s="118" t="e">
        <f t="shared" ca="1" si="47"/>
        <v>#REF!</v>
      </c>
      <c r="G277" s="118" t="e">
        <f t="shared" ca="1" si="48"/>
        <v>#REF!</v>
      </c>
      <c r="H277" s="118" t="e">
        <f t="shared" ca="1" si="49"/>
        <v>#REF!</v>
      </c>
      <c r="I277" s="118" t="e">
        <f t="shared" ca="1" si="50"/>
        <v>#REF!</v>
      </c>
      <c r="J277" s="118" t="e">
        <f t="shared" ca="1" si="51"/>
        <v>#REF!</v>
      </c>
      <c r="K277" s="118" t="e">
        <f t="shared" ca="1" si="52"/>
        <v>#REF!</v>
      </c>
      <c r="L277" s="118" t="e">
        <f t="shared" ca="1" si="53"/>
        <v>#REF!</v>
      </c>
      <c r="M277" s="118" t="e">
        <f t="shared" ca="1" si="54"/>
        <v>#REF!</v>
      </c>
    </row>
    <row r="278" spans="1:13" x14ac:dyDescent="0.25">
      <c r="A278" s="119">
        <v>44731</v>
      </c>
      <c r="B278" s="119">
        <v>44731</v>
      </c>
      <c r="C278" s="118" t="e">
        <f t="shared" ca="1" si="44"/>
        <v>#REF!</v>
      </c>
      <c r="D278" s="118" t="e">
        <f t="shared" ca="1" si="45"/>
        <v>#REF!</v>
      </c>
      <c r="E278" s="118" t="e">
        <f t="shared" ca="1" si="46"/>
        <v>#REF!</v>
      </c>
      <c r="F278" s="118" t="e">
        <f t="shared" ca="1" si="47"/>
        <v>#REF!</v>
      </c>
      <c r="G278" s="118" t="e">
        <f t="shared" ca="1" si="48"/>
        <v>#REF!</v>
      </c>
      <c r="H278" s="118" t="e">
        <f t="shared" ca="1" si="49"/>
        <v>#REF!</v>
      </c>
      <c r="I278" s="118" t="e">
        <f t="shared" ca="1" si="50"/>
        <v>#REF!</v>
      </c>
      <c r="J278" s="118" t="e">
        <f t="shared" ca="1" si="51"/>
        <v>#REF!</v>
      </c>
      <c r="K278" s="118" t="e">
        <f t="shared" ca="1" si="52"/>
        <v>#REF!</v>
      </c>
      <c r="L278" s="118" t="e">
        <f t="shared" ca="1" si="53"/>
        <v>#REF!</v>
      </c>
      <c r="M278" s="118" t="e">
        <f t="shared" ca="1" si="54"/>
        <v>#REF!</v>
      </c>
    </row>
    <row r="279" spans="1:13" x14ac:dyDescent="0.25">
      <c r="A279" s="119">
        <v>44732</v>
      </c>
      <c r="B279" s="119">
        <v>44732</v>
      </c>
      <c r="C279" s="118" t="e">
        <f t="shared" ca="1" si="44"/>
        <v>#REF!</v>
      </c>
      <c r="D279" s="118" t="e">
        <f t="shared" ca="1" si="45"/>
        <v>#REF!</v>
      </c>
      <c r="E279" s="118" t="e">
        <f t="shared" ca="1" si="46"/>
        <v>#REF!</v>
      </c>
      <c r="F279" s="118" t="e">
        <f t="shared" ca="1" si="47"/>
        <v>#REF!</v>
      </c>
      <c r="G279" s="118" t="e">
        <f t="shared" ca="1" si="48"/>
        <v>#REF!</v>
      </c>
      <c r="H279" s="118" t="e">
        <f t="shared" ca="1" si="49"/>
        <v>#REF!</v>
      </c>
      <c r="I279" s="118" t="e">
        <f t="shared" ca="1" si="50"/>
        <v>#REF!</v>
      </c>
      <c r="J279" s="118" t="e">
        <f t="shared" ca="1" si="51"/>
        <v>#REF!</v>
      </c>
      <c r="K279" s="118" t="e">
        <f t="shared" ca="1" si="52"/>
        <v>#REF!</v>
      </c>
      <c r="L279" s="118" t="e">
        <f t="shared" ca="1" si="53"/>
        <v>#REF!</v>
      </c>
      <c r="M279" s="118" t="e">
        <f t="shared" ca="1" si="54"/>
        <v>#REF!</v>
      </c>
    </row>
    <row r="280" spans="1:13" x14ac:dyDescent="0.25">
      <c r="A280" s="119">
        <v>44733</v>
      </c>
      <c r="B280" s="119">
        <v>44733</v>
      </c>
      <c r="C280" s="118" t="e">
        <f t="shared" ca="1" si="44"/>
        <v>#REF!</v>
      </c>
      <c r="D280" s="118" t="e">
        <f t="shared" ca="1" si="45"/>
        <v>#REF!</v>
      </c>
      <c r="E280" s="118" t="e">
        <f t="shared" ca="1" si="46"/>
        <v>#REF!</v>
      </c>
      <c r="F280" s="118" t="e">
        <f t="shared" ca="1" si="47"/>
        <v>#REF!</v>
      </c>
      <c r="G280" s="118" t="e">
        <f t="shared" ca="1" si="48"/>
        <v>#REF!</v>
      </c>
      <c r="H280" s="118" t="e">
        <f t="shared" ca="1" si="49"/>
        <v>#REF!</v>
      </c>
      <c r="I280" s="118" t="e">
        <f t="shared" ca="1" si="50"/>
        <v>#REF!</v>
      </c>
      <c r="J280" s="118" t="e">
        <f t="shared" ca="1" si="51"/>
        <v>#REF!</v>
      </c>
      <c r="K280" s="118" t="e">
        <f t="shared" ca="1" si="52"/>
        <v>#REF!</v>
      </c>
      <c r="L280" s="118" t="e">
        <f t="shared" ca="1" si="53"/>
        <v>#REF!</v>
      </c>
      <c r="M280" s="118" t="e">
        <f t="shared" ca="1" si="54"/>
        <v>#REF!</v>
      </c>
    </row>
    <row r="281" spans="1:13" x14ac:dyDescent="0.25">
      <c r="A281" s="119">
        <v>44734</v>
      </c>
      <c r="B281" s="119">
        <v>44734</v>
      </c>
      <c r="C281" s="118" t="e">
        <f t="shared" ca="1" si="44"/>
        <v>#REF!</v>
      </c>
      <c r="D281" s="118" t="e">
        <f t="shared" ca="1" si="45"/>
        <v>#REF!</v>
      </c>
      <c r="E281" s="118" t="e">
        <f t="shared" ca="1" si="46"/>
        <v>#REF!</v>
      </c>
      <c r="F281" s="118" t="e">
        <f t="shared" ca="1" si="47"/>
        <v>#REF!</v>
      </c>
      <c r="G281" s="118" t="e">
        <f t="shared" ca="1" si="48"/>
        <v>#REF!</v>
      </c>
      <c r="H281" s="118" t="e">
        <f t="shared" ca="1" si="49"/>
        <v>#REF!</v>
      </c>
      <c r="I281" s="118" t="e">
        <f t="shared" ca="1" si="50"/>
        <v>#REF!</v>
      </c>
      <c r="J281" s="118" t="e">
        <f t="shared" ca="1" si="51"/>
        <v>#REF!</v>
      </c>
      <c r="K281" s="118" t="e">
        <f t="shared" ca="1" si="52"/>
        <v>#REF!</v>
      </c>
      <c r="L281" s="118" t="e">
        <f t="shared" ca="1" si="53"/>
        <v>#REF!</v>
      </c>
      <c r="M281" s="118" t="e">
        <f t="shared" ca="1" si="54"/>
        <v>#REF!</v>
      </c>
    </row>
    <row r="282" spans="1:13" x14ac:dyDescent="0.25">
      <c r="A282" s="119" t="s">
        <v>191</v>
      </c>
      <c r="B282" s="119">
        <v>44735</v>
      </c>
      <c r="C282" s="118" t="e">
        <f t="shared" ca="1" si="44"/>
        <v>#REF!</v>
      </c>
      <c r="D282" s="118" t="e">
        <f t="shared" ca="1" si="45"/>
        <v>#REF!</v>
      </c>
      <c r="E282" s="118" t="e">
        <f t="shared" ca="1" si="46"/>
        <v>#REF!</v>
      </c>
      <c r="F282" s="118" t="e">
        <f t="shared" ca="1" si="47"/>
        <v>#REF!</v>
      </c>
      <c r="G282" s="118" t="e">
        <f t="shared" ca="1" si="48"/>
        <v>#REF!</v>
      </c>
      <c r="H282" s="118" t="e">
        <f t="shared" ca="1" si="49"/>
        <v>#REF!</v>
      </c>
      <c r="I282" s="118" t="e">
        <f t="shared" ca="1" si="50"/>
        <v>#REF!</v>
      </c>
      <c r="J282" s="118" t="e">
        <f t="shared" ca="1" si="51"/>
        <v>#REF!</v>
      </c>
      <c r="K282" s="118" t="e">
        <f t="shared" ca="1" si="52"/>
        <v>#REF!</v>
      </c>
      <c r="L282" s="118" t="e">
        <f t="shared" ca="1" si="53"/>
        <v>#REF!</v>
      </c>
      <c r="M282" s="118" t="e">
        <f t="shared" ca="1" si="54"/>
        <v>#REF!</v>
      </c>
    </row>
    <row r="283" spans="1:13" x14ac:dyDescent="0.25">
      <c r="A283" s="119">
        <v>44736</v>
      </c>
      <c r="B283" s="119">
        <v>44736</v>
      </c>
      <c r="C283" s="118" t="e">
        <f t="shared" ca="1" si="44"/>
        <v>#REF!</v>
      </c>
      <c r="D283" s="118" t="e">
        <f t="shared" ca="1" si="45"/>
        <v>#REF!</v>
      </c>
      <c r="E283" s="118" t="e">
        <f t="shared" ca="1" si="46"/>
        <v>#REF!</v>
      </c>
      <c r="F283" s="118" t="e">
        <f t="shared" ca="1" si="47"/>
        <v>#REF!</v>
      </c>
      <c r="G283" s="118" t="e">
        <f t="shared" ca="1" si="48"/>
        <v>#REF!</v>
      </c>
      <c r="H283" s="118" t="e">
        <f t="shared" ca="1" si="49"/>
        <v>#REF!</v>
      </c>
      <c r="I283" s="118" t="e">
        <f t="shared" ca="1" si="50"/>
        <v>#REF!</v>
      </c>
      <c r="J283" s="118" t="e">
        <f t="shared" ca="1" si="51"/>
        <v>#REF!</v>
      </c>
      <c r="K283" s="118" t="e">
        <f t="shared" ca="1" si="52"/>
        <v>#REF!</v>
      </c>
      <c r="L283" s="118" t="e">
        <f t="shared" ca="1" si="53"/>
        <v>#REF!</v>
      </c>
      <c r="M283" s="118" t="e">
        <f t="shared" ca="1" si="54"/>
        <v>#REF!</v>
      </c>
    </row>
    <row r="284" spans="1:13" x14ac:dyDescent="0.25">
      <c r="A284" s="119">
        <v>44737</v>
      </c>
      <c r="B284" s="119">
        <v>44737</v>
      </c>
      <c r="C284" s="118" t="e">
        <f t="shared" ca="1" si="44"/>
        <v>#REF!</v>
      </c>
      <c r="D284" s="118" t="e">
        <f t="shared" ca="1" si="45"/>
        <v>#REF!</v>
      </c>
      <c r="E284" s="118" t="e">
        <f t="shared" ca="1" si="46"/>
        <v>#REF!</v>
      </c>
      <c r="F284" s="118" t="e">
        <f t="shared" ca="1" si="47"/>
        <v>#REF!</v>
      </c>
      <c r="G284" s="118" t="e">
        <f t="shared" ca="1" si="48"/>
        <v>#REF!</v>
      </c>
      <c r="H284" s="118" t="e">
        <f t="shared" ca="1" si="49"/>
        <v>#REF!</v>
      </c>
      <c r="I284" s="118" t="e">
        <f t="shared" ca="1" si="50"/>
        <v>#REF!</v>
      </c>
      <c r="J284" s="118" t="e">
        <f t="shared" ca="1" si="51"/>
        <v>#REF!</v>
      </c>
      <c r="K284" s="118" t="e">
        <f t="shared" ca="1" si="52"/>
        <v>#REF!</v>
      </c>
      <c r="L284" s="118" t="e">
        <f t="shared" ca="1" si="53"/>
        <v>#REF!</v>
      </c>
      <c r="M284" s="118" t="e">
        <f t="shared" ca="1" si="54"/>
        <v>#REF!</v>
      </c>
    </row>
    <row r="285" spans="1:13" x14ac:dyDescent="0.25">
      <c r="A285" s="119">
        <v>44738</v>
      </c>
      <c r="B285" s="119">
        <v>44738</v>
      </c>
      <c r="C285" s="118" t="e">
        <f t="shared" ca="1" si="44"/>
        <v>#REF!</v>
      </c>
      <c r="D285" s="118" t="e">
        <f t="shared" ca="1" si="45"/>
        <v>#REF!</v>
      </c>
      <c r="E285" s="118" t="e">
        <f t="shared" ca="1" si="46"/>
        <v>#REF!</v>
      </c>
      <c r="F285" s="118" t="e">
        <f t="shared" ca="1" si="47"/>
        <v>#REF!</v>
      </c>
      <c r="G285" s="118" t="e">
        <f t="shared" ca="1" si="48"/>
        <v>#REF!</v>
      </c>
      <c r="H285" s="118" t="e">
        <f t="shared" ca="1" si="49"/>
        <v>#REF!</v>
      </c>
      <c r="I285" s="118" t="e">
        <f t="shared" ca="1" si="50"/>
        <v>#REF!</v>
      </c>
      <c r="J285" s="118" t="e">
        <f t="shared" ca="1" si="51"/>
        <v>#REF!</v>
      </c>
      <c r="K285" s="118" t="e">
        <f t="shared" ca="1" si="52"/>
        <v>#REF!</v>
      </c>
      <c r="L285" s="118" t="e">
        <f t="shared" ca="1" si="53"/>
        <v>#REF!</v>
      </c>
      <c r="M285" s="118" t="e">
        <f t="shared" ca="1" si="54"/>
        <v>#REF!</v>
      </c>
    </row>
    <row r="286" spans="1:13" x14ac:dyDescent="0.25">
      <c r="A286" s="119">
        <v>44739</v>
      </c>
      <c r="B286" s="119">
        <v>44739</v>
      </c>
      <c r="C286" s="118" t="e">
        <f t="shared" ca="1" si="44"/>
        <v>#REF!</v>
      </c>
      <c r="D286" s="118" t="e">
        <f t="shared" ca="1" si="45"/>
        <v>#REF!</v>
      </c>
      <c r="E286" s="118" t="e">
        <f t="shared" ca="1" si="46"/>
        <v>#REF!</v>
      </c>
      <c r="F286" s="118" t="e">
        <f t="shared" ca="1" si="47"/>
        <v>#REF!</v>
      </c>
      <c r="G286" s="118" t="e">
        <f t="shared" ca="1" si="48"/>
        <v>#REF!</v>
      </c>
      <c r="H286" s="118" t="e">
        <f t="shared" ca="1" si="49"/>
        <v>#REF!</v>
      </c>
      <c r="I286" s="118" t="e">
        <f t="shared" ca="1" si="50"/>
        <v>#REF!</v>
      </c>
      <c r="J286" s="118" t="e">
        <f t="shared" ca="1" si="51"/>
        <v>#REF!</v>
      </c>
      <c r="K286" s="118" t="e">
        <f t="shared" ca="1" si="52"/>
        <v>#REF!</v>
      </c>
      <c r="L286" s="118" t="e">
        <f t="shared" ca="1" si="53"/>
        <v>#REF!</v>
      </c>
      <c r="M286" s="118" t="e">
        <f t="shared" ca="1" si="54"/>
        <v>#REF!</v>
      </c>
    </row>
    <row r="287" spans="1:13" x14ac:dyDescent="0.25">
      <c r="A287" s="119" t="s">
        <v>192</v>
      </c>
      <c r="B287" s="119">
        <v>44740</v>
      </c>
      <c r="C287" s="118" t="e">
        <f t="shared" ca="1" si="44"/>
        <v>#REF!</v>
      </c>
      <c r="D287" s="118" t="e">
        <f t="shared" ca="1" si="45"/>
        <v>#REF!</v>
      </c>
      <c r="E287" s="118" t="e">
        <f t="shared" ca="1" si="46"/>
        <v>#REF!</v>
      </c>
      <c r="F287" s="118" t="e">
        <f t="shared" ca="1" si="47"/>
        <v>#REF!</v>
      </c>
      <c r="G287" s="118" t="e">
        <f t="shared" ca="1" si="48"/>
        <v>#REF!</v>
      </c>
      <c r="H287" s="118" t="e">
        <f t="shared" ca="1" si="49"/>
        <v>#REF!</v>
      </c>
      <c r="I287" s="118" t="e">
        <f t="shared" ca="1" si="50"/>
        <v>#REF!</v>
      </c>
      <c r="J287" s="118" t="e">
        <f t="shared" ca="1" si="51"/>
        <v>#REF!</v>
      </c>
      <c r="K287" s="118" t="e">
        <f t="shared" ca="1" si="52"/>
        <v>#REF!</v>
      </c>
      <c r="L287" s="118" t="e">
        <f t="shared" ca="1" si="53"/>
        <v>#REF!</v>
      </c>
      <c r="M287" s="118" t="e">
        <f t="shared" ca="1" si="54"/>
        <v>#REF!</v>
      </c>
    </row>
    <row r="288" spans="1:13" x14ac:dyDescent="0.25">
      <c r="A288" s="119">
        <v>44741</v>
      </c>
      <c r="B288" s="119">
        <v>44741</v>
      </c>
      <c r="C288" s="118" t="e">
        <f t="shared" ca="1" si="44"/>
        <v>#REF!</v>
      </c>
      <c r="D288" s="118" t="e">
        <f t="shared" ca="1" si="45"/>
        <v>#REF!</v>
      </c>
      <c r="E288" s="118" t="e">
        <f t="shared" ca="1" si="46"/>
        <v>#REF!</v>
      </c>
      <c r="F288" s="118" t="e">
        <f t="shared" ca="1" si="47"/>
        <v>#REF!</v>
      </c>
      <c r="G288" s="118" t="e">
        <f t="shared" ca="1" si="48"/>
        <v>#REF!</v>
      </c>
      <c r="H288" s="118" t="e">
        <f t="shared" ca="1" si="49"/>
        <v>#REF!</v>
      </c>
      <c r="I288" s="118" t="e">
        <f t="shared" ca="1" si="50"/>
        <v>#REF!</v>
      </c>
      <c r="J288" s="118" t="e">
        <f t="shared" ca="1" si="51"/>
        <v>#REF!</v>
      </c>
      <c r="K288" s="118" t="e">
        <f t="shared" ca="1" si="52"/>
        <v>#REF!</v>
      </c>
      <c r="L288" s="118" t="e">
        <f t="shared" ca="1" si="53"/>
        <v>#REF!</v>
      </c>
      <c r="M288" s="118" t="e">
        <f t="shared" ca="1" si="54"/>
        <v>#REF!</v>
      </c>
    </row>
    <row r="289" spans="1:13" x14ac:dyDescent="0.25">
      <c r="A289" s="119">
        <v>44742</v>
      </c>
      <c r="B289" s="119">
        <v>44742</v>
      </c>
      <c r="C289" s="118" t="e">
        <f t="shared" ca="1" si="44"/>
        <v>#REF!</v>
      </c>
      <c r="D289" s="118" t="e">
        <f t="shared" ca="1" si="45"/>
        <v>#REF!</v>
      </c>
      <c r="E289" s="118" t="e">
        <f t="shared" ca="1" si="46"/>
        <v>#REF!</v>
      </c>
      <c r="F289" s="118" t="e">
        <f t="shared" ca="1" si="47"/>
        <v>#REF!</v>
      </c>
      <c r="G289" s="118" t="e">
        <f t="shared" ca="1" si="48"/>
        <v>#REF!</v>
      </c>
      <c r="H289" s="118" t="e">
        <f t="shared" ca="1" si="49"/>
        <v>#REF!</v>
      </c>
      <c r="I289" s="118" t="e">
        <f t="shared" ca="1" si="50"/>
        <v>#REF!</v>
      </c>
      <c r="J289" s="118" t="e">
        <f t="shared" ca="1" si="51"/>
        <v>#REF!</v>
      </c>
      <c r="K289" s="118" t="e">
        <f t="shared" ca="1" si="52"/>
        <v>#REF!</v>
      </c>
      <c r="L289" s="118" t="e">
        <f t="shared" ca="1" si="53"/>
        <v>#REF!</v>
      </c>
      <c r="M289" s="118" t="e">
        <f t="shared" ca="1" si="54"/>
        <v>#REF!</v>
      </c>
    </row>
    <row r="290" spans="1:13" x14ac:dyDescent="0.25">
      <c r="A290" s="119">
        <v>44743</v>
      </c>
      <c r="B290" s="119">
        <v>44743</v>
      </c>
      <c r="C290" s="118" t="e">
        <f t="shared" ca="1" si="44"/>
        <v>#REF!</v>
      </c>
      <c r="D290" s="118" t="e">
        <f t="shared" ca="1" si="45"/>
        <v>#REF!</v>
      </c>
      <c r="E290" s="118" t="e">
        <f t="shared" ca="1" si="46"/>
        <v>#REF!</v>
      </c>
      <c r="F290" s="118" t="e">
        <f t="shared" ca="1" si="47"/>
        <v>#REF!</v>
      </c>
      <c r="G290" s="118" t="e">
        <f t="shared" ca="1" si="48"/>
        <v>#REF!</v>
      </c>
      <c r="H290" s="118" t="e">
        <f t="shared" ca="1" si="49"/>
        <v>#REF!</v>
      </c>
      <c r="I290" s="118" t="e">
        <f t="shared" ca="1" si="50"/>
        <v>#REF!</v>
      </c>
      <c r="J290" s="118" t="e">
        <f t="shared" ca="1" si="51"/>
        <v>#REF!</v>
      </c>
      <c r="K290" s="118" t="e">
        <f t="shared" ca="1" si="52"/>
        <v>#REF!</v>
      </c>
      <c r="L290" s="118" t="e">
        <f t="shared" ca="1" si="53"/>
        <v>#REF!</v>
      </c>
      <c r="M290" s="118" t="e">
        <f t="shared" ca="1" si="54"/>
        <v>#REF!</v>
      </c>
    </row>
    <row r="291" spans="1:13" x14ac:dyDescent="0.25">
      <c r="A291" s="119">
        <v>44744</v>
      </c>
      <c r="B291" s="119">
        <v>44744</v>
      </c>
      <c r="C291" s="118" t="e">
        <f t="shared" ca="1" si="44"/>
        <v>#REF!</v>
      </c>
      <c r="D291" s="118" t="e">
        <f t="shared" ca="1" si="45"/>
        <v>#REF!</v>
      </c>
      <c r="E291" s="118" t="e">
        <f t="shared" ca="1" si="46"/>
        <v>#REF!</v>
      </c>
      <c r="F291" s="118" t="e">
        <f t="shared" ca="1" si="47"/>
        <v>#REF!</v>
      </c>
      <c r="G291" s="118" t="e">
        <f t="shared" ca="1" si="48"/>
        <v>#REF!</v>
      </c>
      <c r="H291" s="118" t="e">
        <f t="shared" ca="1" si="49"/>
        <v>#REF!</v>
      </c>
      <c r="I291" s="118" t="e">
        <f t="shared" ca="1" si="50"/>
        <v>#REF!</v>
      </c>
      <c r="J291" s="118" t="e">
        <f t="shared" ca="1" si="51"/>
        <v>#REF!</v>
      </c>
      <c r="K291" s="118" t="e">
        <f t="shared" ca="1" si="52"/>
        <v>#REF!</v>
      </c>
      <c r="L291" s="118" t="e">
        <f t="shared" ca="1" si="53"/>
        <v>#REF!</v>
      </c>
      <c r="M291" s="118" t="e">
        <f t="shared" ca="1" si="54"/>
        <v>#REF!</v>
      </c>
    </row>
    <row r="292" spans="1:13" x14ac:dyDescent="0.25">
      <c r="A292" s="119">
        <v>44745</v>
      </c>
      <c r="B292" s="119">
        <v>44745</v>
      </c>
      <c r="C292" s="118" t="e">
        <f t="shared" ca="1" si="44"/>
        <v>#REF!</v>
      </c>
      <c r="D292" s="118" t="e">
        <f t="shared" ca="1" si="45"/>
        <v>#REF!</v>
      </c>
      <c r="E292" s="118" t="e">
        <f t="shared" ca="1" si="46"/>
        <v>#REF!</v>
      </c>
      <c r="F292" s="118" t="e">
        <f t="shared" ca="1" si="47"/>
        <v>#REF!</v>
      </c>
      <c r="G292" s="118" t="e">
        <f t="shared" ca="1" si="48"/>
        <v>#REF!</v>
      </c>
      <c r="H292" s="118" t="e">
        <f t="shared" ca="1" si="49"/>
        <v>#REF!</v>
      </c>
      <c r="I292" s="118" t="e">
        <f t="shared" ca="1" si="50"/>
        <v>#REF!</v>
      </c>
      <c r="J292" s="118" t="e">
        <f t="shared" ca="1" si="51"/>
        <v>#REF!</v>
      </c>
      <c r="K292" s="118" t="e">
        <f t="shared" ca="1" si="52"/>
        <v>#REF!</v>
      </c>
      <c r="L292" s="118" t="e">
        <f t="shared" ca="1" si="53"/>
        <v>#REF!</v>
      </c>
      <c r="M292" s="118" t="e">
        <f t="shared" ca="1" si="54"/>
        <v>#REF!</v>
      </c>
    </row>
    <row r="293" spans="1:13" x14ac:dyDescent="0.25">
      <c r="A293" s="119">
        <v>44746</v>
      </c>
      <c r="B293" s="119">
        <v>44746</v>
      </c>
      <c r="C293" s="118" t="e">
        <f t="shared" ca="1" si="44"/>
        <v>#REF!</v>
      </c>
      <c r="D293" s="118" t="e">
        <f t="shared" ca="1" si="45"/>
        <v>#REF!</v>
      </c>
      <c r="E293" s="118" t="e">
        <f t="shared" ca="1" si="46"/>
        <v>#REF!</v>
      </c>
      <c r="F293" s="118" t="e">
        <f t="shared" ca="1" si="47"/>
        <v>#REF!</v>
      </c>
      <c r="G293" s="118" t="e">
        <f t="shared" ca="1" si="48"/>
        <v>#REF!</v>
      </c>
      <c r="H293" s="118" t="e">
        <f t="shared" ca="1" si="49"/>
        <v>#REF!</v>
      </c>
      <c r="I293" s="118" t="e">
        <f t="shared" ca="1" si="50"/>
        <v>#REF!</v>
      </c>
      <c r="J293" s="118" t="e">
        <f t="shared" ca="1" si="51"/>
        <v>#REF!</v>
      </c>
      <c r="K293" s="118" t="e">
        <f t="shared" ca="1" si="52"/>
        <v>#REF!</v>
      </c>
      <c r="L293" s="118" t="e">
        <f t="shared" ca="1" si="53"/>
        <v>#REF!</v>
      </c>
      <c r="M293" s="118" t="e">
        <f t="shared" ca="1" si="54"/>
        <v>#REF!</v>
      </c>
    </row>
    <row r="294" spans="1:13" x14ac:dyDescent="0.25">
      <c r="A294" s="119">
        <v>44747</v>
      </c>
      <c r="B294" s="119">
        <v>44747</v>
      </c>
      <c r="C294" s="118" t="e">
        <f t="shared" ca="1" si="44"/>
        <v>#REF!</v>
      </c>
      <c r="D294" s="118" t="e">
        <f t="shared" ca="1" si="45"/>
        <v>#REF!</v>
      </c>
      <c r="E294" s="118" t="e">
        <f t="shared" ca="1" si="46"/>
        <v>#REF!</v>
      </c>
      <c r="F294" s="118" t="e">
        <f t="shared" ca="1" si="47"/>
        <v>#REF!</v>
      </c>
      <c r="G294" s="118" t="e">
        <f t="shared" ca="1" si="48"/>
        <v>#REF!</v>
      </c>
      <c r="H294" s="118" t="e">
        <f t="shared" ca="1" si="49"/>
        <v>#REF!</v>
      </c>
      <c r="I294" s="118" t="e">
        <f t="shared" ca="1" si="50"/>
        <v>#REF!</v>
      </c>
      <c r="J294" s="118" t="e">
        <f t="shared" ca="1" si="51"/>
        <v>#REF!</v>
      </c>
      <c r="K294" s="118" t="e">
        <f t="shared" ca="1" si="52"/>
        <v>#REF!</v>
      </c>
      <c r="L294" s="118" t="e">
        <f t="shared" ca="1" si="53"/>
        <v>#REF!</v>
      </c>
      <c r="M294" s="118" t="e">
        <f t="shared" ca="1" si="54"/>
        <v>#REF!</v>
      </c>
    </row>
    <row r="295" spans="1:13" x14ac:dyDescent="0.25">
      <c r="A295" s="119" t="s">
        <v>193</v>
      </c>
      <c r="B295" s="119">
        <v>44748</v>
      </c>
      <c r="C295" s="118" t="e">
        <f t="shared" ca="1" si="44"/>
        <v>#REF!</v>
      </c>
      <c r="D295" s="118" t="e">
        <f t="shared" ca="1" si="45"/>
        <v>#REF!</v>
      </c>
      <c r="E295" s="118" t="e">
        <f t="shared" ca="1" si="46"/>
        <v>#REF!</v>
      </c>
      <c r="F295" s="118" t="e">
        <f t="shared" ca="1" si="47"/>
        <v>#REF!</v>
      </c>
      <c r="G295" s="118" t="e">
        <f t="shared" ca="1" si="48"/>
        <v>#REF!</v>
      </c>
      <c r="H295" s="118" t="e">
        <f t="shared" ca="1" si="49"/>
        <v>#REF!</v>
      </c>
      <c r="I295" s="118" t="e">
        <f t="shared" ca="1" si="50"/>
        <v>#REF!</v>
      </c>
      <c r="J295" s="118" t="e">
        <f t="shared" ca="1" si="51"/>
        <v>#REF!</v>
      </c>
      <c r="K295" s="118" t="e">
        <f t="shared" ca="1" si="52"/>
        <v>#REF!</v>
      </c>
      <c r="L295" s="118" t="e">
        <f t="shared" ca="1" si="53"/>
        <v>#REF!</v>
      </c>
      <c r="M295" s="118" t="e">
        <f t="shared" ca="1" si="54"/>
        <v>#REF!</v>
      </c>
    </row>
    <row r="296" spans="1:13" x14ac:dyDescent="0.25">
      <c r="A296" s="119">
        <v>44749</v>
      </c>
      <c r="B296" s="119">
        <v>44749</v>
      </c>
      <c r="C296" s="118" t="e">
        <f t="shared" ca="1" si="44"/>
        <v>#REF!</v>
      </c>
      <c r="D296" s="118" t="e">
        <f t="shared" ca="1" si="45"/>
        <v>#REF!</v>
      </c>
      <c r="E296" s="118" t="e">
        <f t="shared" ca="1" si="46"/>
        <v>#REF!</v>
      </c>
      <c r="F296" s="118" t="e">
        <f t="shared" ca="1" si="47"/>
        <v>#REF!</v>
      </c>
      <c r="G296" s="118" t="e">
        <f t="shared" ca="1" si="48"/>
        <v>#REF!</v>
      </c>
      <c r="H296" s="118" t="e">
        <f t="shared" ca="1" si="49"/>
        <v>#REF!</v>
      </c>
      <c r="I296" s="118" t="e">
        <f t="shared" ca="1" si="50"/>
        <v>#REF!</v>
      </c>
      <c r="J296" s="118" t="e">
        <f t="shared" ca="1" si="51"/>
        <v>#REF!</v>
      </c>
      <c r="K296" s="118" t="e">
        <f t="shared" ca="1" si="52"/>
        <v>#REF!</v>
      </c>
      <c r="L296" s="118" t="e">
        <f t="shared" ca="1" si="53"/>
        <v>#REF!</v>
      </c>
      <c r="M296" s="118" t="e">
        <f t="shared" ca="1" si="54"/>
        <v>#REF!</v>
      </c>
    </row>
    <row r="297" spans="1:13" x14ac:dyDescent="0.25">
      <c r="A297" s="119">
        <v>44750</v>
      </c>
      <c r="B297" s="119">
        <v>44750</v>
      </c>
      <c r="C297" s="118" t="e">
        <f t="shared" ca="1" si="44"/>
        <v>#REF!</v>
      </c>
      <c r="D297" s="118" t="e">
        <f t="shared" ca="1" si="45"/>
        <v>#REF!</v>
      </c>
      <c r="E297" s="118" t="e">
        <f t="shared" ca="1" si="46"/>
        <v>#REF!</v>
      </c>
      <c r="F297" s="118" t="e">
        <f t="shared" ca="1" si="47"/>
        <v>#REF!</v>
      </c>
      <c r="G297" s="118" t="e">
        <f t="shared" ca="1" si="48"/>
        <v>#REF!</v>
      </c>
      <c r="H297" s="118" t="e">
        <f t="shared" ca="1" si="49"/>
        <v>#REF!</v>
      </c>
      <c r="I297" s="118" t="e">
        <f t="shared" ca="1" si="50"/>
        <v>#REF!</v>
      </c>
      <c r="J297" s="118" t="e">
        <f t="shared" ca="1" si="51"/>
        <v>#REF!</v>
      </c>
      <c r="K297" s="118" t="e">
        <f t="shared" ca="1" si="52"/>
        <v>#REF!</v>
      </c>
      <c r="L297" s="118" t="e">
        <f t="shared" ca="1" si="53"/>
        <v>#REF!</v>
      </c>
      <c r="M297" s="118" t="e">
        <f t="shared" ca="1" si="54"/>
        <v>#REF!</v>
      </c>
    </row>
    <row r="298" spans="1:13" x14ac:dyDescent="0.25">
      <c r="A298" s="119">
        <v>44751</v>
      </c>
      <c r="B298" s="119">
        <v>44751</v>
      </c>
      <c r="C298" s="118" t="e">
        <f t="shared" ca="1" si="44"/>
        <v>#REF!</v>
      </c>
      <c r="D298" s="118" t="e">
        <f t="shared" ca="1" si="45"/>
        <v>#REF!</v>
      </c>
      <c r="E298" s="118" t="e">
        <f t="shared" ca="1" si="46"/>
        <v>#REF!</v>
      </c>
      <c r="F298" s="118" t="e">
        <f t="shared" ca="1" si="47"/>
        <v>#REF!</v>
      </c>
      <c r="G298" s="118" t="e">
        <f t="shared" ca="1" si="48"/>
        <v>#REF!</v>
      </c>
      <c r="H298" s="118" t="e">
        <f t="shared" ca="1" si="49"/>
        <v>#REF!</v>
      </c>
      <c r="I298" s="118" t="e">
        <f t="shared" ca="1" si="50"/>
        <v>#REF!</v>
      </c>
      <c r="J298" s="118" t="e">
        <f t="shared" ca="1" si="51"/>
        <v>#REF!</v>
      </c>
      <c r="K298" s="118" t="e">
        <f t="shared" ca="1" si="52"/>
        <v>#REF!</v>
      </c>
      <c r="L298" s="118" t="e">
        <f t="shared" ca="1" si="53"/>
        <v>#REF!</v>
      </c>
      <c r="M298" s="118" t="e">
        <f t="shared" ca="1" si="54"/>
        <v>#REF!</v>
      </c>
    </row>
    <row r="299" spans="1:13" x14ac:dyDescent="0.25">
      <c r="A299" s="119">
        <v>44752</v>
      </c>
      <c r="B299" s="119">
        <v>44752</v>
      </c>
      <c r="C299" s="118" t="e">
        <f t="shared" ca="1" si="44"/>
        <v>#REF!</v>
      </c>
      <c r="D299" s="118" t="e">
        <f t="shared" ca="1" si="45"/>
        <v>#REF!</v>
      </c>
      <c r="E299" s="118" t="e">
        <f t="shared" ca="1" si="46"/>
        <v>#REF!</v>
      </c>
      <c r="F299" s="118" t="e">
        <f t="shared" ca="1" si="47"/>
        <v>#REF!</v>
      </c>
      <c r="G299" s="118" t="e">
        <f t="shared" ca="1" si="48"/>
        <v>#REF!</v>
      </c>
      <c r="H299" s="118" t="e">
        <f t="shared" ca="1" si="49"/>
        <v>#REF!</v>
      </c>
      <c r="I299" s="118" t="e">
        <f t="shared" ca="1" si="50"/>
        <v>#REF!</v>
      </c>
      <c r="J299" s="118" t="e">
        <f t="shared" ca="1" si="51"/>
        <v>#REF!</v>
      </c>
      <c r="K299" s="118" t="e">
        <f t="shared" ca="1" si="52"/>
        <v>#REF!</v>
      </c>
      <c r="L299" s="118" t="e">
        <f t="shared" ca="1" si="53"/>
        <v>#REF!</v>
      </c>
      <c r="M299" s="118" t="e">
        <f t="shared" ca="1" si="54"/>
        <v>#REF!</v>
      </c>
    </row>
    <row r="300" spans="1:13" x14ac:dyDescent="0.25">
      <c r="A300" s="119">
        <v>44753</v>
      </c>
      <c r="B300" s="119">
        <v>44753</v>
      </c>
      <c r="C300" s="118" t="e">
        <f t="shared" ca="1" si="44"/>
        <v>#REF!</v>
      </c>
      <c r="D300" s="118" t="e">
        <f t="shared" ca="1" si="45"/>
        <v>#REF!</v>
      </c>
      <c r="E300" s="118" t="e">
        <f t="shared" ca="1" si="46"/>
        <v>#REF!</v>
      </c>
      <c r="F300" s="118" t="e">
        <f t="shared" ca="1" si="47"/>
        <v>#REF!</v>
      </c>
      <c r="G300" s="118" t="e">
        <f t="shared" ca="1" si="48"/>
        <v>#REF!</v>
      </c>
      <c r="H300" s="118" t="e">
        <f t="shared" ca="1" si="49"/>
        <v>#REF!</v>
      </c>
      <c r="I300" s="118" t="e">
        <f t="shared" ca="1" si="50"/>
        <v>#REF!</v>
      </c>
      <c r="J300" s="118" t="e">
        <f t="shared" ca="1" si="51"/>
        <v>#REF!</v>
      </c>
      <c r="K300" s="118" t="e">
        <f t="shared" ca="1" si="52"/>
        <v>#REF!</v>
      </c>
      <c r="L300" s="118" t="e">
        <f t="shared" ca="1" si="53"/>
        <v>#REF!</v>
      </c>
      <c r="M300" s="118" t="e">
        <f t="shared" ca="1" si="54"/>
        <v>#REF!</v>
      </c>
    </row>
    <row r="301" spans="1:13" x14ac:dyDescent="0.25">
      <c r="A301" s="119">
        <v>44754</v>
      </c>
      <c r="B301" s="119">
        <v>44754</v>
      </c>
      <c r="C301" s="118" t="e">
        <f t="shared" ca="1" si="44"/>
        <v>#REF!</v>
      </c>
      <c r="D301" s="118" t="e">
        <f t="shared" ca="1" si="45"/>
        <v>#REF!</v>
      </c>
      <c r="E301" s="118" t="e">
        <f t="shared" ca="1" si="46"/>
        <v>#REF!</v>
      </c>
      <c r="F301" s="118" t="e">
        <f t="shared" ca="1" si="47"/>
        <v>#REF!</v>
      </c>
      <c r="G301" s="118" t="e">
        <f t="shared" ca="1" si="48"/>
        <v>#REF!</v>
      </c>
      <c r="H301" s="118" t="e">
        <f t="shared" ca="1" si="49"/>
        <v>#REF!</v>
      </c>
      <c r="I301" s="118" t="e">
        <f t="shared" ca="1" si="50"/>
        <v>#REF!</v>
      </c>
      <c r="J301" s="118" t="e">
        <f t="shared" ca="1" si="51"/>
        <v>#REF!</v>
      </c>
      <c r="K301" s="118" t="e">
        <f t="shared" ca="1" si="52"/>
        <v>#REF!</v>
      </c>
      <c r="L301" s="118" t="e">
        <f t="shared" ca="1" si="53"/>
        <v>#REF!</v>
      </c>
      <c r="M301" s="118" t="e">
        <f t="shared" ca="1" si="54"/>
        <v>#REF!</v>
      </c>
    </row>
    <row r="302" spans="1:13" x14ac:dyDescent="0.25">
      <c r="A302" s="119" t="s">
        <v>194</v>
      </c>
      <c r="B302" s="119">
        <v>44755</v>
      </c>
      <c r="C302" s="118" t="e">
        <f t="shared" ca="1" si="44"/>
        <v>#REF!</v>
      </c>
      <c r="D302" s="118" t="e">
        <f t="shared" ca="1" si="45"/>
        <v>#REF!</v>
      </c>
      <c r="E302" s="118" t="e">
        <f t="shared" ca="1" si="46"/>
        <v>#REF!</v>
      </c>
      <c r="F302" s="118" t="e">
        <f t="shared" ca="1" si="47"/>
        <v>#REF!</v>
      </c>
      <c r="G302" s="118" t="e">
        <f t="shared" ca="1" si="48"/>
        <v>#REF!</v>
      </c>
      <c r="H302" s="118" t="e">
        <f t="shared" ca="1" si="49"/>
        <v>#REF!</v>
      </c>
      <c r="I302" s="118" t="e">
        <f t="shared" ca="1" si="50"/>
        <v>#REF!</v>
      </c>
      <c r="J302" s="118" t="e">
        <f t="shared" ca="1" si="51"/>
        <v>#REF!</v>
      </c>
      <c r="K302" s="118" t="e">
        <f t="shared" ca="1" si="52"/>
        <v>#REF!</v>
      </c>
      <c r="L302" s="118" t="e">
        <f t="shared" ca="1" si="53"/>
        <v>#REF!</v>
      </c>
      <c r="M302" s="118" t="e">
        <f t="shared" ca="1" si="54"/>
        <v>#REF!</v>
      </c>
    </row>
    <row r="303" spans="1:13" x14ac:dyDescent="0.25">
      <c r="A303" s="119">
        <v>44756</v>
      </c>
      <c r="B303" s="119">
        <v>44756</v>
      </c>
      <c r="C303" s="118" t="e">
        <f t="shared" ca="1" si="44"/>
        <v>#REF!</v>
      </c>
      <c r="D303" s="118" t="e">
        <f t="shared" ca="1" si="45"/>
        <v>#REF!</v>
      </c>
      <c r="E303" s="118" t="e">
        <f t="shared" ca="1" si="46"/>
        <v>#REF!</v>
      </c>
      <c r="F303" s="118" t="e">
        <f t="shared" ca="1" si="47"/>
        <v>#REF!</v>
      </c>
      <c r="G303" s="118" t="e">
        <f t="shared" ca="1" si="48"/>
        <v>#REF!</v>
      </c>
      <c r="H303" s="118" t="e">
        <f t="shared" ca="1" si="49"/>
        <v>#REF!</v>
      </c>
      <c r="I303" s="118" t="e">
        <f t="shared" ca="1" si="50"/>
        <v>#REF!</v>
      </c>
      <c r="J303" s="118" t="e">
        <f t="shared" ca="1" si="51"/>
        <v>#REF!</v>
      </c>
      <c r="K303" s="118" t="e">
        <f t="shared" ca="1" si="52"/>
        <v>#REF!</v>
      </c>
      <c r="L303" s="118" t="e">
        <f t="shared" ca="1" si="53"/>
        <v>#REF!</v>
      </c>
      <c r="M303" s="118" t="e">
        <f t="shared" ca="1" si="54"/>
        <v>#REF!</v>
      </c>
    </row>
    <row r="304" spans="1:13" x14ac:dyDescent="0.25">
      <c r="A304" s="119">
        <v>44757</v>
      </c>
      <c r="B304" s="119">
        <v>44757</v>
      </c>
      <c r="C304" s="118" t="e">
        <f t="shared" ca="1" si="44"/>
        <v>#REF!</v>
      </c>
      <c r="D304" s="118" t="e">
        <f t="shared" ca="1" si="45"/>
        <v>#REF!</v>
      </c>
      <c r="E304" s="118" t="e">
        <f t="shared" ca="1" si="46"/>
        <v>#REF!</v>
      </c>
      <c r="F304" s="118" t="e">
        <f t="shared" ca="1" si="47"/>
        <v>#REF!</v>
      </c>
      <c r="G304" s="118" t="e">
        <f t="shared" ca="1" si="48"/>
        <v>#REF!</v>
      </c>
      <c r="H304" s="118" t="e">
        <f t="shared" ca="1" si="49"/>
        <v>#REF!</v>
      </c>
      <c r="I304" s="118" t="e">
        <f t="shared" ca="1" si="50"/>
        <v>#REF!</v>
      </c>
      <c r="J304" s="118" t="e">
        <f t="shared" ca="1" si="51"/>
        <v>#REF!</v>
      </c>
      <c r="K304" s="118" t="e">
        <f t="shared" ca="1" si="52"/>
        <v>#REF!</v>
      </c>
      <c r="L304" s="118" t="e">
        <f t="shared" ca="1" si="53"/>
        <v>#REF!</v>
      </c>
      <c r="M304" s="118" t="e">
        <f t="shared" ca="1" si="54"/>
        <v>#REF!</v>
      </c>
    </row>
    <row r="305" spans="1:13" x14ac:dyDescent="0.25">
      <c r="A305" s="119">
        <v>44758</v>
      </c>
      <c r="B305" s="119">
        <v>44758</v>
      </c>
      <c r="C305" s="118" t="e">
        <f t="shared" ca="1" si="44"/>
        <v>#REF!</v>
      </c>
      <c r="D305" s="118" t="e">
        <f t="shared" ca="1" si="45"/>
        <v>#REF!</v>
      </c>
      <c r="E305" s="118" t="e">
        <f t="shared" ca="1" si="46"/>
        <v>#REF!</v>
      </c>
      <c r="F305" s="118" t="e">
        <f t="shared" ca="1" si="47"/>
        <v>#REF!</v>
      </c>
      <c r="G305" s="118" t="e">
        <f t="shared" ca="1" si="48"/>
        <v>#REF!</v>
      </c>
      <c r="H305" s="118" t="e">
        <f t="shared" ca="1" si="49"/>
        <v>#REF!</v>
      </c>
      <c r="I305" s="118" t="e">
        <f t="shared" ca="1" si="50"/>
        <v>#REF!</v>
      </c>
      <c r="J305" s="118" t="e">
        <f t="shared" ca="1" si="51"/>
        <v>#REF!</v>
      </c>
      <c r="K305" s="118" t="e">
        <f t="shared" ca="1" si="52"/>
        <v>#REF!</v>
      </c>
      <c r="L305" s="118" t="e">
        <f t="shared" ca="1" si="53"/>
        <v>#REF!</v>
      </c>
      <c r="M305" s="118" t="e">
        <f t="shared" ca="1" si="54"/>
        <v>#REF!</v>
      </c>
    </row>
    <row r="306" spans="1:13" x14ac:dyDescent="0.25">
      <c r="A306" s="119">
        <v>44759</v>
      </c>
      <c r="B306" s="119">
        <v>44759</v>
      </c>
      <c r="C306" s="118" t="e">
        <f t="shared" ca="1" si="44"/>
        <v>#REF!</v>
      </c>
      <c r="D306" s="118" t="e">
        <f t="shared" ca="1" si="45"/>
        <v>#REF!</v>
      </c>
      <c r="E306" s="118" t="e">
        <f t="shared" ca="1" si="46"/>
        <v>#REF!</v>
      </c>
      <c r="F306" s="118" t="e">
        <f t="shared" ca="1" si="47"/>
        <v>#REF!</v>
      </c>
      <c r="G306" s="118" t="e">
        <f t="shared" ca="1" si="48"/>
        <v>#REF!</v>
      </c>
      <c r="H306" s="118" t="e">
        <f t="shared" ca="1" si="49"/>
        <v>#REF!</v>
      </c>
      <c r="I306" s="118" t="e">
        <f t="shared" ca="1" si="50"/>
        <v>#REF!</v>
      </c>
      <c r="J306" s="118" t="e">
        <f t="shared" ca="1" si="51"/>
        <v>#REF!</v>
      </c>
      <c r="K306" s="118" t="e">
        <f t="shared" ca="1" si="52"/>
        <v>#REF!</v>
      </c>
      <c r="L306" s="118" t="e">
        <f t="shared" ca="1" si="53"/>
        <v>#REF!</v>
      </c>
      <c r="M306" s="118" t="e">
        <f t="shared" ca="1" si="54"/>
        <v>#REF!</v>
      </c>
    </row>
    <row r="307" spans="1:13" x14ac:dyDescent="0.25">
      <c r="A307" s="119">
        <v>44760</v>
      </c>
      <c r="B307" s="119">
        <v>44760</v>
      </c>
      <c r="C307" s="118" t="e">
        <f t="shared" ca="1" si="44"/>
        <v>#REF!</v>
      </c>
      <c r="D307" s="118" t="e">
        <f t="shared" ca="1" si="45"/>
        <v>#REF!</v>
      </c>
      <c r="E307" s="118" t="e">
        <f t="shared" ca="1" si="46"/>
        <v>#REF!</v>
      </c>
      <c r="F307" s="118" t="e">
        <f t="shared" ca="1" si="47"/>
        <v>#REF!</v>
      </c>
      <c r="G307" s="118" t="e">
        <f t="shared" ca="1" si="48"/>
        <v>#REF!</v>
      </c>
      <c r="H307" s="118" t="e">
        <f t="shared" ca="1" si="49"/>
        <v>#REF!</v>
      </c>
      <c r="I307" s="118" t="e">
        <f t="shared" ca="1" si="50"/>
        <v>#REF!</v>
      </c>
      <c r="J307" s="118" t="e">
        <f t="shared" ca="1" si="51"/>
        <v>#REF!</v>
      </c>
      <c r="K307" s="118" t="e">
        <f t="shared" ca="1" si="52"/>
        <v>#REF!</v>
      </c>
      <c r="L307" s="118" t="e">
        <f t="shared" ca="1" si="53"/>
        <v>#REF!</v>
      </c>
      <c r="M307" s="118" t="e">
        <f t="shared" ca="1" si="54"/>
        <v>#REF!</v>
      </c>
    </row>
    <row r="308" spans="1:13" x14ac:dyDescent="0.25">
      <c r="A308" s="119">
        <v>44761</v>
      </c>
      <c r="B308" s="119">
        <v>44761</v>
      </c>
      <c r="C308" s="118" t="e">
        <f t="shared" ca="1" si="44"/>
        <v>#REF!</v>
      </c>
      <c r="D308" s="118" t="e">
        <f t="shared" ca="1" si="45"/>
        <v>#REF!</v>
      </c>
      <c r="E308" s="118" t="e">
        <f t="shared" ca="1" si="46"/>
        <v>#REF!</v>
      </c>
      <c r="F308" s="118" t="e">
        <f t="shared" ca="1" si="47"/>
        <v>#REF!</v>
      </c>
      <c r="G308" s="118" t="e">
        <f t="shared" ca="1" si="48"/>
        <v>#REF!</v>
      </c>
      <c r="H308" s="118" t="e">
        <f t="shared" ca="1" si="49"/>
        <v>#REF!</v>
      </c>
      <c r="I308" s="118" t="e">
        <f t="shared" ca="1" si="50"/>
        <v>#REF!</v>
      </c>
      <c r="J308" s="118" t="e">
        <f t="shared" ca="1" si="51"/>
        <v>#REF!</v>
      </c>
      <c r="K308" s="118" t="e">
        <f t="shared" ca="1" si="52"/>
        <v>#REF!</v>
      </c>
      <c r="L308" s="118" t="e">
        <f t="shared" ca="1" si="53"/>
        <v>#REF!</v>
      </c>
      <c r="M308" s="118" t="e">
        <f t="shared" ca="1" si="54"/>
        <v>#REF!</v>
      </c>
    </row>
    <row r="309" spans="1:13" x14ac:dyDescent="0.25">
      <c r="A309" s="119">
        <v>44762</v>
      </c>
      <c r="B309" s="119">
        <v>44762</v>
      </c>
      <c r="C309" s="118" t="e">
        <f t="shared" ca="1" si="44"/>
        <v>#REF!</v>
      </c>
      <c r="D309" s="118" t="e">
        <f t="shared" ca="1" si="45"/>
        <v>#REF!</v>
      </c>
      <c r="E309" s="118" t="e">
        <f t="shared" ca="1" si="46"/>
        <v>#REF!</v>
      </c>
      <c r="F309" s="118" t="e">
        <f t="shared" ca="1" si="47"/>
        <v>#REF!</v>
      </c>
      <c r="G309" s="118" t="e">
        <f t="shared" ca="1" si="48"/>
        <v>#REF!</v>
      </c>
      <c r="H309" s="118" t="e">
        <f t="shared" ca="1" si="49"/>
        <v>#REF!</v>
      </c>
      <c r="I309" s="118" t="e">
        <f t="shared" ca="1" si="50"/>
        <v>#REF!</v>
      </c>
      <c r="J309" s="118" t="e">
        <f t="shared" ca="1" si="51"/>
        <v>#REF!</v>
      </c>
      <c r="K309" s="118" t="e">
        <f t="shared" ca="1" si="52"/>
        <v>#REF!</v>
      </c>
      <c r="L309" s="118" t="e">
        <f t="shared" ca="1" si="53"/>
        <v>#REF!</v>
      </c>
      <c r="M309" s="118" t="e">
        <f t="shared" ca="1" si="54"/>
        <v>#REF!</v>
      </c>
    </row>
    <row r="310" spans="1:13" x14ac:dyDescent="0.25">
      <c r="A310" s="119" t="s">
        <v>195</v>
      </c>
      <c r="B310" s="119">
        <v>44763</v>
      </c>
      <c r="C310" s="118" t="e">
        <f t="shared" ca="1" si="44"/>
        <v>#REF!</v>
      </c>
      <c r="D310" s="118" t="e">
        <f t="shared" ca="1" si="45"/>
        <v>#REF!</v>
      </c>
      <c r="E310" s="118" t="e">
        <f t="shared" ca="1" si="46"/>
        <v>#REF!</v>
      </c>
      <c r="F310" s="118" t="e">
        <f t="shared" ca="1" si="47"/>
        <v>#REF!</v>
      </c>
      <c r="G310" s="118" t="e">
        <f t="shared" ca="1" si="48"/>
        <v>#REF!</v>
      </c>
      <c r="H310" s="118" t="e">
        <f t="shared" ca="1" si="49"/>
        <v>#REF!</v>
      </c>
      <c r="I310" s="118" t="e">
        <f t="shared" ca="1" si="50"/>
        <v>#REF!</v>
      </c>
      <c r="J310" s="118" t="e">
        <f t="shared" ca="1" si="51"/>
        <v>#REF!</v>
      </c>
      <c r="K310" s="118" t="e">
        <f t="shared" ca="1" si="52"/>
        <v>#REF!</v>
      </c>
      <c r="L310" s="118" t="e">
        <f t="shared" ca="1" si="53"/>
        <v>#REF!</v>
      </c>
      <c r="M310" s="118" t="e">
        <f t="shared" ca="1" si="54"/>
        <v>#REF!</v>
      </c>
    </row>
    <row r="311" spans="1:13" x14ac:dyDescent="0.25">
      <c r="A311" s="119">
        <v>44764</v>
      </c>
      <c r="B311" s="119">
        <v>44764</v>
      </c>
      <c r="C311" s="118" t="e">
        <f t="shared" ca="1" si="44"/>
        <v>#REF!</v>
      </c>
      <c r="D311" s="118" t="e">
        <f t="shared" ca="1" si="45"/>
        <v>#REF!</v>
      </c>
      <c r="E311" s="118" t="e">
        <f t="shared" ca="1" si="46"/>
        <v>#REF!</v>
      </c>
      <c r="F311" s="118" t="e">
        <f t="shared" ca="1" si="47"/>
        <v>#REF!</v>
      </c>
      <c r="G311" s="118" t="e">
        <f t="shared" ca="1" si="48"/>
        <v>#REF!</v>
      </c>
      <c r="H311" s="118" t="e">
        <f t="shared" ca="1" si="49"/>
        <v>#REF!</v>
      </c>
      <c r="I311" s="118" t="e">
        <f t="shared" ca="1" si="50"/>
        <v>#REF!</v>
      </c>
      <c r="J311" s="118" t="e">
        <f t="shared" ca="1" si="51"/>
        <v>#REF!</v>
      </c>
      <c r="K311" s="118" t="e">
        <f t="shared" ca="1" si="52"/>
        <v>#REF!</v>
      </c>
      <c r="L311" s="118" t="e">
        <f t="shared" ca="1" si="53"/>
        <v>#REF!</v>
      </c>
      <c r="M311" s="118" t="e">
        <f t="shared" ca="1" si="54"/>
        <v>#REF!</v>
      </c>
    </row>
    <row r="312" spans="1:13" x14ac:dyDescent="0.25">
      <c r="A312" s="119">
        <v>44765</v>
      </c>
      <c r="B312" s="119">
        <v>44765</v>
      </c>
      <c r="C312" s="118" t="e">
        <f t="shared" ca="1" si="44"/>
        <v>#REF!</v>
      </c>
      <c r="D312" s="118" t="e">
        <f t="shared" ca="1" si="45"/>
        <v>#REF!</v>
      </c>
      <c r="E312" s="118" t="e">
        <f t="shared" ca="1" si="46"/>
        <v>#REF!</v>
      </c>
      <c r="F312" s="118" t="e">
        <f t="shared" ca="1" si="47"/>
        <v>#REF!</v>
      </c>
      <c r="G312" s="118" t="e">
        <f t="shared" ca="1" si="48"/>
        <v>#REF!</v>
      </c>
      <c r="H312" s="118" t="e">
        <f t="shared" ca="1" si="49"/>
        <v>#REF!</v>
      </c>
      <c r="I312" s="118" t="e">
        <f t="shared" ca="1" si="50"/>
        <v>#REF!</v>
      </c>
      <c r="J312" s="118" t="e">
        <f t="shared" ca="1" si="51"/>
        <v>#REF!</v>
      </c>
      <c r="K312" s="118" t="e">
        <f t="shared" ca="1" si="52"/>
        <v>#REF!</v>
      </c>
      <c r="L312" s="118" t="e">
        <f t="shared" ca="1" si="53"/>
        <v>#REF!</v>
      </c>
      <c r="M312" s="118" t="e">
        <f t="shared" ca="1" si="54"/>
        <v>#REF!</v>
      </c>
    </row>
    <row r="313" spans="1:13" x14ac:dyDescent="0.25">
      <c r="A313" s="119">
        <v>44766</v>
      </c>
      <c r="B313" s="119">
        <v>44766</v>
      </c>
      <c r="C313" s="118" t="e">
        <f t="shared" ca="1" si="44"/>
        <v>#REF!</v>
      </c>
      <c r="D313" s="118" t="e">
        <f t="shared" ca="1" si="45"/>
        <v>#REF!</v>
      </c>
      <c r="E313" s="118" t="e">
        <f t="shared" ca="1" si="46"/>
        <v>#REF!</v>
      </c>
      <c r="F313" s="118" t="e">
        <f t="shared" ca="1" si="47"/>
        <v>#REF!</v>
      </c>
      <c r="G313" s="118" t="e">
        <f t="shared" ca="1" si="48"/>
        <v>#REF!</v>
      </c>
      <c r="H313" s="118" t="e">
        <f t="shared" ca="1" si="49"/>
        <v>#REF!</v>
      </c>
      <c r="I313" s="118" t="e">
        <f t="shared" ca="1" si="50"/>
        <v>#REF!</v>
      </c>
      <c r="J313" s="118" t="e">
        <f t="shared" ca="1" si="51"/>
        <v>#REF!</v>
      </c>
      <c r="K313" s="118" t="e">
        <f t="shared" ca="1" si="52"/>
        <v>#REF!</v>
      </c>
      <c r="L313" s="118" t="e">
        <f t="shared" ca="1" si="53"/>
        <v>#REF!</v>
      </c>
      <c r="M313" s="118" t="e">
        <f t="shared" ca="1" si="54"/>
        <v>#REF!</v>
      </c>
    </row>
    <row r="314" spans="1:13" x14ac:dyDescent="0.25">
      <c r="A314" s="119">
        <v>44767</v>
      </c>
      <c r="B314" s="119">
        <v>44767</v>
      </c>
      <c r="C314" s="118" t="e">
        <f t="shared" ca="1" si="44"/>
        <v>#REF!</v>
      </c>
      <c r="D314" s="118" t="e">
        <f t="shared" ca="1" si="45"/>
        <v>#REF!</v>
      </c>
      <c r="E314" s="118" t="e">
        <f t="shared" ca="1" si="46"/>
        <v>#REF!</v>
      </c>
      <c r="F314" s="118" t="e">
        <f t="shared" ca="1" si="47"/>
        <v>#REF!</v>
      </c>
      <c r="G314" s="118" t="e">
        <f t="shared" ca="1" si="48"/>
        <v>#REF!</v>
      </c>
      <c r="H314" s="118" t="e">
        <f t="shared" ca="1" si="49"/>
        <v>#REF!</v>
      </c>
      <c r="I314" s="118" t="e">
        <f t="shared" ca="1" si="50"/>
        <v>#REF!</v>
      </c>
      <c r="J314" s="118" t="e">
        <f t="shared" ca="1" si="51"/>
        <v>#REF!</v>
      </c>
      <c r="K314" s="118" t="e">
        <f t="shared" ca="1" si="52"/>
        <v>#REF!</v>
      </c>
      <c r="L314" s="118" t="e">
        <f t="shared" ca="1" si="53"/>
        <v>#REF!</v>
      </c>
      <c r="M314" s="118" t="e">
        <f t="shared" ca="1" si="54"/>
        <v>#REF!</v>
      </c>
    </row>
    <row r="315" spans="1:13" x14ac:dyDescent="0.25">
      <c r="A315" s="119">
        <v>44768</v>
      </c>
      <c r="B315" s="119">
        <v>44768</v>
      </c>
      <c r="C315" s="118" t="e">
        <f t="shared" ca="1" si="44"/>
        <v>#REF!</v>
      </c>
      <c r="D315" s="118" t="e">
        <f t="shared" ca="1" si="45"/>
        <v>#REF!</v>
      </c>
      <c r="E315" s="118" t="e">
        <f t="shared" ca="1" si="46"/>
        <v>#REF!</v>
      </c>
      <c r="F315" s="118" t="e">
        <f t="shared" ca="1" si="47"/>
        <v>#REF!</v>
      </c>
      <c r="G315" s="118" t="e">
        <f t="shared" ca="1" si="48"/>
        <v>#REF!</v>
      </c>
      <c r="H315" s="118" t="e">
        <f t="shared" ca="1" si="49"/>
        <v>#REF!</v>
      </c>
      <c r="I315" s="118" t="e">
        <f t="shared" ca="1" si="50"/>
        <v>#REF!</v>
      </c>
      <c r="J315" s="118" t="e">
        <f t="shared" ca="1" si="51"/>
        <v>#REF!</v>
      </c>
      <c r="K315" s="118" t="e">
        <f t="shared" ca="1" si="52"/>
        <v>#REF!</v>
      </c>
      <c r="L315" s="118" t="e">
        <f t="shared" ca="1" si="53"/>
        <v>#REF!</v>
      </c>
      <c r="M315" s="118" t="e">
        <f t="shared" ca="1" si="54"/>
        <v>#REF!</v>
      </c>
    </row>
    <row r="316" spans="1:13" x14ac:dyDescent="0.25">
      <c r="A316" s="119">
        <v>44769</v>
      </c>
      <c r="B316" s="119">
        <v>44769</v>
      </c>
      <c r="C316" s="118" t="e">
        <f t="shared" ca="1" si="44"/>
        <v>#REF!</v>
      </c>
      <c r="D316" s="118" t="e">
        <f t="shared" ca="1" si="45"/>
        <v>#REF!</v>
      </c>
      <c r="E316" s="118" t="e">
        <f t="shared" ca="1" si="46"/>
        <v>#REF!</v>
      </c>
      <c r="F316" s="118" t="e">
        <f t="shared" ca="1" si="47"/>
        <v>#REF!</v>
      </c>
      <c r="G316" s="118" t="e">
        <f t="shared" ca="1" si="48"/>
        <v>#REF!</v>
      </c>
      <c r="H316" s="118" t="e">
        <f t="shared" ca="1" si="49"/>
        <v>#REF!</v>
      </c>
      <c r="I316" s="118" t="e">
        <f t="shared" ca="1" si="50"/>
        <v>#REF!</v>
      </c>
      <c r="J316" s="118" t="e">
        <f t="shared" ca="1" si="51"/>
        <v>#REF!</v>
      </c>
      <c r="K316" s="118" t="e">
        <f t="shared" ca="1" si="52"/>
        <v>#REF!</v>
      </c>
      <c r="L316" s="118" t="e">
        <f t="shared" ca="1" si="53"/>
        <v>#REF!</v>
      </c>
      <c r="M316" s="118" t="e">
        <f t="shared" ca="1" si="54"/>
        <v>#REF!</v>
      </c>
    </row>
    <row r="317" spans="1:13" x14ac:dyDescent="0.25">
      <c r="A317" s="119">
        <v>44770</v>
      </c>
      <c r="B317" s="119">
        <v>44770</v>
      </c>
      <c r="C317" s="118" t="e">
        <f t="shared" ca="1" si="44"/>
        <v>#REF!</v>
      </c>
      <c r="D317" s="118" t="e">
        <f t="shared" ca="1" si="45"/>
        <v>#REF!</v>
      </c>
      <c r="E317" s="118" t="e">
        <f t="shared" ca="1" si="46"/>
        <v>#REF!</v>
      </c>
      <c r="F317" s="118" t="e">
        <f t="shared" ca="1" si="47"/>
        <v>#REF!</v>
      </c>
      <c r="G317" s="118" t="e">
        <f t="shared" ca="1" si="48"/>
        <v>#REF!</v>
      </c>
      <c r="H317" s="118" t="e">
        <f t="shared" ca="1" si="49"/>
        <v>#REF!</v>
      </c>
      <c r="I317" s="118" t="e">
        <f t="shared" ca="1" si="50"/>
        <v>#REF!</v>
      </c>
      <c r="J317" s="118" t="e">
        <f t="shared" ca="1" si="51"/>
        <v>#REF!</v>
      </c>
      <c r="K317" s="118" t="e">
        <f t="shared" ca="1" si="52"/>
        <v>#REF!</v>
      </c>
      <c r="L317" s="118" t="e">
        <f t="shared" ca="1" si="53"/>
        <v>#REF!</v>
      </c>
      <c r="M317" s="118" t="e">
        <f t="shared" ca="1" si="54"/>
        <v>#REF!</v>
      </c>
    </row>
    <row r="318" spans="1:13" x14ac:dyDescent="0.25">
      <c r="A318" s="119">
        <v>44771</v>
      </c>
      <c r="B318" s="119">
        <v>44771</v>
      </c>
      <c r="C318" s="118" t="e">
        <f t="shared" ca="1" si="44"/>
        <v>#REF!</v>
      </c>
      <c r="D318" s="118" t="e">
        <f t="shared" ca="1" si="45"/>
        <v>#REF!</v>
      </c>
      <c r="E318" s="118" t="e">
        <f t="shared" ca="1" si="46"/>
        <v>#REF!</v>
      </c>
      <c r="F318" s="118" t="e">
        <f t="shared" ca="1" si="47"/>
        <v>#REF!</v>
      </c>
      <c r="G318" s="118" t="e">
        <f t="shared" ca="1" si="48"/>
        <v>#REF!</v>
      </c>
      <c r="H318" s="118" t="e">
        <f t="shared" ca="1" si="49"/>
        <v>#REF!</v>
      </c>
      <c r="I318" s="118" t="e">
        <f t="shared" ca="1" si="50"/>
        <v>#REF!</v>
      </c>
      <c r="J318" s="118" t="e">
        <f t="shared" ca="1" si="51"/>
        <v>#REF!</v>
      </c>
      <c r="K318" s="118" t="e">
        <f t="shared" ca="1" si="52"/>
        <v>#REF!</v>
      </c>
      <c r="L318" s="118" t="e">
        <f t="shared" ca="1" si="53"/>
        <v>#REF!</v>
      </c>
      <c r="M318" s="118" t="e">
        <f t="shared" ca="1" si="54"/>
        <v>#REF!</v>
      </c>
    </row>
    <row r="319" spans="1:13" x14ac:dyDescent="0.25">
      <c r="A319" s="119">
        <v>44772</v>
      </c>
      <c r="B319" s="119">
        <v>44772</v>
      </c>
      <c r="C319" s="118" t="e">
        <f t="shared" ca="1" si="44"/>
        <v>#REF!</v>
      </c>
      <c r="D319" s="118" t="e">
        <f t="shared" ca="1" si="45"/>
        <v>#REF!</v>
      </c>
      <c r="E319" s="118" t="e">
        <f t="shared" ca="1" si="46"/>
        <v>#REF!</v>
      </c>
      <c r="F319" s="118" t="e">
        <f t="shared" ca="1" si="47"/>
        <v>#REF!</v>
      </c>
      <c r="G319" s="118" t="e">
        <f t="shared" ca="1" si="48"/>
        <v>#REF!</v>
      </c>
      <c r="H319" s="118" t="e">
        <f t="shared" ca="1" si="49"/>
        <v>#REF!</v>
      </c>
      <c r="I319" s="118" t="e">
        <f t="shared" ca="1" si="50"/>
        <v>#REF!</v>
      </c>
      <c r="J319" s="118" t="e">
        <f t="shared" ca="1" si="51"/>
        <v>#REF!</v>
      </c>
      <c r="K319" s="118" t="e">
        <f t="shared" ca="1" si="52"/>
        <v>#REF!</v>
      </c>
      <c r="L319" s="118" t="e">
        <f t="shared" ca="1" si="53"/>
        <v>#REF!</v>
      </c>
      <c r="M319" s="118" t="e">
        <f t="shared" ca="1" si="54"/>
        <v>#REF!</v>
      </c>
    </row>
    <row r="320" spans="1:13" x14ac:dyDescent="0.25">
      <c r="A320" s="119">
        <v>44773</v>
      </c>
      <c r="B320" s="119">
        <v>44773</v>
      </c>
      <c r="C320" s="118" t="e">
        <f t="shared" ca="1" si="44"/>
        <v>#REF!</v>
      </c>
      <c r="D320" s="118" t="e">
        <f t="shared" ca="1" si="45"/>
        <v>#REF!</v>
      </c>
      <c r="E320" s="118" t="e">
        <f t="shared" ca="1" si="46"/>
        <v>#REF!</v>
      </c>
      <c r="F320" s="118" t="e">
        <f t="shared" ca="1" si="47"/>
        <v>#REF!</v>
      </c>
      <c r="G320" s="118" t="e">
        <f t="shared" ca="1" si="48"/>
        <v>#REF!</v>
      </c>
      <c r="H320" s="118" t="e">
        <f t="shared" ca="1" si="49"/>
        <v>#REF!</v>
      </c>
      <c r="I320" s="118" t="e">
        <f t="shared" ca="1" si="50"/>
        <v>#REF!</v>
      </c>
      <c r="J320" s="118" t="e">
        <f t="shared" ca="1" si="51"/>
        <v>#REF!</v>
      </c>
      <c r="K320" s="118" t="e">
        <f t="shared" ca="1" si="52"/>
        <v>#REF!</v>
      </c>
      <c r="L320" s="118" t="e">
        <f t="shared" ca="1" si="53"/>
        <v>#REF!</v>
      </c>
      <c r="M320" s="118" t="e">
        <f t="shared" ca="1" si="54"/>
        <v>#REF!</v>
      </c>
    </row>
    <row r="321" spans="1:13" x14ac:dyDescent="0.25">
      <c r="A321" s="119">
        <v>44774</v>
      </c>
      <c r="B321" s="119">
        <v>44774</v>
      </c>
      <c r="C321" s="118" t="e">
        <f t="shared" ca="1" si="44"/>
        <v>#REF!</v>
      </c>
      <c r="D321" s="118" t="e">
        <f t="shared" ca="1" si="45"/>
        <v>#REF!</v>
      </c>
      <c r="E321" s="118" t="e">
        <f t="shared" ca="1" si="46"/>
        <v>#REF!</v>
      </c>
      <c r="F321" s="118" t="e">
        <f t="shared" ca="1" si="47"/>
        <v>#REF!</v>
      </c>
      <c r="G321" s="118" t="e">
        <f t="shared" ca="1" si="48"/>
        <v>#REF!</v>
      </c>
      <c r="H321" s="118" t="e">
        <f t="shared" ca="1" si="49"/>
        <v>#REF!</v>
      </c>
      <c r="I321" s="118" t="e">
        <f t="shared" ca="1" si="50"/>
        <v>#REF!</v>
      </c>
      <c r="J321" s="118" t="e">
        <f t="shared" ca="1" si="51"/>
        <v>#REF!</v>
      </c>
      <c r="K321" s="118" t="e">
        <f t="shared" ca="1" si="52"/>
        <v>#REF!</v>
      </c>
      <c r="L321" s="118" t="e">
        <f t="shared" ca="1" si="53"/>
        <v>#REF!</v>
      </c>
      <c r="M321" s="118" t="e">
        <f t="shared" ca="1" si="54"/>
        <v>#REF!</v>
      </c>
    </row>
    <row r="322" spans="1:13" x14ac:dyDescent="0.25">
      <c r="A322" s="119">
        <v>44775</v>
      </c>
      <c r="B322" s="119">
        <v>44775</v>
      </c>
      <c r="C322" s="118" t="e">
        <f t="shared" ca="1" si="44"/>
        <v>#REF!</v>
      </c>
      <c r="D322" s="118" t="e">
        <f t="shared" ca="1" si="45"/>
        <v>#REF!</v>
      </c>
      <c r="E322" s="118" t="e">
        <f t="shared" ca="1" si="46"/>
        <v>#REF!</v>
      </c>
      <c r="F322" s="118" t="e">
        <f t="shared" ca="1" si="47"/>
        <v>#REF!</v>
      </c>
      <c r="G322" s="118" t="e">
        <f t="shared" ca="1" si="48"/>
        <v>#REF!</v>
      </c>
      <c r="H322" s="118" t="e">
        <f t="shared" ca="1" si="49"/>
        <v>#REF!</v>
      </c>
      <c r="I322" s="118" t="e">
        <f t="shared" ca="1" si="50"/>
        <v>#REF!</v>
      </c>
      <c r="J322" s="118" t="e">
        <f t="shared" ca="1" si="51"/>
        <v>#REF!</v>
      </c>
      <c r="K322" s="118" t="e">
        <f t="shared" ca="1" si="52"/>
        <v>#REF!</v>
      </c>
      <c r="L322" s="118" t="e">
        <f t="shared" ca="1" si="53"/>
        <v>#REF!</v>
      </c>
      <c r="M322" s="118" t="e">
        <f t="shared" ca="1" si="54"/>
        <v>#REF!</v>
      </c>
    </row>
    <row r="323" spans="1:13" x14ac:dyDescent="0.25">
      <c r="A323" s="119">
        <v>44776</v>
      </c>
      <c r="B323" s="119">
        <v>44776</v>
      </c>
      <c r="C323" s="118" t="e">
        <f t="shared" ref="C323:C386" ca="1" si="55">INDIRECT(CONCATENATE("",$A323,"!H10"))</f>
        <v>#REF!</v>
      </c>
      <c r="D323" s="118" t="e">
        <f t="shared" ref="D323:D386" ca="1" si="56">INDIRECT(CONCATENATE("",$A323,"!H11"))</f>
        <v>#REF!</v>
      </c>
      <c r="E323" s="118" t="e">
        <f t="shared" ref="E323:E386" ca="1" si="57">INDIRECT(CONCATENATE("",$A323,"!H12"))</f>
        <v>#REF!</v>
      </c>
      <c r="F323" s="118" t="e">
        <f t="shared" ref="F323:F386" ca="1" si="58">INDIRECT(CONCATENATE("",$A323,"!H13"))</f>
        <v>#REF!</v>
      </c>
      <c r="G323" s="118" t="e">
        <f t="shared" ref="G323:G386" ca="1" si="59">INDIRECT(CONCATENATE("",$A323,"!H14"))</f>
        <v>#REF!</v>
      </c>
      <c r="H323" s="118" t="e">
        <f t="shared" ref="H323:H386" ca="1" si="60">INDIRECT(CONCATENATE("",$A323,"!i12"))</f>
        <v>#REF!</v>
      </c>
      <c r="I323" s="118" t="e">
        <f t="shared" ref="I323:I386" ca="1" si="61">INDIRECT(CONCATENATE("",$A323,"!i13"))</f>
        <v>#REF!</v>
      </c>
      <c r="J323" s="118" t="e">
        <f t="shared" ref="J323:J386" ca="1" si="62">INDIRECT(CONCATENATE("",$A323,"!i14"))</f>
        <v>#REF!</v>
      </c>
      <c r="K323" s="118" t="e">
        <f t="shared" ref="K323:K386" ca="1" si="63">INDIRECT(CONCATENATE("",$A323,"!J12"))</f>
        <v>#REF!</v>
      </c>
      <c r="L323" s="118" t="e">
        <f t="shared" ref="L323:L386" ca="1" si="64">INDIRECT(CONCATENATE("",$A323,"!J13"))</f>
        <v>#REF!</v>
      </c>
      <c r="M323" s="118" t="e">
        <f t="shared" ref="M323:M386" ca="1" si="65">INDIRECT(CONCATENATE("",$A323,"!J14"))</f>
        <v>#REF!</v>
      </c>
    </row>
    <row r="324" spans="1:13" x14ac:dyDescent="0.25">
      <c r="A324" s="119" t="s">
        <v>196</v>
      </c>
      <c r="B324" s="119">
        <v>44777</v>
      </c>
      <c r="C324" s="118" t="e">
        <f t="shared" ca="1" si="55"/>
        <v>#REF!</v>
      </c>
      <c r="D324" s="118" t="e">
        <f t="shared" ca="1" si="56"/>
        <v>#REF!</v>
      </c>
      <c r="E324" s="118" t="e">
        <f t="shared" ca="1" si="57"/>
        <v>#REF!</v>
      </c>
      <c r="F324" s="118" t="e">
        <f t="shared" ca="1" si="58"/>
        <v>#REF!</v>
      </c>
      <c r="G324" s="118" t="e">
        <f t="shared" ca="1" si="59"/>
        <v>#REF!</v>
      </c>
      <c r="H324" s="118" t="e">
        <f t="shared" ca="1" si="60"/>
        <v>#REF!</v>
      </c>
      <c r="I324" s="118" t="e">
        <f t="shared" ca="1" si="61"/>
        <v>#REF!</v>
      </c>
      <c r="J324" s="118" t="e">
        <f t="shared" ca="1" si="62"/>
        <v>#REF!</v>
      </c>
      <c r="K324" s="118" t="e">
        <f t="shared" ca="1" si="63"/>
        <v>#REF!</v>
      </c>
      <c r="L324" s="118" t="e">
        <f t="shared" ca="1" si="64"/>
        <v>#REF!</v>
      </c>
      <c r="M324" s="118" t="e">
        <f t="shared" ca="1" si="65"/>
        <v>#REF!</v>
      </c>
    </row>
    <row r="325" spans="1:13" x14ac:dyDescent="0.25">
      <c r="A325" s="119">
        <v>44778</v>
      </c>
      <c r="B325" s="119">
        <v>44778</v>
      </c>
      <c r="C325" s="118" t="e">
        <f t="shared" ca="1" si="55"/>
        <v>#REF!</v>
      </c>
      <c r="D325" s="118" t="e">
        <f t="shared" ca="1" si="56"/>
        <v>#REF!</v>
      </c>
      <c r="E325" s="118" t="e">
        <f t="shared" ca="1" si="57"/>
        <v>#REF!</v>
      </c>
      <c r="F325" s="118" t="e">
        <f t="shared" ca="1" si="58"/>
        <v>#REF!</v>
      </c>
      <c r="G325" s="118" t="e">
        <f t="shared" ca="1" si="59"/>
        <v>#REF!</v>
      </c>
      <c r="H325" s="118" t="e">
        <f t="shared" ca="1" si="60"/>
        <v>#REF!</v>
      </c>
      <c r="I325" s="118" t="e">
        <f t="shared" ca="1" si="61"/>
        <v>#REF!</v>
      </c>
      <c r="J325" s="118" t="e">
        <f t="shared" ca="1" si="62"/>
        <v>#REF!</v>
      </c>
      <c r="K325" s="118" t="e">
        <f t="shared" ca="1" si="63"/>
        <v>#REF!</v>
      </c>
      <c r="L325" s="118" t="e">
        <f t="shared" ca="1" si="64"/>
        <v>#REF!</v>
      </c>
      <c r="M325" s="118" t="e">
        <f t="shared" ca="1" si="65"/>
        <v>#REF!</v>
      </c>
    </row>
    <row r="326" spans="1:13" x14ac:dyDescent="0.25">
      <c r="A326" s="119">
        <v>44779</v>
      </c>
      <c r="B326" s="119">
        <v>44779</v>
      </c>
      <c r="C326" s="118" t="e">
        <f t="shared" ca="1" si="55"/>
        <v>#REF!</v>
      </c>
      <c r="D326" s="118" t="e">
        <f t="shared" ca="1" si="56"/>
        <v>#REF!</v>
      </c>
      <c r="E326" s="118" t="e">
        <f t="shared" ca="1" si="57"/>
        <v>#REF!</v>
      </c>
      <c r="F326" s="118" t="e">
        <f t="shared" ca="1" si="58"/>
        <v>#REF!</v>
      </c>
      <c r="G326" s="118" t="e">
        <f t="shared" ca="1" si="59"/>
        <v>#REF!</v>
      </c>
      <c r="H326" s="118" t="e">
        <f t="shared" ca="1" si="60"/>
        <v>#REF!</v>
      </c>
      <c r="I326" s="118" t="e">
        <f t="shared" ca="1" si="61"/>
        <v>#REF!</v>
      </c>
      <c r="J326" s="118" t="e">
        <f t="shared" ca="1" si="62"/>
        <v>#REF!</v>
      </c>
      <c r="K326" s="118" t="e">
        <f t="shared" ca="1" si="63"/>
        <v>#REF!</v>
      </c>
      <c r="L326" s="118" t="e">
        <f t="shared" ca="1" si="64"/>
        <v>#REF!</v>
      </c>
      <c r="M326" s="118" t="e">
        <f t="shared" ca="1" si="65"/>
        <v>#REF!</v>
      </c>
    </row>
    <row r="327" spans="1:13" x14ac:dyDescent="0.25">
      <c r="A327" s="119">
        <v>44780</v>
      </c>
      <c r="B327" s="119">
        <v>44780</v>
      </c>
      <c r="C327" s="118" t="e">
        <f t="shared" ca="1" si="55"/>
        <v>#REF!</v>
      </c>
      <c r="D327" s="118" t="e">
        <f t="shared" ca="1" si="56"/>
        <v>#REF!</v>
      </c>
      <c r="E327" s="118" t="e">
        <f t="shared" ca="1" si="57"/>
        <v>#REF!</v>
      </c>
      <c r="F327" s="118" t="e">
        <f t="shared" ca="1" si="58"/>
        <v>#REF!</v>
      </c>
      <c r="G327" s="118" t="e">
        <f t="shared" ca="1" si="59"/>
        <v>#REF!</v>
      </c>
      <c r="H327" s="118" t="e">
        <f t="shared" ca="1" si="60"/>
        <v>#REF!</v>
      </c>
      <c r="I327" s="118" t="e">
        <f t="shared" ca="1" si="61"/>
        <v>#REF!</v>
      </c>
      <c r="J327" s="118" t="e">
        <f t="shared" ca="1" si="62"/>
        <v>#REF!</v>
      </c>
      <c r="K327" s="118" t="e">
        <f t="shared" ca="1" si="63"/>
        <v>#REF!</v>
      </c>
      <c r="L327" s="118" t="e">
        <f t="shared" ca="1" si="64"/>
        <v>#REF!</v>
      </c>
      <c r="M327" s="118" t="e">
        <f t="shared" ca="1" si="65"/>
        <v>#REF!</v>
      </c>
    </row>
    <row r="328" spans="1:13" x14ac:dyDescent="0.25">
      <c r="A328" s="119">
        <v>44781</v>
      </c>
      <c r="B328" s="119">
        <v>44781</v>
      </c>
      <c r="C328" s="118" t="e">
        <f t="shared" ca="1" si="55"/>
        <v>#REF!</v>
      </c>
      <c r="D328" s="118" t="e">
        <f t="shared" ca="1" si="56"/>
        <v>#REF!</v>
      </c>
      <c r="E328" s="118" t="e">
        <f t="shared" ca="1" si="57"/>
        <v>#REF!</v>
      </c>
      <c r="F328" s="118" t="e">
        <f t="shared" ca="1" si="58"/>
        <v>#REF!</v>
      </c>
      <c r="G328" s="118" t="e">
        <f t="shared" ca="1" si="59"/>
        <v>#REF!</v>
      </c>
      <c r="H328" s="118" t="e">
        <f t="shared" ca="1" si="60"/>
        <v>#REF!</v>
      </c>
      <c r="I328" s="118" t="e">
        <f t="shared" ca="1" si="61"/>
        <v>#REF!</v>
      </c>
      <c r="J328" s="118" t="e">
        <f t="shared" ca="1" si="62"/>
        <v>#REF!</v>
      </c>
      <c r="K328" s="118" t="e">
        <f t="shared" ca="1" si="63"/>
        <v>#REF!</v>
      </c>
      <c r="L328" s="118" t="e">
        <f t="shared" ca="1" si="64"/>
        <v>#REF!</v>
      </c>
      <c r="M328" s="118" t="e">
        <f t="shared" ca="1" si="65"/>
        <v>#REF!</v>
      </c>
    </row>
    <row r="329" spans="1:13" x14ac:dyDescent="0.25">
      <c r="A329" s="119">
        <v>44782</v>
      </c>
      <c r="B329" s="119">
        <v>44782</v>
      </c>
      <c r="C329" s="118" t="e">
        <f t="shared" ca="1" si="55"/>
        <v>#REF!</v>
      </c>
      <c r="D329" s="118" t="e">
        <f t="shared" ca="1" si="56"/>
        <v>#REF!</v>
      </c>
      <c r="E329" s="118" t="e">
        <f t="shared" ca="1" si="57"/>
        <v>#REF!</v>
      </c>
      <c r="F329" s="118" t="e">
        <f t="shared" ca="1" si="58"/>
        <v>#REF!</v>
      </c>
      <c r="G329" s="118" t="e">
        <f t="shared" ca="1" si="59"/>
        <v>#REF!</v>
      </c>
      <c r="H329" s="118" t="e">
        <f t="shared" ca="1" si="60"/>
        <v>#REF!</v>
      </c>
      <c r="I329" s="118" t="e">
        <f t="shared" ca="1" si="61"/>
        <v>#REF!</v>
      </c>
      <c r="J329" s="118" t="e">
        <f t="shared" ca="1" si="62"/>
        <v>#REF!</v>
      </c>
      <c r="K329" s="118" t="e">
        <f t="shared" ca="1" si="63"/>
        <v>#REF!</v>
      </c>
      <c r="L329" s="118" t="e">
        <f t="shared" ca="1" si="64"/>
        <v>#REF!</v>
      </c>
      <c r="M329" s="118" t="e">
        <f t="shared" ca="1" si="65"/>
        <v>#REF!</v>
      </c>
    </row>
    <row r="330" spans="1:13" x14ac:dyDescent="0.25">
      <c r="A330" s="119">
        <v>44783</v>
      </c>
      <c r="B330" s="119">
        <v>44783</v>
      </c>
      <c r="C330" s="118" t="e">
        <f t="shared" ca="1" si="55"/>
        <v>#REF!</v>
      </c>
      <c r="D330" s="118" t="e">
        <f t="shared" ca="1" si="56"/>
        <v>#REF!</v>
      </c>
      <c r="E330" s="118" t="e">
        <f t="shared" ca="1" si="57"/>
        <v>#REF!</v>
      </c>
      <c r="F330" s="118" t="e">
        <f t="shared" ca="1" si="58"/>
        <v>#REF!</v>
      </c>
      <c r="G330" s="118" t="e">
        <f t="shared" ca="1" si="59"/>
        <v>#REF!</v>
      </c>
      <c r="H330" s="118" t="e">
        <f t="shared" ca="1" si="60"/>
        <v>#REF!</v>
      </c>
      <c r="I330" s="118" t="e">
        <f t="shared" ca="1" si="61"/>
        <v>#REF!</v>
      </c>
      <c r="J330" s="118" t="e">
        <f t="shared" ca="1" si="62"/>
        <v>#REF!</v>
      </c>
      <c r="K330" s="118" t="e">
        <f t="shared" ca="1" si="63"/>
        <v>#REF!</v>
      </c>
      <c r="L330" s="118" t="e">
        <f t="shared" ca="1" si="64"/>
        <v>#REF!</v>
      </c>
      <c r="M330" s="118" t="e">
        <f t="shared" ca="1" si="65"/>
        <v>#REF!</v>
      </c>
    </row>
    <row r="331" spans="1:13" x14ac:dyDescent="0.25">
      <c r="A331" s="119">
        <v>44784</v>
      </c>
      <c r="B331" s="119">
        <v>44784</v>
      </c>
      <c r="C331" s="118" t="e">
        <f t="shared" ca="1" si="55"/>
        <v>#REF!</v>
      </c>
      <c r="D331" s="118" t="e">
        <f t="shared" ca="1" si="56"/>
        <v>#REF!</v>
      </c>
      <c r="E331" s="118" t="e">
        <f t="shared" ca="1" si="57"/>
        <v>#REF!</v>
      </c>
      <c r="F331" s="118" t="e">
        <f t="shared" ca="1" si="58"/>
        <v>#REF!</v>
      </c>
      <c r="G331" s="118" t="e">
        <f t="shared" ca="1" si="59"/>
        <v>#REF!</v>
      </c>
      <c r="H331" s="118" t="e">
        <f t="shared" ca="1" si="60"/>
        <v>#REF!</v>
      </c>
      <c r="I331" s="118" t="e">
        <f t="shared" ca="1" si="61"/>
        <v>#REF!</v>
      </c>
      <c r="J331" s="118" t="e">
        <f t="shared" ca="1" si="62"/>
        <v>#REF!</v>
      </c>
      <c r="K331" s="118" t="e">
        <f t="shared" ca="1" si="63"/>
        <v>#REF!</v>
      </c>
      <c r="L331" s="118" t="e">
        <f t="shared" ca="1" si="64"/>
        <v>#REF!</v>
      </c>
      <c r="M331" s="118" t="e">
        <f t="shared" ca="1" si="65"/>
        <v>#REF!</v>
      </c>
    </row>
    <row r="332" spans="1:13" x14ac:dyDescent="0.25">
      <c r="A332" s="119" t="s">
        <v>197</v>
      </c>
      <c r="B332" s="119">
        <v>44785</v>
      </c>
      <c r="C332" s="118" t="e">
        <f t="shared" ca="1" si="55"/>
        <v>#REF!</v>
      </c>
      <c r="D332" s="118" t="e">
        <f t="shared" ca="1" si="56"/>
        <v>#REF!</v>
      </c>
      <c r="E332" s="118" t="e">
        <f t="shared" ca="1" si="57"/>
        <v>#REF!</v>
      </c>
      <c r="F332" s="118" t="e">
        <f t="shared" ca="1" si="58"/>
        <v>#REF!</v>
      </c>
      <c r="G332" s="118" t="e">
        <f t="shared" ca="1" si="59"/>
        <v>#REF!</v>
      </c>
      <c r="H332" s="118" t="e">
        <f t="shared" ca="1" si="60"/>
        <v>#REF!</v>
      </c>
      <c r="I332" s="118" t="e">
        <f t="shared" ca="1" si="61"/>
        <v>#REF!</v>
      </c>
      <c r="J332" s="118" t="e">
        <f t="shared" ca="1" si="62"/>
        <v>#REF!</v>
      </c>
      <c r="K332" s="118" t="e">
        <f t="shared" ca="1" si="63"/>
        <v>#REF!</v>
      </c>
      <c r="L332" s="118" t="e">
        <f t="shared" ca="1" si="64"/>
        <v>#REF!</v>
      </c>
      <c r="M332" s="118" t="e">
        <f t="shared" ca="1" si="65"/>
        <v>#REF!</v>
      </c>
    </row>
    <row r="333" spans="1:13" x14ac:dyDescent="0.25">
      <c r="A333" s="119">
        <v>44786</v>
      </c>
      <c r="B333" s="119">
        <v>44786</v>
      </c>
      <c r="C333" s="118" t="e">
        <f t="shared" ca="1" si="55"/>
        <v>#REF!</v>
      </c>
      <c r="D333" s="118" t="e">
        <f t="shared" ca="1" si="56"/>
        <v>#REF!</v>
      </c>
      <c r="E333" s="118" t="e">
        <f t="shared" ca="1" si="57"/>
        <v>#REF!</v>
      </c>
      <c r="F333" s="118" t="e">
        <f t="shared" ca="1" si="58"/>
        <v>#REF!</v>
      </c>
      <c r="G333" s="118" t="e">
        <f t="shared" ca="1" si="59"/>
        <v>#REF!</v>
      </c>
      <c r="H333" s="118" t="e">
        <f t="shared" ca="1" si="60"/>
        <v>#REF!</v>
      </c>
      <c r="I333" s="118" t="e">
        <f t="shared" ca="1" si="61"/>
        <v>#REF!</v>
      </c>
      <c r="J333" s="118" t="e">
        <f t="shared" ca="1" si="62"/>
        <v>#REF!</v>
      </c>
      <c r="K333" s="118" t="e">
        <f t="shared" ca="1" si="63"/>
        <v>#REF!</v>
      </c>
      <c r="L333" s="118" t="e">
        <f t="shared" ca="1" si="64"/>
        <v>#REF!</v>
      </c>
      <c r="M333" s="118" t="e">
        <f t="shared" ca="1" si="65"/>
        <v>#REF!</v>
      </c>
    </row>
    <row r="334" spans="1:13" x14ac:dyDescent="0.25">
      <c r="A334" s="119">
        <v>44787</v>
      </c>
      <c r="B334" s="119">
        <v>44787</v>
      </c>
      <c r="C334" s="118" t="e">
        <f t="shared" ca="1" si="55"/>
        <v>#REF!</v>
      </c>
      <c r="D334" s="118" t="e">
        <f t="shared" ca="1" si="56"/>
        <v>#REF!</v>
      </c>
      <c r="E334" s="118" t="e">
        <f t="shared" ca="1" si="57"/>
        <v>#REF!</v>
      </c>
      <c r="F334" s="118" t="e">
        <f t="shared" ca="1" si="58"/>
        <v>#REF!</v>
      </c>
      <c r="G334" s="118" t="e">
        <f t="shared" ca="1" si="59"/>
        <v>#REF!</v>
      </c>
      <c r="H334" s="118" t="e">
        <f t="shared" ca="1" si="60"/>
        <v>#REF!</v>
      </c>
      <c r="I334" s="118" t="e">
        <f t="shared" ca="1" si="61"/>
        <v>#REF!</v>
      </c>
      <c r="J334" s="118" t="e">
        <f t="shared" ca="1" si="62"/>
        <v>#REF!</v>
      </c>
      <c r="K334" s="118" t="e">
        <f t="shared" ca="1" si="63"/>
        <v>#REF!</v>
      </c>
      <c r="L334" s="118" t="e">
        <f t="shared" ca="1" si="64"/>
        <v>#REF!</v>
      </c>
      <c r="M334" s="118" t="e">
        <f t="shared" ca="1" si="65"/>
        <v>#REF!</v>
      </c>
    </row>
    <row r="335" spans="1:13" x14ac:dyDescent="0.25">
      <c r="A335" s="119" t="s">
        <v>198</v>
      </c>
      <c r="B335" s="119">
        <v>44788</v>
      </c>
      <c r="C335" s="118" t="e">
        <f t="shared" ca="1" si="55"/>
        <v>#REF!</v>
      </c>
      <c r="D335" s="118" t="e">
        <f t="shared" ca="1" si="56"/>
        <v>#REF!</v>
      </c>
      <c r="E335" s="118" t="e">
        <f t="shared" ca="1" si="57"/>
        <v>#REF!</v>
      </c>
      <c r="F335" s="118" t="e">
        <f t="shared" ca="1" si="58"/>
        <v>#REF!</v>
      </c>
      <c r="G335" s="118" t="e">
        <f t="shared" ca="1" si="59"/>
        <v>#REF!</v>
      </c>
      <c r="H335" s="118" t="e">
        <f t="shared" ca="1" si="60"/>
        <v>#REF!</v>
      </c>
      <c r="I335" s="118" t="e">
        <f t="shared" ca="1" si="61"/>
        <v>#REF!</v>
      </c>
      <c r="J335" s="118" t="e">
        <f t="shared" ca="1" si="62"/>
        <v>#REF!</v>
      </c>
      <c r="K335" s="118" t="e">
        <f t="shared" ca="1" si="63"/>
        <v>#REF!</v>
      </c>
      <c r="L335" s="118" t="e">
        <f t="shared" ca="1" si="64"/>
        <v>#REF!</v>
      </c>
      <c r="M335" s="118" t="e">
        <f t="shared" ca="1" si="65"/>
        <v>#REF!</v>
      </c>
    </row>
    <row r="336" spans="1:13" x14ac:dyDescent="0.25">
      <c r="A336" s="119">
        <v>44789</v>
      </c>
      <c r="B336" s="119">
        <v>44789</v>
      </c>
      <c r="C336" s="118" t="e">
        <f t="shared" ca="1" si="55"/>
        <v>#REF!</v>
      </c>
      <c r="D336" s="118" t="e">
        <f t="shared" ca="1" si="56"/>
        <v>#REF!</v>
      </c>
      <c r="E336" s="118" t="e">
        <f t="shared" ca="1" si="57"/>
        <v>#REF!</v>
      </c>
      <c r="F336" s="118" t="e">
        <f t="shared" ca="1" si="58"/>
        <v>#REF!</v>
      </c>
      <c r="G336" s="118" t="e">
        <f t="shared" ca="1" si="59"/>
        <v>#REF!</v>
      </c>
      <c r="H336" s="118" t="e">
        <f t="shared" ca="1" si="60"/>
        <v>#REF!</v>
      </c>
      <c r="I336" s="118" t="e">
        <f t="shared" ca="1" si="61"/>
        <v>#REF!</v>
      </c>
      <c r="J336" s="118" t="e">
        <f t="shared" ca="1" si="62"/>
        <v>#REF!</v>
      </c>
      <c r="K336" s="118" t="e">
        <f t="shared" ca="1" si="63"/>
        <v>#REF!</v>
      </c>
      <c r="L336" s="118" t="e">
        <f t="shared" ca="1" si="64"/>
        <v>#REF!</v>
      </c>
      <c r="M336" s="118" t="e">
        <f t="shared" ca="1" si="65"/>
        <v>#REF!</v>
      </c>
    </row>
    <row r="337" spans="1:13" x14ac:dyDescent="0.25">
      <c r="A337" s="119">
        <v>44790</v>
      </c>
      <c r="B337" s="119">
        <v>44790</v>
      </c>
      <c r="C337" s="118" t="e">
        <f t="shared" ca="1" si="55"/>
        <v>#REF!</v>
      </c>
      <c r="D337" s="118" t="e">
        <f t="shared" ca="1" si="56"/>
        <v>#REF!</v>
      </c>
      <c r="E337" s="118" t="e">
        <f t="shared" ca="1" si="57"/>
        <v>#REF!</v>
      </c>
      <c r="F337" s="118" t="e">
        <f t="shared" ca="1" si="58"/>
        <v>#REF!</v>
      </c>
      <c r="G337" s="118" t="e">
        <f t="shared" ca="1" si="59"/>
        <v>#REF!</v>
      </c>
      <c r="H337" s="118" t="e">
        <f t="shared" ca="1" si="60"/>
        <v>#REF!</v>
      </c>
      <c r="I337" s="118" t="e">
        <f t="shared" ca="1" si="61"/>
        <v>#REF!</v>
      </c>
      <c r="J337" s="118" t="e">
        <f t="shared" ca="1" si="62"/>
        <v>#REF!</v>
      </c>
      <c r="K337" s="118" t="e">
        <f t="shared" ca="1" si="63"/>
        <v>#REF!</v>
      </c>
      <c r="L337" s="118" t="e">
        <f t="shared" ca="1" si="64"/>
        <v>#REF!</v>
      </c>
      <c r="M337" s="118" t="e">
        <f t="shared" ca="1" si="65"/>
        <v>#REF!</v>
      </c>
    </row>
    <row r="338" spans="1:13" x14ac:dyDescent="0.25">
      <c r="A338" s="119">
        <v>44791</v>
      </c>
      <c r="B338" s="119">
        <v>44791</v>
      </c>
      <c r="C338" s="118" t="e">
        <f t="shared" ca="1" si="55"/>
        <v>#REF!</v>
      </c>
      <c r="D338" s="118" t="e">
        <f t="shared" ca="1" si="56"/>
        <v>#REF!</v>
      </c>
      <c r="E338" s="118" t="e">
        <f t="shared" ca="1" si="57"/>
        <v>#REF!</v>
      </c>
      <c r="F338" s="118" t="e">
        <f t="shared" ca="1" si="58"/>
        <v>#REF!</v>
      </c>
      <c r="G338" s="118" t="e">
        <f t="shared" ca="1" si="59"/>
        <v>#REF!</v>
      </c>
      <c r="H338" s="118" t="e">
        <f t="shared" ca="1" si="60"/>
        <v>#REF!</v>
      </c>
      <c r="I338" s="118" t="e">
        <f t="shared" ca="1" si="61"/>
        <v>#REF!</v>
      </c>
      <c r="J338" s="118" t="e">
        <f t="shared" ca="1" si="62"/>
        <v>#REF!</v>
      </c>
      <c r="K338" s="118" t="e">
        <f t="shared" ca="1" si="63"/>
        <v>#REF!</v>
      </c>
      <c r="L338" s="118" t="e">
        <f t="shared" ca="1" si="64"/>
        <v>#REF!</v>
      </c>
      <c r="M338" s="118" t="e">
        <f t="shared" ca="1" si="65"/>
        <v>#REF!</v>
      </c>
    </row>
    <row r="339" spans="1:13" x14ac:dyDescent="0.25">
      <c r="A339" s="119">
        <v>44792</v>
      </c>
      <c r="B339" s="119">
        <v>44792</v>
      </c>
      <c r="C339" s="118" t="e">
        <f t="shared" ca="1" si="55"/>
        <v>#REF!</v>
      </c>
      <c r="D339" s="118" t="e">
        <f t="shared" ca="1" si="56"/>
        <v>#REF!</v>
      </c>
      <c r="E339" s="118" t="e">
        <f t="shared" ca="1" si="57"/>
        <v>#REF!</v>
      </c>
      <c r="F339" s="118" t="e">
        <f t="shared" ca="1" si="58"/>
        <v>#REF!</v>
      </c>
      <c r="G339" s="118" t="e">
        <f t="shared" ca="1" si="59"/>
        <v>#REF!</v>
      </c>
      <c r="H339" s="118" t="e">
        <f t="shared" ca="1" si="60"/>
        <v>#REF!</v>
      </c>
      <c r="I339" s="118" t="e">
        <f t="shared" ca="1" si="61"/>
        <v>#REF!</v>
      </c>
      <c r="J339" s="118" t="e">
        <f t="shared" ca="1" si="62"/>
        <v>#REF!</v>
      </c>
      <c r="K339" s="118" t="e">
        <f t="shared" ca="1" si="63"/>
        <v>#REF!</v>
      </c>
      <c r="L339" s="118" t="e">
        <f t="shared" ca="1" si="64"/>
        <v>#REF!</v>
      </c>
      <c r="M339" s="118" t="e">
        <f t="shared" ca="1" si="65"/>
        <v>#REF!</v>
      </c>
    </row>
    <row r="340" spans="1:13" x14ac:dyDescent="0.25">
      <c r="A340" s="119">
        <v>44793</v>
      </c>
      <c r="B340" s="119">
        <v>44793</v>
      </c>
      <c r="C340" s="118" t="e">
        <f t="shared" ca="1" si="55"/>
        <v>#REF!</v>
      </c>
      <c r="D340" s="118" t="e">
        <f t="shared" ca="1" si="56"/>
        <v>#REF!</v>
      </c>
      <c r="E340" s="118" t="e">
        <f t="shared" ca="1" si="57"/>
        <v>#REF!</v>
      </c>
      <c r="F340" s="118" t="e">
        <f t="shared" ca="1" si="58"/>
        <v>#REF!</v>
      </c>
      <c r="G340" s="118" t="e">
        <f t="shared" ca="1" si="59"/>
        <v>#REF!</v>
      </c>
      <c r="H340" s="118" t="e">
        <f t="shared" ca="1" si="60"/>
        <v>#REF!</v>
      </c>
      <c r="I340" s="118" t="e">
        <f t="shared" ca="1" si="61"/>
        <v>#REF!</v>
      </c>
      <c r="J340" s="118" t="e">
        <f t="shared" ca="1" si="62"/>
        <v>#REF!</v>
      </c>
      <c r="K340" s="118" t="e">
        <f t="shared" ca="1" si="63"/>
        <v>#REF!</v>
      </c>
      <c r="L340" s="118" t="e">
        <f t="shared" ca="1" si="64"/>
        <v>#REF!</v>
      </c>
      <c r="M340" s="118" t="e">
        <f t="shared" ca="1" si="65"/>
        <v>#REF!</v>
      </c>
    </row>
    <row r="341" spans="1:13" x14ac:dyDescent="0.25">
      <c r="A341" s="119">
        <v>44794</v>
      </c>
      <c r="B341" s="119">
        <v>44794</v>
      </c>
      <c r="C341" s="118" t="e">
        <f t="shared" ca="1" si="55"/>
        <v>#REF!</v>
      </c>
      <c r="D341" s="118" t="e">
        <f t="shared" ca="1" si="56"/>
        <v>#REF!</v>
      </c>
      <c r="E341" s="118" t="e">
        <f t="shared" ca="1" si="57"/>
        <v>#REF!</v>
      </c>
      <c r="F341" s="118" t="e">
        <f t="shared" ca="1" si="58"/>
        <v>#REF!</v>
      </c>
      <c r="G341" s="118" t="e">
        <f t="shared" ca="1" si="59"/>
        <v>#REF!</v>
      </c>
      <c r="H341" s="118" t="e">
        <f t="shared" ca="1" si="60"/>
        <v>#REF!</v>
      </c>
      <c r="I341" s="118" t="e">
        <f t="shared" ca="1" si="61"/>
        <v>#REF!</v>
      </c>
      <c r="J341" s="118" t="e">
        <f t="shared" ca="1" si="62"/>
        <v>#REF!</v>
      </c>
      <c r="K341" s="118" t="e">
        <f t="shared" ca="1" si="63"/>
        <v>#REF!</v>
      </c>
      <c r="L341" s="118" t="e">
        <f t="shared" ca="1" si="64"/>
        <v>#REF!</v>
      </c>
      <c r="M341" s="118" t="e">
        <f t="shared" ca="1" si="65"/>
        <v>#REF!</v>
      </c>
    </row>
    <row r="342" spans="1:13" x14ac:dyDescent="0.25">
      <c r="A342" s="119">
        <v>44795</v>
      </c>
      <c r="B342" s="119">
        <v>44795</v>
      </c>
      <c r="C342" s="118" t="e">
        <f t="shared" ca="1" si="55"/>
        <v>#REF!</v>
      </c>
      <c r="D342" s="118" t="e">
        <f t="shared" ca="1" si="56"/>
        <v>#REF!</v>
      </c>
      <c r="E342" s="118" t="e">
        <f t="shared" ca="1" si="57"/>
        <v>#REF!</v>
      </c>
      <c r="F342" s="118" t="e">
        <f t="shared" ca="1" si="58"/>
        <v>#REF!</v>
      </c>
      <c r="G342" s="118" t="e">
        <f t="shared" ca="1" si="59"/>
        <v>#REF!</v>
      </c>
      <c r="H342" s="118" t="e">
        <f t="shared" ca="1" si="60"/>
        <v>#REF!</v>
      </c>
      <c r="I342" s="118" t="e">
        <f t="shared" ca="1" si="61"/>
        <v>#REF!</v>
      </c>
      <c r="J342" s="118" t="e">
        <f t="shared" ca="1" si="62"/>
        <v>#REF!</v>
      </c>
      <c r="K342" s="118" t="e">
        <f t="shared" ca="1" si="63"/>
        <v>#REF!</v>
      </c>
      <c r="L342" s="118" t="e">
        <f t="shared" ca="1" si="64"/>
        <v>#REF!</v>
      </c>
      <c r="M342" s="118" t="e">
        <f t="shared" ca="1" si="65"/>
        <v>#REF!</v>
      </c>
    </row>
    <row r="343" spans="1:13" x14ac:dyDescent="0.25">
      <c r="A343" s="119">
        <v>44796</v>
      </c>
      <c r="B343" s="119">
        <v>44796</v>
      </c>
      <c r="C343" s="118" t="e">
        <f t="shared" ca="1" si="55"/>
        <v>#REF!</v>
      </c>
      <c r="D343" s="118" t="e">
        <f t="shared" ca="1" si="56"/>
        <v>#REF!</v>
      </c>
      <c r="E343" s="118" t="e">
        <f t="shared" ca="1" si="57"/>
        <v>#REF!</v>
      </c>
      <c r="F343" s="118" t="e">
        <f t="shared" ca="1" si="58"/>
        <v>#REF!</v>
      </c>
      <c r="G343" s="118" t="e">
        <f t="shared" ca="1" si="59"/>
        <v>#REF!</v>
      </c>
      <c r="H343" s="118" t="e">
        <f t="shared" ca="1" si="60"/>
        <v>#REF!</v>
      </c>
      <c r="I343" s="118" t="e">
        <f t="shared" ca="1" si="61"/>
        <v>#REF!</v>
      </c>
      <c r="J343" s="118" t="e">
        <f t="shared" ca="1" si="62"/>
        <v>#REF!</v>
      </c>
      <c r="K343" s="118" t="e">
        <f t="shared" ca="1" si="63"/>
        <v>#REF!</v>
      </c>
      <c r="L343" s="118" t="e">
        <f t="shared" ca="1" si="64"/>
        <v>#REF!</v>
      </c>
      <c r="M343" s="118" t="e">
        <f t="shared" ca="1" si="65"/>
        <v>#REF!</v>
      </c>
    </row>
    <row r="344" spans="1:13" x14ac:dyDescent="0.25">
      <c r="A344" s="119">
        <v>44797</v>
      </c>
      <c r="B344" s="119">
        <v>44797</v>
      </c>
      <c r="C344" s="118" t="e">
        <f t="shared" ca="1" si="55"/>
        <v>#REF!</v>
      </c>
      <c r="D344" s="118" t="e">
        <f t="shared" ca="1" si="56"/>
        <v>#REF!</v>
      </c>
      <c r="E344" s="118" t="e">
        <f t="shared" ca="1" si="57"/>
        <v>#REF!</v>
      </c>
      <c r="F344" s="118" t="e">
        <f t="shared" ca="1" si="58"/>
        <v>#REF!</v>
      </c>
      <c r="G344" s="118" t="e">
        <f t="shared" ca="1" si="59"/>
        <v>#REF!</v>
      </c>
      <c r="H344" s="118" t="e">
        <f t="shared" ca="1" si="60"/>
        <v>#REF!</v>
      </c>
      <c r="I344" s="118" t="e">
        <f t="shared" ca="1" si="61"/>
        <v>#REF!</v>
      </c>
      <c r="J344" s="118" t="e">
        <f t="shared" ca="1" si="62"/>
        <v>#REF!</v>
      </c>
      <c r="K344" s="118" t="e">
        <f t="shared" ca="1" si="63"/>
        <v>#REF!</v>
      </c>
      <c r="L344" s="118" t="e">
        <f t="shared" ca="1" si="64"/>
        <v>#REF!</v>
      </c>
      <c r="M344" s="118" t="e">
        <f t="shared" ca="1" si="65"/>
        <v>#REF!</v>
      </c>
    </row>
    <row r="345" spans="1:13" x14ac:dyDescent="0.25">
      <c r="A345" s="119">
        <v>44798</v>
      </c>
      <c r="B345" s="119">
        <v>44798</v>
      </c>
      <c r="C345" s="118" t="e">
        <f t="shared" ca="1" si="55"/>
        <v>#REF!</v>
      </c>
      <c r="D345" s="118" t="e">
        <f t="shared" ca="1" si="56"/>
        <v>#REF!</v>
      </c>
      <c r="E345" s="118" t="e">
        <f t="shared" ca="1" si="57"/>
        <v>#REF!</v>
      </c>
      <c r="F345" s="118" t="e">
        <f t="shared" ca="1" si="58"/>
        <v>#REF!</v>
      </c>
      <c r="G345" s="118" t="e">
        <f t="shared" ca="1" si="59"/>
        <v>#REF!</v>
      </c>
      <c r="H345" s="118" t="e">
        <f t="shared" ca="1" si="60"/>
        <v>#REF!</v>
      </c>
      <c r="I345" s="118" t="e">
        <f t="shared" ca="1" si="61"/>
        <v>#REF!</v>
      </c>
      <c r="J345" s="118" t="e">
        <f t="shared" ca="1" si="62"/>
        <v>#REF!</v>
      </c>
      <c r="K345" s="118" t="e">
        <f t="shared" ca="1" si="63"/>
        <v>#REF!</v>
      </c>
      <c r="L345" s="118" t="e">
        <f t="shared" ca="1" si="64"/>
        <v>#REF!</v>
      </c>
      <c r="M345" s="118" t="e">
        <f t="shared" ca="1" si="65"/>
        <v>#REF!</v>
      </c>
    </row>
    <row r="346" spans="1:13" x14ac:dyDescent="0.25">
      <c r="A346" s="119" t="s">
        <v>199</v>
      </c>
      <c r="B346" s="119">
        <v>44799</v>
      </c>
      <c r="C346" s="118" t="e">
        <f t="shared" ca="1" si="55"/>
        <v>#REF!</v>
      </c>
      <c r="D346" s="118" t="e">
        <f t="shared" ca="1" si="56"/>
        <v>#REF!</v>
      </c>
      <c r="E346" s="118" t="e">
        <f t="shared" ca="1" si="57"/>
        <v>#REF!</v>
      </c>
      <c r="F346" s="118" t="e">
        <f t="shared" ca="1" si="58"/>
        <v>#REF!</v>
      </c>
      <c r="G346" s="118" t="e">
        <f t="shared" ca="1" si="59"/>
        <v>#REF!</v>
      </c>
      <c r="H346" s="118" t="e">
        <f t="shared" ca="1" si="60"/>
        <v>#REF!</v>
      </c>
      <c r="I346" s="118" t="e">
        <f t="shared" ca="1" si="61"/>
        <v>#REF!</v>
      </c>
      <c r="J346" s="118" t="e">
        <f t="shared" ca="1" si="62"/>
        <v>#REF!</v>
      </c>
      <c r="K346" s="118" t="e">
        <f t="shared" ca="1" si="63"/>
        <v>#REF!</v>
      </c>
      <c r="L346" s="118" t="e">
        <f t="shared" ca="1" si="64"/>
        <v>#REF!</v>
      </c>
      <c r="M346" s="118" t="e">
        <f t="shared" ca="1" si="65"/>
        <v>#REF!</v>
      </c>
    </row>
    <row r="347" spans="1:13" x14ac:dyDescent="0.25">
      <c r="A347" s="119">
        <v>44800</v>
      </c>
      <c r="B347" s="119">
        <v>44800</v>
      </c>
      <c r="C347" s="118" t="e">
        <f t="shared" ca="1" si="55"/>
        <v>#REF!</v>
      </c>
      <c r="D347" s="118" t="e">
        <f t="shared" ca="1" si="56"/>
        <v>#REF!</v>
      </c>
      <c r="E347" s="118" t="e">
        <f t="shared" ca="1" si="57"/>
        <v>#REF!</v>
      </c>
      <c r="F347" s="118" t="e">
        <f t="shared" ca="1" si="58"/>
        <v>#REF!</v>
      </c>
      <c r="G347" s="118" t="e">
        <f t="shared" ca="1" si="59"/>
        <v>#REF!</v>
      </c>
      <c r="H347" s="118" t="e">
        <f t="shared" ca="1" si="60"/>
        <v>#REF!</v>
      </c>
      <c r="I347" s="118" t="e">
        <f t="shared" ca="1" si="61"/>
        <v>#REF!</v>
      </c>
      <c r="J347" s="118" t="e">
        <f t="shared" ca="1" si="62"/>
        <v>#REF!</v>
      </c>
      <c r="K347" s="118" t="e">
        <f t="shared" ca="1" si="63"/>
        <v>#REF!</v>
      </c>
      <c r="L347" s="118" t="e">
        <f t="shared" ca="1" si="64"/>
        <v>#REF!</v>
      </c>
      <c r="M347" s="118" t="e">
        <f t="shared" ca="1" si="65"/>
        <v>#REF!</v>
      </c>
    </row>
    <row r="348" spans="1:13" x14ac:dyDescent="0.25">
      <c r="A348" s="119">
        <v>44801</v>
      </c>
      <c r="B348" s="119">
        <v>44801</v>
      </c>
      <c r="C348" s="118" t="e">
        <f t="shared" ca="1" si="55"/>
        <v>#REF!</v>
      </c>
      <c r="D348" s="118" t="e">
        <f t="shared" ca="1" si="56"/>
        <v>#REF!</v>
      </c>
      <c r="E348" s="118" t="e">
        <f t="shared" ca="1" si="57"/>
        <v>#REF!</v>
      </c>
      <c r="F348" s="118" t="e">
        <f t="shared" ca="1" si="58"/>
        <v>#REF!</v>
      </c>
      <c r="G348" s="118" t="e">
        <f t="shared" ca="1" si="59"/>
        <v>#REF!</v>
      </c>
      <c r="H348" s="118" t="e">
        <f t="shared" ca="1" si="60"/>
        <v>#REF!</v>
      </c>
      <c r="I348" s="118" t="e">
        <f t="shared" ca="1" si="61"/>
        <v>#REF!</v>
      </c>
      <c r="J348" s="118" t="e">
        <f t="shared" ca="1" si="62"/>
        <v>#REF!</v>
      </c>
      <c r="K348" s="118" t="e">
        <f t="shared" ca="1" si="63"/>
        <v>#REF!</v>
      </c>
      <c r="L348" s="118" t="e">
        <f t="shared" ca="1" si="64"/>
        <v>#REF!</v>
      </c>
      <c r="M348" s="118" t="e">
        <f t="shared" ca="1" si="65"/>
        <v>#REF!</v>
      </c>
    </row>
    <row r="349" spans="1:13" x14ac:dyDescent="0.25">
      <c r="A349" s="119">
        <v>44802</v>
      </c>
      <c r="B349" s="119">
        <v>44802</v>
      </c>
      <c r="C349" s="118" t="e">
        <f t="shared" ca="1" si="55"/>
        <v>#REF!</v>
      </c>
      <c r="D349" s="118" t="e">
        <f t="shared" ca="1" si="56"/>
        <v>#REF!</v>
      </c>
      <c r="E349" s="118" t="e">
        <f t="shared" ca="1" si="57"/>
        <v>#REF!</v>
      </c>
      <c r="F349" s="118" t="e">
        <f t="shared" ca="1" si="58"/>
        <v>#REF!</v>
      </c>
      <c r="G349" s="118" t="e">
        <f t="shared" ca="1" si="59"/>
        <v>#REF!</v>
      </c>
      <c r="H349" s="118" t="e">
        <f t="shared" ca="1" si="60"/>
        <v>#REF!</v>
      </c>
      <c r="I349" s="118" t="e">
        <f t="shared" ca="1" si="61"/>
        <v>#REF!</v>
      </c>
      <c r="J349" s="118" t="e">
        <f t="shared" ca="1" si="62"/>
        <v>#REF!</v>
      </c>
      <c r="K349" s="118" t="e">
        <f t="shared" ca="1" si="63"/>
        <v>#REF!</v>
      </c>
      <c r="L349" s="118" t="e">
        <f t="shared" ca="1" si="64"/>
        <v>#REF!</v>
      </c>
      <c r="M349" s="118" t="e">
        <f t="shared" ca="1" si="65"/>
        <v>#REF!</v>
      </c>
    </row>
    <row r="350" spans="1:13" x14ac:dyDescent="0.25">
      <c r="A350" s="119">
        <v>44803</v>
      </c>
      <c r="B350" s="119">
        <v>44803</v>
      </c>
      <c r="C350" s="118" t="e">
        <f t="shared" ca="1" si="55"/>
        <v>#REF!</v>
      </c>
      <c r="D350" s="118" t="e">
        <f t="shared" ca="1" si="56"/>
        <v>#REF!</v>
      </c>
      <c r="E350" s="118" t="e">
        <f t="shared" ca="1" si="57"/>
        <v>#REF!</v>
      </c>
      <c r="F350" s="118" t="e">
        <f t="shared" ca="1" si="58"/>
        <v>#REF!</v>
      </c>
      <c r="G350" s="118" t="e">
        <f t="shared" ca="1" si="59"/>
        <v>#REF!</v>
      </c>
      <c r="H350" s="118" t="e">
        <f t="shared" ca="1" si="60"/>
        <v>#REF!</v>
      </c>
      <c r="I350" s="118" t="e">
        <f t="shared" ca="1" si="61"/>
        <v>#REF!</v>
      </c>
      <c r="J350" s="118" t="e">
        <f t="shared" ca="1" si="62"/>
        <v>#REF!</v>
      </c>
      <c r="K350" s="118" t="e">
        <f t="shared" ca="1" si="63"/>
        <v>#REF!</v>
      </c>
      <c r="L350" s="118" t="e">
        <f t="shared" ca="1" si="64"/>
        <v>#REF!</v>
      </c>
      <c r="M350" s="118" t="e">
        <f t="shared" ca="1" si="65"/>
        <v>#REF!</v>
      </c>
    </row>
    <row r="351" spans="1:13" x14ac:dyDescent="0.25">
      <c r="A351" s="119">
        <v>44804</v>
      </c>
      <c r="B351" s="119">
        <v>44804</v>
      </c>
      <c r="C351" s="118" t="e">
        <f t="shared" ca="1" si="55"/>
        <v>#REF!</v>
      </c>
      <c r="D351" s="118" t="e">
        <f t="shared" ca="1" si="56"/>
        <v>#REF!</v>
      </c>
      <c r="E351" s="118" t="e">
        <f t="shared" ca="1" si="57"/>
        <v>#REF!</v>
      </c>
      <c r="F351" s="118" t="e">
        <f t="shared" ca="1" si="58"/>
        <v>#REF!</v>
      </c>
      <c r="G351" s="118" t="e">
        <f t="shared" ca="1" si="59"/>
        <v>#REF!</v>
      </c>
      <c r="H351" s="118" t="e">
        <f t="shared" ca="1" si="60"/>
        <v>#REF!</v>
      </c>
      <c r="I351" s="118" t="e">
        <f t="shared" ca="1" si="61"/>
        <v>#REF!</v>
      </c>
      <c r="J351" s="118" t="e">
        <f t="shared" ca="1" si="62"/>
        <v>#REF!</v>
      </c>
      <c r="K351" s="118" t="e">
        <f t="shared" ca="1" si="63"/>
        <v>#REF!</v>
      </c>
      <c r="L351" s="118" t="e">
        <f t="shared" ca="1" si="64"/>
        <v>#REF!</v>
      </c>
      <c r="M351" s="118" t="e">
        <f t="shared" ca="1" si="65"/>
        <v>#REF!</v>
      </c>
    </row>
    <row r="352" spans="1:13" x14ac:dyDescent="0.25">
      <c r="A352" s="119">
        <v>44805</v>
      </c>
      <c r="B352" s="119">
        <v>44805</v>
      </c>
      <c r="C352" s="118" t="e">
        <f t="shared" ca="1" si="55"/>
        <v>#REF!</v>
      </c>
      <c r="D352" s="118" t="e">
        <f t="shared" ca="1" si="56"/>
        <v>#REF!</v>
      </c>
      <c r="E352" s="118" t="e">
        <f t="shared" ca="1" si="57"/>
        <v>#REF!</v>
      </c>
      <c r="F352" s="118" t="e">
        <f t="shared" ca="1" si="58"/>
        <v>#REF!</v>
      </c>
      <c r="G352" s="118" t="e">
        <f t="shared" ca="1" si="59"/>
        <v>#REF!</v>
      </c>
      <c r="H352" s="118" t="e">
        <f t="shared" ca="1" si="60"/>
        <v>#REF!</v>
      </c>
      <c r="I352" s="118" t="e">
        <f t="shared" ca="1" si="61"/>
        <v>#REF!</v>
      </c>
      <c r="J352" s="118" t="e">
        <f t="shared" ca="1" si="62"/>
        <v>#REF!</v>
      </c>
      <c r="K352" s="118" t="e">
        <f t="shared" ca="1" si="63"/>
        <v>#REF!</v>
      </c>
      <c r="L352" s="118" t="e">
        <f t="shared" ca="1" si="64"/>
        <v>#REF!</v>
      </c>
      <c r="M352" s="118" t="e">
        <f t="shared" ca="1" si="65"/>
        <v>#REF!</v>
      </c>
    </row>
    <row r="353" spans="1:13" x14ac:dyDescent="0.25">
      <c r="A353" s="119" t="s">
        <v>200</v>
      </c>
      <c r="B353" s="119">
        <v>44806</v>
      </c>
      <c r="C353" s="118" t="e">
        <f t="shared" ca="1" si="55"/>
        <v>#REF!</v>
      </c>
      <c r="D353" s="118" t="e">
        <f t="shared" ca="1" si="56"/>
        <v>#REF!</v>
      </c>
      <c r="E353" s="118" t="e">
        <f t="shared" ca="1" si="57"/>
        <v>#REF!</v>
      </c>
      <c r="F353" s="118" t="e">
        <f t="shared" ca="1" si="58"/>
        <v>#REF!</v>
      </c>
      <c r="G353" s="118" t="e">
        <f t="shared" ca="1" si="59"/>
        <v>#REF!</v>
      </c>
      <c r="H353" s="118" t="e">
        <f t="shared" ca="1" si="60"/>
        <v>#REF!</v>
      </c>
      <c r="I353" s="118" t="e">
        <f t="shared" ca="1" si="61"/>
        <v>#REF!</v>
      </c>
      <c r="J353" s="118" t="e">
        <f t="shared" ca="1" si="62"/>
        <v>#REF!</v>
      </c>
      <c r="K353" s="118" t="e">
        <f t="shared" ca="1" si="63"/>
        <v>#REF!</v>
      </c>
      <c r="L353" s="118" t="e">
        <f t="shared" ca="1" si="64"/>
        <v>#REF!</v>
      </c>
      <c r="M353" s="118" t="e">
        <f t="shared" ca="1" si="65"/>
        <v>#REF!</v>
      </c>
    </row>
    <row r="354" spans="1:13" x14ac:dyDescent="0.25">
      <c r="A354" s="119">
        <v>44807</v>
      </c>
      <c r="B354" s="119">
        <v>44807</v>
      </c>
      <c r="C354" s="118" t="e">
        <f t="shared" ca="1" si="55"/>
        <v>#REF!</v>
      </c>
      <c r="D354" s="118" t="e">
        <f t="shared" ca="1" si="56"/>
        <v>#REF!</v>
      </c>
      <c r="E354" s="118" t="e">
        <f t="shared" ca="1" si="57"/>
        <v>#REF!</v>
      </c>
      <c r="F354" s="118" t="e">
        <f t="shared" ca="1" si="58"/>
        <v>#REF!</v>
      </c>
      <c r="G354" s="118" t="e">
        <f t="shared" ca="1" si="59"/>
        <v>#REF!</v>
      </c>
      <c r="H354" s="118" t="e">
        <f t="shared" ca="1" si="60"/>
        <v>#REF!</v>
      </c>
      <c r="I354" s="118" t="e">
        <f t="shared" ca="1" si="61"/>
        <v>#REF!</v>
      </c>
      <c r="J354" s="118" t="e">
        <f t="shared" ca="1" si="62"/>
        <v>#REF!</v>
      </c>
      <c r="K354" s="118" t="e">
        <f t="shared" ca="1" si="63"/>
        <v>#REF!</v>
      </c>
      <c r="L354" s="118" t="e">
        <f t="shared" ca="1" si="64"/>
        <v>#REF!</v>
      </c>
      <c r="M354" s="118" t="e">
        <f t="shared" ca="1" si="65"/>
        <v>#REF!</v>
      </c>
    </row>
    <row r="355" spans="1:13" x14ac:dyDescent="0.25">
      <c r="A355" s="119">
        <v>44808</v>
      </c>
      <c r="B355" s="119">
        <v>44808</v>
      </c>
      <c r="C355" s="118" t="e">
        <f t="shared" ca="1" si="55"/>
        <v>#REF!</v>
      </c>
      <c r="D355" s="118" t="e">
        <f t="shared" ca="1" si="56"/>
        <v>#REF!</v>
      </c>
      <c r="E355" s="118" t="e">
        <f t="shared" ca="1" si="57"/>
        <v>#REF!</v>
      </c>
      <c r="F355" s="118" t="e">
        <f t="shared" ca="1" si="58"/>
        <v>#REF!</v>
      </c>
      <c r="G355" s="118" t="e">
        <f t="shared" ca="1" si="59"/>
        <v>#REF!</v>
      </c>
      <c r="H355" s="118" t="e">
        <f t="shared" ca="1" si="60"/>
        <v>#REF!</v>
      </c>
      <c r="I355" s="118" t="e">
        <f t="shared" ca="1" si="61"/>
        <v>#REF!</v>
      </c>
      <c r="J355" s="118" t="e">
        <f t="shared" ca="1" si="62"/>
        <v>#REF!</v>
      </c>
      <c r="K355" s="118" t="e">
        <f t="shared" ca="1" si="63"/>
        <v>#REF!</v>
      </c>
      <c r="L355" s="118" t="e">
        <f t="shared" ca="1" si="64"/>
        <v>#REF!</v>
      </c>
      <c r="M355" s="118" t="e">
        <f t="shared" ca="1" si="65"/>
        <v>#REF!</v>
      </c>
    </row>
    <row r="356" spans="1:13" x14ac:dyDescent="0.25">
      <c r="A356" s="119">
        <v>44809</v>
      </c>
      <c r="B356" s="119">
        <v>44809</v>
      </c>
      <c r="C356" s="118" t="e">
        <f t="shared" ca="1" si="55"/>
        <v>#REF!</v>
      </c>
      <c r="D356" s="118" t="e">
        <f t="shared" ca="1" si="56"/>
        <v>#REF!</v>
      </c>
      <c r="E356" s="118" t="e">
        <f t="shared" ca="1" si="57"/>
        <v>#REF!</v>
      </c>
      <c r="F356" s="118" t="e">
        <f t="shared" ca="1" si="58"/>
        <v>#REF!</v>
      </c>
      <c r="G356" s="118" t="e">
        <f t="shared" ca="1" si="59"/>
        <v>#REF!</v>
      </c>
      <c r="H356" s="118" t="e">
        <f t="shared" ca="1" si="60"/>
        <v>#REF!</v>
      </c>
      <c r="I356" s="118" t="e">
        <f t="shared" ca="1" si="61"/>
        <v>#REF!</v>
      </c>
      <c r="J356" s="118" t="e">
        <f t="shared" ca="1" si="62"/>
        <v>#REF!</v>
      </c>
      <c r="K356" s="118" t="e">
        <f t="shared" ca="1" si="63"/>
        <v>#REF!</v>
      </c>
      <c r="L356" s="118" t="e">
        <f t="shared" ca="1" si="64"/>
        <v>#REF!</v>
      </c>
      <c r="M356" s="118" t="e">
        <f t="shared" ca="1" si="65"/>
        <v>#REF!</v>
      </c>
    </row>
    <row r="357" spans="1:13" x14ac:dyDescent="0.25">
      <c r="A357" s="119">
        <v>44810</v>
      </c>
      <c r="B357" s="119">
        <v>44810</v>
      </c>
      <c r="C357" s="118" t="e">
        <f t="shared" ca="1" si="55"/>
        <v>#REF!</v>
      </c>
      <c r="D357" s="118" t="e">
        <f t="shared" ca="1" si="56"/>
        <v>#REF!</v>
      </c>
      <c r="E357" s="118" t="e">
        <f t="shared" ca="1" si="57"/>
        <v>#REF!</v>
      </c>
      <c r="F357" s="118" t="e">
        <f t="shared" ca="1" si="58"/>
        <v>#REF!</v>
      </c>
      <c r="G357" s="118" t="e">
        <f t="shared" ca="1" si="59"/>
        <v>#REF!</v>
      </c>
      <c r="H357" s="118" t="e">
        <f t="shared" ca="1" si="60"/>
        <v>#REF!</v>
      </c>
      <c r="I357" s="118" t="e">
        <f t="shared" ca="1" si="61"/>
        <v>#REF!</v>
      </c>
      <c r="J357" s="118" t="e">
        <f t="shared" ca="1" si="62"/>
        <v>#REF!</v>
      </c>
      <c r="K357" s="118" t="e">
        <f t="shared" ca="1" si="63"/>
        <v>#REF!</v>
      </c>
      <c r="L357" s="118" t="e">
        <f t="shared" ca="1" si="64"/>
        <v>#REF!</v>
      </c>
      <c r="M357" s="118" t="e">
        <f t="shared" ca="1" si="65"/>
        <v>#REF!</v>
      </c>
    </row>
    <row r="358" spans="1:13" x14ac:dyDescent="0.25">
      <c r="A358" s="119">
        <v>44811</v>
      </c>
      <c r="B358" s="119">
        <v>44811</v>
      </c>
      <c r="C358" s="118" t="e">
        <f t="shared" ca="1" si="55"/>
        <v>#REF!</v>
      </c>
      <c r="D358" s="118" t="e">
        <f t="shared" ca="1" si="56"/>
        <v>#REF!</v>
      </c>
      <c r="E358" s="118" t="e">
        <f t="shared" ca="1" si="57"/>
        <v>#REF!</v>
      </c>
      <c r="F358" s="118" t="e">
        <f t="shared" ca="1" si="58"/>
        <v>#REF!</v>
      </c>
      <c r="G358" s="118" t="e">
        <f t="shared" ca="1" si="59"/>
        <v>#REF!</v>
      </c>
      <c r="H358" s="118" t="e">
        <f t="shared" ca="1" si="60"/>
        <v>#REF!</v>
      </c>
      <c r="I358" s="118" t="e">
        <f t="shared" ca="1" si="61"/>
        <v>#REF!</v>
      </c>
      <c r="J358" s="118" t="e">
        <f t="shared" ca="1" si="62"/>
        <v>#REF!</v>
      </c>
      <c r="K358" s="118" t="e">
        <f t="shared" ca="1" si="63"/>
        <v>#REF!</v>
      </c>
      <c r="L358" s="118" t="e">
        <f t="shared" ca="1" si="64"/>
        <v>#REF!</v>
      </c>
      <c r="M358" s="118" t="e">
        <f t="shared" ca="1" si="65"/>
        <v>#REF!</v>
      </c>
    </row>
    <row r="359" spans="1:13" x14ac:dyDescent="0.25">
      <c r="A359" s="119">
        <v>44812</v>
      </c>
      <c r="B359" s="119">
        <v>44812</v>
      </c>
      <c r="C359" s="118" t="e">
        <f t="shared" ca="1" si="55"/>
        <v>#REF!</v>
      </c>
      <c r="D359" s="118" t="e">
        <f t="shared" ca="1" si="56"/>
        <v>#REF!</v>
      </c>
      <c r="E359" s="118" t="e">
        <f t="shared" ca="1" si="57"/>
        <v>#REF!</v>
      </c>
      <c r="F359" s="118" t="e">
        <f t="shared" ca="1" si="58"/>
        <v>#REF!</v>
      </c>
      <c r="G359" s="118" t="e">
        <f t="shared" ca="1" si="59"/>
        <v>#REF!</v>
      </c>
      <c r="H359" s="118" t="e">
        <f t="shared" ca="1" si="60"/>
        <v>#REF!</v>
      </c>
      <c r="I359" s="118" t="e">
        <f t="shared" ca="1" si="61"/>
        <v>#REF!</v>
      </c>
      <c r="J359" s="118" t="e">
        <f t="shared" ca="1" si="62"/>
        <v>#REF!</v>
      </c>
      <c r="K359" s="118" t="e">
        <f t="shared" ca="1" si="63"/>
        <v>#REF!</v>
      </c>
      <c r="L359" s="118" t="e">
        <f t="shared" ca="1" si="64"/>
        <v>#REF!</v>
      </c>
      <c r="M359" s="118" t="e">
        <f t="shared" ca="1" si="65"/>
        <v>#REF!</v>
      </c>
    </row>
    <row r="360" spans="1:13" x14ac:dyDescent="0.25">
      <c r="A360" s="119" t="s">
        <v>201</v>
      </c>
      <c r="B360" s="119">
        <v>44813</v>
      </c>
      <c r="C360" s="118" t="e">
        <f t="shared" ca="1" si="55"/>
        <v>#REF!</v>
      </c>
      <c r="D360" s="118" t="e">
        <f t="shared" ca="1" si="56"/>
        <v>#REF!</v>
      </c>
      <c r="E360" s="118" t="e">
        <f t="shared" ca="1" si="57"/>
        <v>#REF!</v>
      </c>
      <c r="F360" s="118" t="e">
        <f t="shared" ca="1" si="58"/>
        <v>#REF!</v>
      </c>
      <c r="G360" s="118" t="e">
        <f t="shared" ca="1" si="59"/>
        <v>#REF!</v>
      </c>
      <c r="H360" s="118" t="e">
        <f t="shared" ca="1" si="60"/>
        <v>#REF!</v>
      </c>
      <c r="I360" s="118" t="e">
        <f t="shared" ca="1" si="61"/>
        <v>#REF!</v>
      </c>
      <c r="J360" s="118" t="e">
        <f t="shared" ca="1" si="62"/>
        <v>#REF!</v>
      </c>
      <c r="K360" s="118" t="e">
        <f t="shared" ca="1" si="63"/>
        <v>#REF!</v>
      </c>
      <c r="L360" s="118" t="e">
        <f t="shared" ca="1" si="64"/>
        <v>#REF!</v>
      </c>
      <c r="M360" s="118" t="e">
        <f t="shared" ca="1" si="65"/>
        <v>#REF!</v>
      </c>
    </row>
    <row r="361" spans="1:13" x14ac:dyDescent="0.25">
      <c r="A361" s="119">
        <v>44814</v>
      </c>
      <c r="B361" s="119">
        <v>44814</v>
      </c>
      <c r="C361" s="118" t="e">
        <f t="shared" ca="1" si="55"/>
        <v>#REF!</v>
      </c>
      <c r="D361" s="118" t="e">
        <f t="shared" ca="1" si="56"/>
        <v>#REF!</v>
      </c>
      <c r="E361" s="118" t="e">
        <f t="shared" ca="1" si="57"/>
        <v>#REF!</v>
      </c>
      <c r="F361" s="118" t="e">
        <f t="shared" ca="1" si="58"/>
        <v>#REF!</v>
      </c>
      <c r="G361" s="118" t="e">
        <f t="shared" ca="1" si="59"/>
        <v>#REF!</v>
      </c>
      <c r="H361" s="118" t="e">
        <f t="shared" ca="1" si="60"/>
        <v>#REF!</v>
      </c>
      <c r="I361" s="118" t="e">
        <f t="shared" ca="1" si="61"/>
        <v>#REF!</v>
      </c>
      <c r="J361" s="118" t="e">
        <f t="shared" ca="1" si="62"/>
        <v>#REF!</v>
      </c>
      <c r="K361" s="118" t="e">
        <f t="shared" ca="1" si="63"/>
        <v>#REF!</v>
      </c>
      <c r="L361" s="118" t="e">
        <f t="shared" ca="1" si="64"/>
        <v>#REF!</v>
      </c>
      <c r="M361" s="118" t="e">
        <f t="shared" ca="1" si="65"/>
        <v>#REF!</v>
      </c>
    </row>
    <row r="362" spans="1:13" x14ac:dyDescent="0.25">
      <c r="A362" s="119">
        <v>44815</v>
      </c>
      <c r="B362" s="119">
        <v>44815</v>
      </c>
      <c r="C362" s="118" t="e">
        <f t="shared" ca="1" si="55"/>
        <v>#REF!</v>
      </c>
      <c r="D362" s="118" t="e">
        <f t="shared" ca="1" si="56"/>
        <v>#REF!</v>
      </c>
      <c r="E362" s="118" t="e">
        <f t="shared" ca="1" si="57"/>
        <v>#REF!</v>
      </c>
      <c r="F362" s="118" t="e">
        <f t="shared" ca="1" si="58"/>
        <v>#REF!</v>
      </c>
      <c r="G362" s="118" t="e">
        <f t="shared" ca="1" si="59"/>
        <v>#REF!</v>
      </c>
      <c r="H362" s="118" t="e">
        <f t="shared" ca="1" si="60"/>
        <v>#REF!</v>
      </c>
      <c r="I362" s="118" t="e">
        <f t="shared" ca="1" si="61"/>
        <v>#REF!</v>
      </c>
      <c r="J362" s="118" t="e">
        <f t="shared" ca="1" si="62"/>
        <v>#REF!</v>
      </c>
      <c r="K362" s="118" t="e">
        <f t="shared" ca="1" si="63"/>
        <v>#REF!</v>
      </c>
      <c r="L362" s="118" t="e">
        <f t="shared" ca="1" si="64"/>
        <v>#REF!</v>
      </c>
      <c r="M362" s="118" t="e">
        <f t="shared" ca="1" si="65"/>
        <v>#REF!</v>
      </c>
    </row>
    <row r="363" spans="1:13" x14ac:dyDescent="0.25">
      <c r="A363" s="119">
        <v>44816</v>
      </c>
      <c r="B363" s="119">
        <v>44816</v>
      </c>
      <c r="C363" s="118" t="e">
        <f t="shared" ca="1" si="55"/>
        <v>#REF!</v>
      </c>
      <c r="D363" s="118" t="e">
        <f t="shared" ca="1" si="56"/>
        <v>#REF!</v>
      </c>
      <c r="E363" s="118" t="e">
        <f t="shared" ca="1" si="57"/>
        <v>#REF!</v>
      </c>
      <c r="F363" s="118" t="e">
        <f t="shared" ca="1" si="58"/>
        <v>#REF!</v>
      </c>
      <c r="G363" s="118" t="e">
        <f t="shared" ca="1" si="59"/>
        <v>#REF!</v>
      </c>
      <c r="H363" s="118" t="e">
        <f t="shared" ca="1" si="60"/>
        <v>#REF!</v>
      </c>
      <c r="I363" s="118" t="e">
        <f t="shared" ca="1" si="61"/>
        <v>#REF!</v>
      </c>
      <c r="J363" s="118" t="e">
        <f t="shared" ca="1" si="62"/>
        <v>#REF!</v>
      </c>
      <c r="K363" s="118" t="e">
        <f t="shared" ca="1" si="63"/>
        <v>#REF!</v>
      </c>
      <c r="L363" s="118" t="e">
        <f t="shared" ca="1" si="64"/>
        <v>#REF!</v>
      </c>
      <c r="M363" s="118" t="e">
        <f t="shared" ca="1" si="65"/>
        <v>#REF!</v>
      </c>
    </row>
    <row r="364" spans="1:13" x14ac:dyDescent="0.25">
      <c r="A364" s="119">
        <v>44817</v>
      </c>
      <c r="B364" s="119">
        <v>44817</v>
      </c>
      <c r="C364" s="118" t="e">
        <f t="shared" ca="1" si="55"/>
        <v>#REF!</v>
      </c>
      <c r="D364" s="118" t="e">
        <f t="shared" ca="1" si="56"/>
        <v>#REF!</v>
      </c>
      <c r="E364" s="118" t="e">
        <f t="shared" ca="1" si="57"/>
        <v>#REF!</v>
      </c>
      <c r="F364" s="118" t="e">
        <f t="shared" ca="1" si="58"/>
        <v>#REF!</v>
      </c>
      <c r="G364" s="118" t="e">
        <f t="shared" ca="1" si="59"/>
        <v>#REF!</v>
      </c>
      <c r="H364" s="118" t="e">
        <f t="shared" ca="1" si="60"/>
        <v>#REF!</v>
      </c>
      <c r="I364" s="118" t="e">
        <f t="shared" ca="1" si="61"/>
        <v>#REF!</v>
      </c>
      <c r="J364" s="118" t="e">
        <f t="shared" ca="1" si="62"/>
        <v>#REF!</v>
      </c>
      <c r="K364" s="118" t="e">
        <f t="shared" ca="1" si="63"/>
        <v>#REF!</v>
      </c>
      <c r="L364" s="118" t="e">
        <f t="shared" ca="1" si="64"/>
        <v>#REF!</v>
      </c>
      <c r="M364" s="118" t="e">
        <f t="shared" ca="1" si="65"/>
        <v>#REF!</v>
      </c>
    </row>
    <row r="365" spans="1:13" x14ac:dyDescent="0.25">
      <c r="A365" s="119">
        <v>44818</v>
      </c>
      <c r="B365" s="119">
        <v>44818</v>
      </c>
      <c r="C365" s="118" t="e">
        <f t="shared" ca="1" si="55"/>
        <v>#REF!</v>
      </c>
      <c r="D365" s="118" t="e">
        <f t="shared" ca="1" si="56"/>
        <v>#REF!</v>
      </c>
      <c r="E365" s="118" t="e">
        <f t="shared" ca="1" si="57"/>
        <v>#REF!</v>
      </c>
      <c r="F365" s="118" t="e">
        <f t="shared" ca="1" si="58"/>
        <v>#REF!</v>
      </c>
      <c r="G365" s="118" t="e">
        <f t="shared" ca="1" si="59"/>
        <v>#REF!</v>
      </c>
      <c r="H365" s="118" t="e">
        <f t="shared" ca="1" si="60"/>
        <v>#REF!</v>
      </c>
      <c r="I365" s="118" t="e">
        <f t="shared" ca="1" si="61"/>
        <v>#REF!</v>
      </c>
      <c r="J365" s="118" t="e">
        <f t="shared" ca="1" si="62"/>
        <v>#REF!</v>
      </c>
      <c r="K365" s="118" t="e">
        <f t="shared" ca="1" si="63"/>
        <v>#REF!</v>
      </c>
      <c r="L365" s="118" t="e">
        <f t="shared" ca="1" si="64"/>
        <v>#REF!</v>
      </c>
      <c r="M365" s="118" t="e">
        <f t="shared" ca="1" si="65"/>
        <v>#REF!</v>
      </c>
    </row>
    <row r="366" spans="1:13" x14ac:dyDescent="0.25">
      <c r="A366" s="119">
        <v>44819</v>
      </c>
      <c r="B366" s="119">
        <v>44819</v>
      </c>
      <c r="C366" s="118" t="e">
        <f t="shared" ca="1" si="55"/>
        <v>#REF!</v>
      </c>
      <c r="D366" s="118" t="e">
        <f t="shared" ca="1" si="56"/>
        <v>#REF!</v>
      </c>
      <c r="E366" s="118" t="e">
        <f t="shared" ca="1" si="57"/>
        <v>#REF!</v>
      </c>
      <c r="F366" s="118" t="e">
        <f t="shared" ca="1" si="58"/>
        <v>#REF!</v>
      </c>
      <c r="G366" s="118" t="e">
        <f t="shared" ca="1" si="59"/>
        <v>#REF!</v>
      </c>
      <c r="H366" s="118" t="e">
        <f t="shared" ca="1" si="60"/>
        <v>#REF!</v>
      </c>
      <c r="I366" s="118" t="e">
        <f t="shared" ca="1" si="61"/>
        <v>#REF!</v>
      </c>
      <c r="J366" s="118" t="e">
        <f t="shared" ca="1" si="62"/>
        <v>#REF!</v>
      </c>
      <c r="K366" s="118" t="e">
        <f t="shared" ca="1" si="63"/>
        <v>#REF!</v>
      </c>
      <c r="L366" s="118" t="e">
        <f t="shared" ca="1" si="64"/>
        <v>#REF!</v>
      </c>
      <c r="M366" s="118" t="e">
        <f t="shared" ca="1" si="65"/>
        <v>#REF!</v>
      </c>
    </row>
    <row r="367" spans="1:13" x14ac:dyDescent="0.25">
      <c r="A367" s="119" t="s">
        <v>202</v>
      </c>
      <c r="B367" s="119">
        <v>44820</v>
      </c>
      <c r="C367" s="118" t="e">
        <f t="shared" ca="1" si="55"/>
        <v>#REF!</v>
      </c>
      <c r="D367" s="118" t="e">
        <f t="shared" ca="1" si="56"/>
        <v>#REF!</v>
      </c>
      <c r="E367" s="118" t="e">
        <f t="shared" ca="1" si="57"/>
        <v>#REF!</v>
      </c>
      <c r="F367" s="118" t="e">
        <f t="shared" ca="1" si="58"/>
        <v>#REF!</v>
      </c>
      <c r="G367" s="118" t="e">
        <f t="shared" ca="1" si="59"/>
        <v>#REF!</v>
      </c>
      <c r="H367" s="118" t="e">
        <f t="shared" ca="1" si="60"/>
        <v>#REF!</v>
      </c>
      <c r="I367" s="118" t="e">
        <f t="shared" ca="1" si="61"/>
        <v>#REF!</v>
      </c>
      <c r="J367" s="118" t="e">
        <f t="shared" ca="1" si="62"/>
        <v>#REF!</v>
      </c>
      <c r="K367" s="118" t="e">
        <f t="shared" ca="1" si="63"/>
        <v>#REF!</v>
      </c>
      <c r="L367" s="118" t="e">
        <f t="shared" ca="1" si="64"/>
        <v>#REF!</v>
      </c>
      <c r="M367" s="118" t="e">
        <f t="shared" ca="1" si="65"/>
        <v>#REF!</v>
      </c>
    </row>
    <row r="368" spans="1:13" x14ac:dyDescent="0.25">
      <c r="A368" s="119">
        <v>44821</v>
      </c>
      <c r="B368" s="119">
        <v>44821</v>
      </c>
      <c r="C368" s="118" t="e">
        <f t="shared" ca="1" si="55"/>
        <v>#REF!</v>
      </c>
      <c r="D368" s="118" t="e">
        <f t="shared" ca="1" si="56"/>
        <v>#REF!</v>
      </c>
      <c r="E368" s="118" t="e">
        <f t="shared" ca="1" si="57"/>
        <v>#REF!</v>
      </c>
      <c r="F368" s="118" t="e">
        <f t="shared" ca="1" si="58"/>
        <v>#REF!</v>
      </c>
      <c r="G368" s="118" t="e">
        <f t="shared" ca="1" si="59"/>
        <v>#REF!</v>
      </c>
      <c r="H368" s="118" t="e">
        <f t="shared" ca="1" si="60"/>
        <v>#REF!</v>
      </c>
      <c r="I368" s="118" t="e">
        <f t="shared" ca="1" si="61"/>
        <v>#REF!</v>
      </c>
      <c r="J368" s="118" t="e">
        <f t="shared" ca="1" si="62"/>
        <v>#REF!</v>
      </c>
      <c r="K368" s="118" t="e">
        <f t="shared" ca="1" si="63"/>
        <v>#REF!</v>
      </c>
      <c r="L368" s="118" t="e">
        <f t="shared" ca="1" si="64"/>
        <v>#REF!</v>
      </c>
      <c r="M368" s="118" t="e">
        <f t="shared" ca="1" si="65"/>
        <v>#REF!</v>
      </c>
    </row>
    <row r="369" spans="1:13" x14ac:dyDescent="0.25">
      <c r="A369" s="119">
        <v>44822</v>
      </c>
      <c r="B369" s="119">
        <v>44822</v>
      </c>
      <c r="C369" s="118" t="e">
        <f t="shared" ca="1" si="55"/>
        <v>#REF!</v>
      </c>
      <c r="D369" s="118" t="e">
        <f t="shared" ca="1" si="56"/>
        <v>#REF!</v>
      </c>
      <c r="E369" s="118" t="e">
        <f t="shared" ca="1" si="57"/>
        <v>#REF!</v>
      </c>
      <c r="F369" s="118" t="e">
        <f t="shared" ca="1" si="58"/>
        <v>#REF!</v>
      </c>
      <c r="G369" s="118" t="e">
        <f t="shared" ca="1" si="59"/>
        <v>#REF!</v>
      </c>
      <c r="H369" s="118" t="e">
        <f t="shared" ca="1" si="60"/>
        <v>#REF!</v>
      </c>
      <c r="I369" s="118" t="e">
        <f t="shared" ca="1" si="61"/>
        <v>#REF!</v>
      </c>
      <c r="J369" s="118" t="e">
        <f t="shared" ca="1" si="62"/>
        <v>#REF!</v>
      </c>
      <c r="K369" s="118" t="e">
        <f t="shared" ca="1" si="63"/>
        <v>#REF!</v>
      </c>
      <c r="L369" s="118" t="e">
        <f t="shared" ca="1" si="64"/>
        <v>#REF!</v>
      </c>
      <c r="M369" s="118" t="e">
        <f t="shared" ca="1" si="65"/>
        <v>#REF!</v>
      </c>
    </row>
    <row r="370" spans="1:13" x14ac:dyDescent="0.25">
      <c r="A370" s="119">
        <v>44823</v>
      </c>
      <c r="B370" s="119">
        <v>44823</v>
      </c>
      <c r="C370" s="118" t="e">
        <f t="shared" ca="1" si="55"/>
        <v>#REF!</v>
      </c>
      <c r="D370" s="118" t="e">
        <f t="shared" ca="1" si="56"/>
        <v>#REF!</v>
      </c>
      <c r="E370" s="118" t="e">
        <f t="shared" ca="1" si="57"/>
        <v>#REF!</v>
      </c>
      <c r="F370" s="118" t="e">
        <f t="shared" ca="1" si="58"/>
        <v>#REF!</v>
      </c>
      <c r="G370" s="118" t="e">
        <f t="shared" ca="1" si="59"/>
        <v>#REF!</v>
      </c>
      <c r="H370" s="118" t="e">
        <f t="shared" ca="1" si="60"/>
        <v>#REF!</v>
      </c>
      <c r="I370" s="118" t="e">
        <f t="shared" ca="1" si="61"/>
        <v>#REF!</v>
      </c>
      <c r="J370" s="118" t="e">
        <f t="shared" ca="1" si="62"/>
        <v>#REF!</v>
      </c>
      <c r="K370" s="118" t="e">
        <f t="shared" ca="1" si="63"/>
        <v>#REF!</v>
      </c>
      <c r="L370" s="118" t="e">
        <f t="shared" ca="1" si="64"/>
        <v>#REF!</v>
      </c>
      <c r="M370" s="118" t="e">
        <f t="shared" ca="1" si="65"/>
        <v>#REF!</v>
      </c>
    </row>
    <row r="371" spans="1:13" x14ac:dyDescent="0.25">
      <c r="A371" s="119">
        <v>44824</v>
      </c>
      <c r="B371" s="119">
        <v>44824</v>
      </c>
      <c r="C371" s="118" t="e">
        <f t="shared" ca="1" si="55"/>
        <v>#REF!</v>
      </c>
      <c r="D371" s="118" t="e">
        <f t="shared" ca="1" si="56"/>
        <v>#REF!</v>
      </c>
      <c r="E371" s="118" t="e">
        <f t="shared" ca="1" si="57"/>
        <v>#REF!</v>
      </c>
      <c r="F371" s="118" t="e">
        <f t="shared" ca="1" si="58"/>
        <v>#REF!</v>
      </c>
      <c r="G371" s="118" t="e">
        <f t="shared" ca="1" si="59"/>
        <v>#REF!</v>
      </c>
      <c r="H371" s="118" t="e">
        <f t="shared" ca="1" si="60"/>
        <v>#REF!</v>
      </c>
      <c r="I371" s="118" t="e">
        <f t="shared" ca="1" si="61"/>
        <v>#REF!</v>
      </c>
      <c r="J371" s="118" t="e">
        <f t="shared" ca="1" si="62"/>
        <v>#REF!</v>
      </c>
      <c r="K371" s="118" t="e">
        <f t="shared" ca="1" si="63"/>
        <v>#REF!</v>
      </c>
      <c r="L371" s="118" t="e">
        <f t="shared" ca="1" si="64"/>
        <v>#REF!</v>
      </c>
      <c r="M371" s="118" t="e">
        <f t="shared" ca="1" si="65"/>
        <v>#REF!</v>
      </c>
    </row>
    <row r="372" spans="1:13" x14ac:dyDescent="0.25">
      <c r="A372" s="119">
        <v>44825</v>
      </c>
      <c r="B372" s="119">
        <v>44825</v>
      </c>
      <c r="C372" s="118" t="e">
        <f t="shared" ca="1" si="55"/>
        <v>#REF!</v>
      </c>
      <c r="D372" s="118" t="e">
        <f t="shared" ca="1" si="56"/>
        <v>#REF!</v>
      </c>
      <c r="E372" s="118" t="e">
        <f t="shared" ca="1" si="57"/>
        <v>#REF!</v>
      </c>
      <c r="F372" s="118" t="e">
        <f t="shared" ca="1" si="58"/>
        <v>#REF!</v>
      </c>
      <c r="G372" s="118" t="e">
        <f t="shared" ca="1" si="59"/>
        <v>#REF!</v>
      </c>
      <c r="H372" s="118" t="e">
        <f t="shared" ca="1" si="60"/>
        <v>#REF!</v>
      </c>
      <c r="I372" s="118" t="e">
        <f t="shared" ca="1" si="61"/>
        <v>#REF!</v>
      </c>
      <c r="J372" s="118" t="e">
        <f t="shared" ca="1" si="62"/>
        <v>#REF!</v>
      </c>
      <c r="K372" s="118" t="e">
        <f t="shared" ca="1" si="63"/>
        <v>#REF!</v>
      </c>
      <c r="L372" s="118" t="e">
        <f t="shared" ca="1" si="64"/>
        <v>#REF!</v>
      </c>
      <c r="M372" s="118" t="e">
        <f t="shared" ca="1" si="65"/>
        <v>#REF!</v>
      </c>
    </row>
    <row r="373" spans="1:13" x14ac:dyDescent="0.25">
      <c r="A373" s="119">
        <v>44826</v>
      </c>
      <c r="B373" s="119">
        <v>44826</v>
      </c>
      <c r="C373" s="118" t="e">
        <f t="shared" ca="1" si="55"/>
        <v>#REF!</v>
      </c>
      <c r="D373" s="118" t="e">
        <f t="shared" ca="1" si="56"/>
        <v>#REF!</v>
      </c>
      <c r="E373" s="118" t="e">
        <f t="shared" ca="1" si="57"/>
        <v>#REF!</v>
      </c>
      <c r="F373" s="118" t="e">
        <f t="shared" ca="1" si="58"/>
        <v>#REF!</v>
      </c>
      <c r="G373" s="118" t="e">
        <f t="shared" ca="1" si="59"/>
        <v>#REF!</v>
      </c>
      <c r="H373" s="118" t="e">
        <f t="shared" ca="1" si="60"/>
        <v>#REF!</v>
      </c>
      <c r="I373" s="118" t="e">
        <f t="shared" ca="1" si="61"/>
        <v>#REF!</v>
      </c>
      <c r="J373" s="118" t="e">
        <f t="shared" ca="1" si="62"/>
        <v>#REF!</v>
      </c>
      <c r="K373" s="118" t="e">
        <f t="shared" ca="1" si="63"/>
        <v>#REF!</v>
      </c>
      <c r="L373" s="118" t="e">
        <f t="shared" ca="1" si="64"/>
        <v>#REF!</v>
      </c>
      <c r="M373" s="118" t="e">
        <f t="shared" ca="1" si="65"/>
        <v>#REF!</v>
      </c>
    </row>
    <row r="374" spans="1:13" x14ac:dyDescent="0.25">
      <c r="A374" s="119" t="s">
        <v>203</v>
      </c>
      <c r="B374" s="119">
        <v>44827</v>
      </c>
      <c r="C374" s="118" t="e">
        <f t="shared" ca="1" si="55"/>
        <v>#REF!</v>
      </c>
      <c r="D374" s="118" t="e">
        <f t="shared" ca="1" si="56"/>
        <v>#REF!</v>
      </c>
      <c r="E374" s="118" t="e">
        <f t="shared" ca="1" si="57"/>
        <v>#REF!</v>
      </c>
      <c r="F374" s="118" t="e">
        <f t="shared" ca="1" si="58"/>
        <v>#REF!</v>
      </c>
      <c r="G374" s="118" t="e">
        <f t="shared" ca="1" si="59"/>
        <v>#REF!</v>
      </c>
      <c r="H374" s="118" t="e">
        <f t="shared" ca="1" si="60"/>
        <v>#REF!</v>
      </c>
      <c r="I374" s="118" t="e">
        <f t="shared" ca="1" si="61"/>
        <v>#REF!</v>
      </c>
      <c r="J374" s="118" t="e">
        <f t="shared" ca="1" si="62"/>
        <v>#REF!</v>
      </c>
      <c r="K374" s="118" t="e">
        <f t="shared" ca="1" si="63"/>
        <v>#REF!</v>
      </c>
      <c r="L374" s="118" t="e">
        <f t="shared" ca="1" si="64"/>
        <v>#REF!</v>
      </c>
      <c r="M374" s="118" t="e">
        <f t="shared" ca="1" si="65"/>
        <v>#REF!</v>
      </c>
    </row>
    <row r="375" spans="1:13" x14ac:dyDescent="0.25">
      <c r="A375" s="119">
        <v>44828</v>
      </c>
      <c r="B375" s="119">
        <v>44828</v>
      </c>
      <c r="C375" s="118" t="e">
        <f t="shared" ca="1" si="55"/>
        <v>#REF!</v>
      </c>
      <c r="D375" s="118" t="e">
        <f t="shared" ca="1" si="56"/>
        <v>#REF!</v>
      </c>
      <c r="E375" s="118" t="e">
        <f t="shared" ca="1" si="57"/>
        <v>#REF!</v>
      </c>
      <c r="F375" s="118" t="e">
        <f t="shared" ca="1" si="58"/>
        <v>#REF!</v>
      </c>
      <c r="G375" s="118" t="e">
        <f t="shared" ca="1" si="59"/>
        <v>#REF!</v>
      </c>
      <c r="H375" s="118" t="e">
        <f t="shared" ca="1" si="60"/>
        <v>#REF!</v>
      </c>
      <c r="I375" s="118" t="e">
        <f t="shared" ca="1" si="61"/>
        <v>#REF!</v>
      </c>
      <c r="J375" s="118" t="e">
        <f t="shared" ca="1" si="62"/>
        <v>#REF!</v>
      </c>
      <c r="K375" s="118" t="e">
        <f t="shared" ca="1" si="63"/>
        <v>#REF!</v>
      </c>
      <c r="L375" s="118" t="e">
        <f t="shared" ca="1" si="64"/>
        <v>#REF!</v>
      </c>
      <c r="M375" s="118" t="e">
        <f t="shared" ca="1" si="65"/>
        <v>#REF!</v>
      </c>
    </row>
    <row r="376" spans="1:13" x14ac:dyDescent="0.25">
      <c r="A376" s="119">
        <v>44829</v>
      </c>
      <c r="B376" s="119">
        <v>44829</v>
      </c>
      <c r="C376" s="118" t="e">
        <f t="shared" ca="1" si="55"/>
        <v>#REF!</v>
      </c>
      <c r="D376" s="118" t="e">
        <f t="shared" ca="1" si="56"/>
        <v>#REF!</v>
      </c>
      <c r="E376" s="118" t="e">
        <f t="shared" ca="1" si="57"/>
        <v>#REF!</v>
      </c>
      <c r="F376" s="118" t="e">
        <f t="shared" ca="1" si="58"/>
        <v>#REF!</v>
      </c>
      <c r="G376" s="118" t="e">
        <f t="shared" ca="1" si="59"/>
        <v>#REF!</v>
      </c>
      <c r="H376" s="118" t="e">
        <f t="shared" ca="1" si="60"/>
        <v>#REF!</v>
      </c>
      <c r="I376" s="118" t="e">
        <f t="shared" ca="1" si="61"/>
        <v>#REF!</v>
      </c>
      <c r="J376" s="118" t="e">
        <f t="shared" ca="1" si="62"/>
        <v>#REF!</v>
      </c>
      <c r="K376" s="118" t="e">
        <f t="shared" ca="1" si="63"/>
        <v>#REF!</v>
      </c>
      <c r="L376" s="118" t="e">
        <f t="shared" ca="1" si="64"/>
        <v>#REF!</v>
      </c>
      <c r="M376" s="118" t="e">
        <f t="shared" ca="1" si="65"/>
        <v>#REF!</v>
      </c>
    </row>
    <row r="377" spans="1:13" x14ac:dyDescent="0.25">
      <c r="A377" s="119">
        <v>44830</v>
      </c>
      <c r="B377" s="119">
        <v>44830</v>
      </c>
      <c r="C377" s="118" t="e">
        <f t="shared" ca="1" si="55"/>
        <v>#REF!</v>
      </c>
      <c r="D377" s="118" t="e">
        <f t="shared" ca="1" si="56"/>
        <v>#REF!</v>
      </c>
      <c r="E377" s="118" t="e">
        <f t="shared" ca="1" si="57"/>
        <v>#REF!</v>
      </c>
      <c r="F377" s="118" t="e">
        <f t="shared" ca="1" si="58"/>
        <v>#REF!</v>
      </c>
      <c r="G377" s="118" t="e">
        <f t="shared" ca="1" si="59"/>
        <v>#REF!</v>
      </c>
      <c r="H377" s="118" t="e">
        <f t="shared" ca="1" si="60"/>
        <v>#REF!</v>
      </c>
      <c r="I377" s="118" t="e">
        <f t="shared" ca="1" si="61"/>
        <v>#REF!</v>
      </c>
      <c r="J377" s="118" t="e">
        <f t="shared" ca="1" si="62"/>
        <v>#REF!</v>
      </c>
      <c r="K377" s="118" t="e">
        <f t="shared" ca="1" si="63"/>
        <v>#REF!</v>
      </c>
      <c r="L377" s="118" t="e">
        <f t="shared" ca="1" si="64"/>
        <v>#REF!</v>
      </c>
      <c r="M377" s="118" t="e">
        <f t="shared" ca="1" si="65"/>
        <v>#REF!</v>
      </c>
    </row>
    <row r="378" spans="1:13" x14ac:dyDescent="0.25">
      <c r="A378" s="119">
        <v>44831</v>
      </c>
      <c r="B378" s="119">
        <v>44831</v>
      </c>
      <c r="C378" s="118" t="e">
        <f t="shared" ca="1" si="55"/>
        <v>#REF!</v>
      </c>
      <c r="D378" s="118" t="e">
        <f t="shared" ca="1" si="56"/>
        <v>#REF!</v>
      </c>
      <c r="E378" s="118" t="e">
        <f t="shared" ca="1" si="57"/>
        <v>#REF!</v>
      </c>
      <c r="F378" s="118" t="e">
        <f t="shared" ca="1" si="58"/>
        <v>#REF!</v>
      </c>
      <c r="G378" s="118" t="e">
        <f t="shared" ca="1" si="59"/>
        <v>#REF!</v>
      </c>
      <c r="H378" s="118" t="e">
        <f t="shared" ca="1" si="60"/>
        <v>#REF!</v>
      </c>
      <c r="I378" s="118" t="e">
        <f t="shared" ca="1" si="61"/>
        <v>#REF!</v>
      </c>
      <c r="J378" s="118" t="e">
        <f t="shared" ca="1" si="62"/>
        <v>#REF!</v>
      </c>
      <c r="K378" s="118" t="e">
        <f t="shared" ca="1" si="63"/>
        <v>#REF!</v>
      </c>
      <c r="L378" s="118" t="e">
        <f t="shared" ca="1" si="64"/>
        <v>#REF!</v>
      </c>
      <c r="M378" s="118" t="e">
        <f t="shared" ca="1" si="65"/>
        <v>#REF!</v>
      </c>
    </row>
    <row r="379" spans="1:13" x14ac:dyDescent="0.25">
      <c r="A379" s="119">
        <v>44832</v>
      </c>
      <c r="B379" s="119">
        <v>44832</v>
      </c>
      <c r="C379" s="118" t="e">
        <f t="shared" ca="1" si="55"/>
        <v>#REF!</v>
      </c>
      <c r="D379" s="118" t="e">
        <f t="shared" ca="1" si="56"/>
        <v>#REF!</v>
      </c>
      <c r="E379" s="118" t="e">
        <f t="shared" ca="1" si="57"/>
        <v>#REF!</v>
      </c>
      <c r="F379" s="118" t="e">
        <f t="shared" ca="1" si="58"/>
        <v>#REF!</v>
      </c>
      <c r="G379" s="118" t="e">
        <f t="shared" ca="1" si="59"/>
        <v>#REF!</v>
      </c>
      <c r="H379" s="118" t="e">
        <f t="shared" ca="1" si="60"/>
        <v>#REF!</v>
      </c>
      <c r="I379" s="118" t="e">
        <f t="shared" ca="1" si="61"/>
        <v>#REF!</v>
      </c>
      <c r="J379" s="118" t="e">
        <f t="shared" ca="1" si="62"/>
        <v>#REF!</v>
      </c>
      <c r="K379" s="118" t="e">
        <f t="shared" ca="1" si="63"/>
        <v>#REF!</v>
      </c>
      <c r="L379" s="118" t="e">
        <f t="shared" ca="1" si="64"/>
        <v>#REF!</v>
      </c>
      <c r="M379" s="118" t="e">
        <f t="shared" ca="1" si="65"/>
        <v>#REF!</v>
      </c>
    </row>
    <row r="380" spans="1:13" x14ac:dyDescent="0.25">
      <c r="A380" s="119">
        <v>44833</v>
      </c>
      <c r="B380" s="119">
        <v>44833</v>
      </c>
      <c r="C380" s="118" t="e">
        <f t="shared" ca="1" si="55"/>
        <v>#REF!</v>
      </c>
      <c r="D380" s="118" t="e">
        <f t="shared" ca="1" si="56"/>
        <v>#REF!</v>
      </c>
      <c r="E380" s="118" t="e">
        <f t="shared" ca="1" si="57"/>
        <v>#REF!</v>
      </c>
      <c r="F380" s="118" t="e">
        <f t="shared" ca="1" si="58"/>
        <v>#REF!</v>
      </c>
      <c r="G380" s="118" t="e">
        <f t="shared" ca="1" si="59"/>
        <v>#REF!</v>
      </c>
      <c r="H380" s="118" t="e">
        <f t="shared" ca="1" si="60"/>
        <v>#REF!</v>
      </c>
      <c r="I380" s="118" t="e">
        <f t="shared" ca="1" si="61"/>
        <v>#REF!</v>
      </c>
      <c r="J380" s="118" t="e">
        <f t="shared" ca="1" si="62"/>
        <v>#REF!</v>
      </c>
      <c r="K380" s="118" t="e">
        <f t="shared" ca="1" si="63"/>
        <v>#REF!</v>
      </c>
      <c r="L380" s="118" t="e">
        <f t="shared" ca="1" si="64"/>
        <v>#REF!</v>
      </c>
      <c r="M380" s="118" t="e">
        <f t="shared" ca="1" si="65"/>
        <v>#REF!</v>
      </c>
    </row>
    <row r="381" spans="1:13" x14ac:dyDescent="0.25">
      <c r="A381" s="119">
        <v>44834</v>
      </c>
      <c r="B381" s="119">
        <v>44834</v>
      </c>
      <c r="C381" s="118" t="e">
        <f t="shared" ca="1" si="55"/>
        <v>#REF!</v>
      </c>
      <c r="D381" s="118" t="e">
        <f t="shared" ca="1" si="56"/>
        <v>#REF!</v>
      </c>
      <c r="E381" s="118" t="e">
        <f t="shared" ca="1" si="57"/>
        <v>#REF!</v>
      </c>
      <c r="F381" s="118" t="e">
        <f t="shared" ca="1" si="58"/>
        <v>#REF!</v>
      </c>
      <c r="G381" s="118" t="e">
        <f t="shared" ca="1" si="59"/>
        <v>#REF!</v>
      </c>
      <c r="H381" s="118" t="e">
        <f t="shared" ca="1" si="60"/>
        <v>#REF!</v>
      </c>
      <c r="I381" s="118" t="e">
        <f t="shared" ca="1" si="61"/>
        <v>#REF!</v>
      </c>
      <c r="J381" s="118" t="e">
        <f t="shared" ca="1" si="62"/>
        <v>#REF!</v>
      </c>
      <c r="K381" s="118" t="e">
        <f t="shared" ca="1" si="63"/>
        <v>#REF!</v>
      </c>
      <c r="L381" s="118" t="e">
        <f t="shared" ca="1" si="64"/>
        <v>#REF!</v>
      </c>
      <c r="M381" s="118" t="e">
        <f t="shared" ca="1" si="65"/>
        <v>#REF!</v>
      </c>
    </row>
    <row r="382" spans="1:13" x14ac:dyDescent="0.25">
      <c r="A382" s="119">
        <v>44835</v>
      </c>
      <c r="B382" s="119">
        <v>44835</v>
      </c>
      <c r="C382" s="118" t="e">
        <f t="shared" ca="1" si="55"/>
        <v>#REF!</v>
      </c>
      <c r="D382" s="118" t="e">
        <f t="shared" ca="1" si="56"/>
        <v>#REF!</v>
      </c>
      <c r="E382" s="118" t="e">
        <f t="shared" ca="1" si="57"/>
        <v>#REF!</v>
      </c>
      <c r="F382" s="118" t="e">
        <f t="shared" ca="1" si="58"/>
        <v>#REF!</v>
      </c>
      <c r="G382" s="118" t="e">
        <f t="shared" ca="1" si="59"/>
        <v>#REF!</v>
      </c>
      <c r="H382" s="118" t="e">
        <f t="shared" ca="1" si="60"/>
        <v>#REF!</v>
      </c>
      <c r="I382" s="118" t="e">
        <f t="shared" ca="1" si="61"/>
        <v>#REF!</v>
      </c>
      <c r="J382" s="118" t="e">
        <f t="shared" ca="1" si="62"/>
        <v>#REF!</v>
      </c>
      <c r="K382" s="118" t="e">
        <f t="shared" ca="1" si="63"/>
        <v>#REF!</v>
      </c>
      <c r="L382" s="118" t="e">
        <f t="shared" ca="1" si="64"/>
        <v>#REF!</v>
      </c>
      <c r="M382" s="118" t="e">
        <f t="shared" ca="1" si="65"/>
        <v>#REF!</v>
      </c>
    </row>
    <row r="383" spans="1:13" x14ac:dyDescent="0.25">
      <c r="A383" s="119">
        <v>44836</v>
      </c>
      <c r="B383" s="119">
        <v>44836</v>
      </c>
      <c r="C383" s="118" t="e">
        <f t="shared" ca="1" si="55"/>
        <v>#REF!</v>
      </c>
      <c r="D383" s="118" t="e">
        <f t="shared" ca="1" si="56"/>
        <v>#REF!</v>
      </c>
      <c r="E383" s="118" t="e">
        <f t="shared" ca="1" si="57"/>
        <v>#REF!</v>
      </c>
      <c r="F383" s="118" t="e">
        <f t="shared" ca="1" si="58"/>
        <v>#REF!</v>
      </c>
      <c r="G383" s="118" t="e">
        <f t="shared" ca="1" si="59"/>
        <v>#REF!</v>
      </c>
      <c r="H383" s="118" t="e">
        <f t="shared" ca="1" si="60"/>
        <v>#REF!</v>
      </c>
      <c r="I383" s="118" t="e">
        <f t="shared" ca="1" si="61"/>
        <v>#REF!</v>
      </c>
      <c r="J383" s="118" t="e">
        <f t="shared" ca="1" si="62"/>
        <v>#REF!</v>
      </c>
      <c r="K383" s="118" t="e">
        <f t="shared" ca="1" si="63"/>
        <v>#REF!</v>
      </c>
      <c r="L383" s="118" t="e">
        <f t="shared" ca="1" si="64"/>
        <v>#REF!</v>
      </c>
      <c r="M383" s="118" t="e">
        <f t="shared" ca="1" si="65"/>
        <v>#REF!</v>
      </c>
    </row>
    <row r="384" spans="1:13" x14ac:dyDescent="0.25">
      <c r="A384" s="119">
        <v>44837</v>
      </c>
      <c r="B384" s="119">
        <v>44837</v>
      </c>
      <c r="C384" s="118" t="e">
        <f t="shared" ca="1" si="55"/>
        <v>#REF!</v>
      </c>
      <c r="D384" s="118" t="e">
        <f t="shared" ca="1" si="56"/>
        <v>#REF!</v>
      </c>
      <c r="E384" s="118" t="e">
        <f t="shared" ca="1" si="57"/>
        <v>#REF!</v>
      </c>
      <c r="F384" s="118" t="e">
        <f t="shared" ca="1" si="58"/>
        <v>#REF!</v>
      </c>
      <c r="G384" s="118" t="e">
        <f t="shared" ca="1" si="59"/>
        <v>#REF!</v>
      </c>
      <c r="H384" s="118" t="e">
        <f t="shared" ca="1" si="60"/>
        <v>#REF!</v>
      </c>
      <c r="I384" s="118" t="e">
        <f t="shared" ca="1" si="61"/>
        <v>#REF!</v>
      </c>
      <c r="J384" s="118" t="e">
        <f t="shared" ca="1" si="62"/>
        <v>#REF!</v>
      </c>
      <c r="K384" s="118" t="e">
        <f t="shared" ca="1" si="63"/>
        <v>#REF!</v>
      </c>
      <c r="L384" s="118" t="e">
        <f t="shared" ca="1" si="64"/>
        <v>#REF!</v>
      </c>
      <c r="M384" s="118" t="e">
        <f t="shared" ca="1" si="65"/>
        <v>#REF!</v>
      </c>
    </row>
    <row r="385" spans="1:13" x14ac:dyDescent="0.25">
      <c r="A385" s="119">
        <v>44838</v>
      </c>
      <c r="B385" s="119">
        <v>44838</v>
      </c>
      <c r="C385" s="118" t="e">
        <f t="shared" ca="1" si="55"/>
        <v>#REF!</v>
      </c>
      <c r="D385" s="118" t="e">
        <f t="shared" ca="1" si="56"/>
        <v>#REF!</v>
      </c>
      <c r="E385" s="118" t="e">
        <f t="shared" ca="1" si="57"/>
        <v>#REF!</v>
      </c>
      <c r="F385" s="118" t="e">
        <f t="shared" ca="1" si="58"/>
        <v>#REF!</v>
      </c>
      <c r="G385" s="118" t="e">
        <f t="shared" ca="1" si="59"/>
        <v>#REF!</v>
      </c>
      <c r="H385" s="118" t="e">
        <f t="shared" ca="1" si="60"/>
        <v>#REF!</v>
      </c>
      <c r="I385" s="118" t="e">
        <f t="shared" ca="1" si="61"/>
        <v>#REF!</v>
      </c>
      <c r="J385" s="118" t="e">
        <f t="shared" ca="1" si="62"/>
        <v>#REF!</v>
      </c>
      <c r="K385" s="118" t="e">
        <f t="shared" ca="1" si="63"/>
        <v>#REF!</v>
      </c>
      <c r="L385" s="118" t="e">
        <f t="shared" ca="1" si="64"/>
        <v>#REF!</v>
      </c>
      <c r="M385" s="118" t="e">
        <f t="shared" ca="1" si="65"/>
        <v>#REF!</v>
      </c>
    </row>
    <row r="386" spans="1:13" x14ac:dyDescent="0.25">
      <c r="A386" s="119">
        <v>44839</v>
      </c>
      <c r="B386" s="119">
        <v>44839</v>
      </c>
      <c r="C386" s="118" t="e">
        <f t="shared" ca="1" si="55"/>
        <v>#REF!</v>
      </c>
      <c r="D386" s="118" t="e">
        <f t="shared" ca="1" si="56"/>
        <v>#REF!</v>
      </c>
      <c r="E386" s="118" t="e">
        <f t="shared" ca="1" si="57"/>
        <v>#REF!</v>
      </c>
      <c r="F386" s="118" t="e">
        <f t="shared" ca="1" si="58"/>
        <v>#REF!</v>
      </c>
      <c r="G386" s="118" t="e">
        <f t="shared" ca="1" si="59"/>
        <v>#REF!</v>
      </c>
      <c r="H386" s="118" t="e">
        <f t="shared" ca="1" si="60"/>
        <v>#REF!</v>
      </c>
      <c r="I386" s="118" t="e">
        <f t="shared" ca="1" si="61"/>
        <v>#REF!</v>
      </c>
      <c r="J386" s="118" t="e">
        <f t="shared" ca="1" si="62"/>
        <v>#REF!</v>
      </c>
      <c r="K386" s="118" t="e">
        <f t="shared" ca="1" si="63"/>
        <v>#REF!</v>
      </c>
      <c r="L386" s="118" t="e">
        <f t="shared" ca="1" si="64"/>
        <v>#REF!</v>
      </c>
      <c r="M386" s="118" t="e">
        <f t="shared" ca="1" si="65"/>
        <v>#REF!</v>
      </c>
    </row>
    <row r="387" spans="1:13" x14ac:dyDescent="0.25">
      <c r="A387" s="119">
        <v>44840</v>
      </c>
      <c r="B387" s="119">
        <v>44840</v>
      </c>
      <c r="C387" s="118" t="e">
        <f t="shared" ref="C387:C450" ca="1" si="66">INDIRECT(CONCATENATE("",$A387,"!H10"))</f>
        <v>#REF!</v>
      </c>
      <c r="D387" s="118" t="e">
        <f t="shared" ref="D387:D450" ca="1" si="67">INDIRECT(CONCATENATE("",$A387,"!H11"))</f>
        <v>#REF!</v>
      </c>
      <c r="E387" s="118" t="e">
        <f t="shared" ref="E387:E450" ca="1" si="68">INDIRECT(CONCATENATE("",$A387,"!H12"))</f>
        <v>#REF!</v>
      </c>
      <c r="F387" s="118" t="e">
        <f t="shared" ref="F387:F450" ca="1" si="69">INDIRECT(CONCATENATE("",$A387,"!H13"))</f>
        <v>#REF!</v>
      </c>
      <c r="G387" s="118" t="e">
        <f t="shared" ref="G387:G450" ca="1" si="70">INDIRECT(CONCATENATE("",$A387,"!H14"))</f>
        <v>#REF!</v>
      </c>
      <c r="H387" s="118" t="e">
        <f t="shared" ref="H387:H450" ca="1" si="71">INDIRECT(CONCATENATE("",$A387,"!i12"))</f>
        <v>#REF!</v>
      </c>
      <c r="I387" s="118" t="e">
        <f t="shared" ref="I387:I450" ca="1" si="72">INDIRECT(CONCATENATE("",$A387,"!i13"))</f>
        <v>#REF!</v>
      </c>
      <c r="J387" s="118" t="e">
        <f t="shared" ref="J387:J450" ca="1" si="73">INDIRECT(CONCATENATE("",$A387,"!i14"))</f>
        <v>#REF!</v>
      </c>
      <c r="K387" s="118" t="e">
        <f t="shared" ref="K387:K450" ca="1" si="74">INDIRECT(CONCATENATE("",$A387,"!J12"))</f>
        <v>#REF!</v>
      </c>
      <c r="L387" s="118" t="e">
        <f t="shared" ref="L387:L450" ca="1" si="75">INDIRECT(CONCATENATE("",$A387,"!J13"))</f>
        <v>#REF!</v>
      </c>
      <c r="M387" s="118" t="e">
        <f t="shared" ref="M387:M450" ca="1" si="76">INDIRECT(CONCATENATE("",$A387,"!J14"))</f>
        <v>#REF!</v>
      </c>
    </row>
    <row r="388" spans="1:13" x14ac:dyDescent="0.25">
      <c r="A388" s="119" t="s">
        <v>204</v>
      </c>
      <c r="B388" s="119">
        <v>44841</v>
      </c>
      <c r="C388" s="118" t="e">
        <f t="shared" ca="1" si="66"/>
        <v>#REF!</v>
      </c>
      <c r="D388" s="118" t="e">
        <f t="shared" ca="1" si="67"/>
        <v>#REF!</v>
      </c>
      <c r="E388" s="118" t="e">
        <f t="shared" ca="1" si="68"/>
        <v>#REF!</v>
      </c>
      <c r="F388" s="118" t="e">
        <f t="shared" ca="1" si="69"/>
        <v>#REF!</v>
      </c>
      <c r="G388" s="118" t="e">
        <f t="shared" ca="1" si="70"/>
        <v>#REF!</v>
      </c>
      <c r="H388" s="118" t="e">
        <f t="shared" ca="1" si="71"/>
        <v>#REF!</v>
      </c>
      <c r="I388" s="118" t="e">
        <f t="shared" ca="1" si="72"/>
        <v>#REF!</v>
      </c>
      <c r="J388" s="118" t="e">
        <f t="shared" ca="1" si="73"/>
        <v>#REF!</v>
      </c>
      <c r="K388" s="118" t="e">
        <f t="shared" ca="1" si="74"/>
        <v>#REF!</v>
      </c>
      <c r="L388" s="118" t="e">
        <f t="shared" ca="1" si="75"/>
        <v>#REF!</v>
      </c>
      <c r="M388" s="118" t="e">
        <f t="shared" ca="1" si="76"/>
        <v>#REF!</v>
      </c>
    </row>
    <row r="389" spans="1:13" x14ac:dyDescent="0.25">
      <c r="A389" s="119">
        <v>44842</v>
      </c>
      <c r="B389" s="119">
        <v>44842</v>
      </c>
      <c r="C389" s="118" t="e">
        <f t="shared" ca="1" si="66"/>
        <v>#REF!</v>
      </c>
      <c r="D389" s="118" t="e">
        <f t="shared" ca="1" si="67"/>
        <v>#REF!</v>
      </c>
      <c r="E389" s="118" t="e">
        <f t="shared" ca="1" si="68"/>
        <v>#REF!</v>
      </c>
      <c r="F389" s="118" t="e">
        <f t="shared" ca="1" si="69"/>
        <v>#REF!</v>
      </c>
      <c r="G389" s="118" t="e">
        <f t="shared" ca="1" si="70"/>
        <v>#REF!</v>
      </c>
      <c r="H389" s="118" t="e">
        <f t="shared" ca="1" si="71"/>
        <v>#REF!</v>
      </c>
      <c r="I389" s="118" t="e">
        <f t="shared" ca="1" si="72"/>
        <v>#REF!</v>
      </c>
      <c r="J389" s="118" t="e">
        <f t="shared" ca="1" si="73"/>
        <v>#REF!</v>
      </c>
      <c r="K389" s="118" t="e">
        <f t="shared" ca="1" si="74"/>
        <v>#REF!</v>
      </c>
      <c r="L389" s="118" t="e">
        <f t="shared" ca="1" si="75"/>
        <v>#REF!</v>
      </c>
      <c r="M389" s="118" t="e">
        <f t="shared" ca="1" si="76"/>
        <v>#REF!</v>
      </c>
    </row>
    <row r="390" spans="1:13" x14ac:dyDescent="0.25">
      <c r="A390" s="119">
        <v>44843</v>
      </c>
      <c r="B390" s="119">
        <v>44843</v>
      </c>
      <c r="C390" s="118" t="e">
        <f t="shared" ca="1" si="66"/>
        <v>#REF!</v>
      </c>
      <c r="D390" s="118" t="e">
        <f t="shared" ca="1" si="67"/>
        <v>#REF!</v>
      </c>
      <c r="E390" s="118" t="e">
        <f t="shared" ca="1" si="68"/>
        <v>#REF!</v>
      </c>
      <c r="F390" s="118" t="e">
        <f t="shared" ca="1" si="69"/>
        <v>#REF!</v>
      </c>
      <c r="G390" s="118" t="e">
        <f t="shared" ca="1" si="70"/>
        <v>#REF!</v>
      </c>
      <c r="H390" s="118" t="e">
        <f t="shared" ca="1" si="71"/>
        <v>#REF!</v>
      </c>
      <c r="I390" s="118" t="e">
        <f t="shared" ca="1" si="72"/>
        <v>#REF!</v>
      </c>
      <c r="J390" s="118" t="e">
        <f t="shared" ca="1" si="73"/>
        <v>#REF!</v>
      </c>
      <c r="K390" s="118" t="e">
        <f t="shared" ca="1" si="74"/>
        <v>#REF!</v>
      </c>
      <c r="L390" s="118" t="e">
        <f t="shared" ca="1" si="75"/>
        <v>#REF!</v>
      </c>
      <c r="M390" s="118" t="e">
        <f t="shared" ca="1" si="76"/>
        <v>#REF!</v>
      </c>
    </row>
    <row r="391" spans="1:13" x14ac:dyDescent="0.25">
      <c r="A391" s="119">
        <v>44844</v>
      </c>
      <c r="B391" s="119">
        <v>44844</v>
      </c>
      <c r="C391" s="118" t="e">
        <f t="shared" ca="1" si="66"/>
        <v>#REF!</v>
      </c>
      <c r="D391" s="118" t="e">
        <f t="shared" ca="1" si="67"/>
        <v>#REF!</v>
      </c>
      <c r="E391" s="118" t="e">
        <f t="shared" ca="1" si="68"/>
        <v>#REF!</v>
      </c>
      <c r="F391" s="118" t="e">
        <f t="shared" ca="1" si="69"/>
        <v>#REF!</v>
      </c>
      <c r="G391" s="118" t="e">
        <f t="shared" ca="1" si="70"/>
        <v>#REF!</v>
      </c>
      <c r="H391" s="118" t="e">
        <f t="shared" ca="1" si="71"/>
        <v>#REF!</v>
      </c>
      <c r="I391" s="118" t="e">
        <f t="shared" ca="1" si="72"/>
        <v>#REF!</v>
      </c>
      <c r="J391" s="118" t="e">
        <f t="shared" ca="1" si="73"/>
        <v>#REF!</v>
      </c>
      <c r="K391" s="118" t="e">
        <f t="shared" ca="1" si="74"/>
        <v>#REF!</v>
      </c>
      <c r="L391" s="118" t="e">
        <f t="shared" ca="1" si="75"/>
        <v>#REF!</v>
      </c>
      <c r="M391" s="118" t="e">
        <f t="shared" ca="1" si="76"/>
        <v>#REF!</v>
      </c>
    </row>
    <row r="392" spans="1:13" x14ac:dyDescent="0.25">
      <c r="A392" s="119">
        <v>44845</v>
      </c>
      <c r="B392" s="119">
        <v>44845</v>
      </c>
      <c r="C392" s="118" t="e">
        <f t="shared" ca="1" si="66"/>
        <v>#REF!</v>
      </c>
      <c r="D392" s="118" t="e">
        <f t="shared" ca="1" si="67"/>
        <v>#REF!</v>
      </c>
      <c r="E392" s="118" t="e">
        <f t="shared" ca="1" si="68"/>
        <v>#REF!</v>
      </c>
      <c r="F392" s="118" t="e">
        <f t="shared" ca="1" si="69"/>
        <v>#REF!</v>
      </c>
      <c r="G392" s="118" t="e">
        <f t="shared" ca="1" si="70"/>
        <v>#REF!</v>
      </c>
      <c r="H392" s="118" t="e">
        <f t="shared" ca="1" si="71"/>
        <v>#REF!</v>
      </c>
      <c r="I392" s="118" t="e">
        <f t="shared" ca="1" si="72"/>
        <v>#REF!</v>
      </c>
      <c r="J392" s="118" t="e">
        <f t="shared" ca="1" si="73"/>
        <v>#REF!</v>
      </c>
      <c r="K392" s="118" t="e">
        <f t="shared" ca="1" si="74"/>
        <v>#REF!</v>
      </c>
      <c r="L392" s="118" t="e">
        <f t="shared" ca="1" si="75"/>
        <v>#REF!</v>
      </c>
      <c r="M392" s="118" t="e">
        <f t="shared" ca="1" si="76"/>
        <v>#REF!</v>
      </c>
    </row>
    <row r="393" spans="1:13" x14ac:dyDescent="0.25">
      <c r="A393" s="119">
        <v>44846</v>
      </c>
      <c r="B393" s="119">
        <v>44846</v>
      </c>
      <c r="C393" s="118" t="e">
        <f t="shared" ca="1" si="66"/>
        <v>#REF!</v>
      </c>
      <c r="D393" s="118" t="e">
        <f t="shared" ca="1" si="67"/>
        <v>#REF!</v>
      </c>
      <c r="E393" s="118" t="e">
        <f t="shared" ca="1" si="68"/>
        <v>#REF!</v>
      </c>
      <c r="F393" s="118" t="e">
        <f t="shared" ca="1" si="69"/>
        <v>#REF!</v>
      </c>
      <c r="G393" s="118" t="e">
        <f t="shared" ca="1" si="70"/>
        <v>#REF!</v>
      </c>
      <c r="H393" s="118" t="e">
        <f t="shared" ca="1" si="71"/>
        <v>#REF!</v>
      </c>
      <c r="I393" s="118" t="e">
        <f t="shared" ca="1" si="72"/>
        <v>#REF!</v>
      </c>
      <c r="J393" s="118" t="e">
        <f t="shared" ca="1" si="73"/>
        <v>#REF!</v>
      </c>
      <c r="K393" s="118" t="e">
        <f t="shared" ca="1" si="74"/>
        <v>#REF!</v>
      </c>
      <c r="L393" s="118" t="e">
        <f t="shared" ca="1" si="75"/>
        <v>#REF!</v>
      </c>
      <c r="M393" s="118" t="e">
        <f t="shared" ca="1" si="76"/>
        <v>#REF!</v>
      </c>
    </row>
    <row r="394" spans="1:13" x14ac:dyDescent="0.25">
      <c r="A394" s="119">
        <v>44847</v>
      </c>
      <c r="B394" s="119">
        <v>44847</v>
      </c>
      <c r="C394" s="118" t="e">
        <f t="shared" ca="1" si="66"/>
        <v>#REF!</v>
      </c>
      <c r="D394" s="118" t="e">
        <f t="shared" ca="1" si="67"/>
        <v>#REF!</v>
      </c>
      <c r="E394" s="118" t="e">
        <f t="shared" ca="1" si="68"/>
        <v>#REF!</v>
      </c>
      <c r="F394" s="118" t="e">
        <f t="shared" ca="1" si="69"/>
        <v>#REF!</v>
      </c>
      <c r="G394" s="118" t="e">
        <f t="shared" ca="1" si="70"/>
        <v>#REF!</v>
      </c>
      <c r="H394" s="118" t="e">
        <f t="shared" ca="1" si="71"/>
        <v>#REF!</v>
      </c>
      <c r="I394" s="118" t="e">
        <f t="shared" ca="1" si="72"/>
        <v>#REF!</v>
      </c>
      <c r="J394" s="118" t="e">
        <f t="shared" ca="1" si="73"/>
        <v>#REF!</v>
      </c>
      <c r="K394" s="118" t="e">
        <f t="shared" ca="1" si="74"/>
        <v>#REF!</v>
      </c>
      <c r="L394" s="118" t="e">
        <f t="shared" ca="1" si="75"/>
        <v>#REF!</v>
      </c>
      <c r="M394" s="118" t="e">
        <f t="shared" ca="1" si="76"/>
        <v>#REF!</v>
      </c>
    </row>
    <row r="395" spans="1:13" x14ac:dyDescent="0.25">
      <c r="A395" s="119" t="s">
        <v>205</v>
      </c>
      <c r="B395" s="119">
        <v>44848</v>
      </c>
      <c r="C395" s="118" t="e">
        <f t="shared" ca="1" si="66"/>
        <v>#REF!</v>
      </c>
      <c r="D395" s="118" t="e">
        <f t="shared" ca="1" si="67"/>
        <v>#REF!</v>
      </c>
      <c r="E395" s="118" t="e">
        <f t="shared" ca="1" si="68"/>
        <v>#REF!</v>
      </c>
      <c r="F395" s="118" t="e">
        <f t="shared" ca="1" si="69"/>
        <v>#REF!</v>
      </c>
      <c r="G395" s="118" t="e">
        <f t="shared" ca="1" si="70"/>
        <v>#REF!</v>
      </c>
      <c r="H395" s="118" t="e">
        <f t="shared" ca="1" si="71"/>
        <v>#REF!</v>
      </c>
      <c r="I395" s="118" t="e">
        <f t="shared" ca="1" si="72"/>
        <v>#REF!</v>
      </c>
      <c r="J395" s="118" t="e">
        <f t="shared" ca="1" si="73"/>
        <v>#REF!</v>
      </c>
      <c r="K395" s="118" t="e">
        <f t="shared" ca="1" si="74"/>
        <v>#REF!</v>
      </c>
      <c r="L395" s="118" t="e">
        <f t="shared" ca="1" si="75"/>
        <v>#REF!</v>
      </c>
      <c r="M395" s="118" t="e">
        <f t="shared" ca="1" si="76"/>
        <v>#REF!</v>
      </c>
    </row>
    <row r="396" spans="1:13" x14ac:dyDescent="0.25">
      <c r="A396" s="119">
        <v>44849</v>
      </c>
      <c r="B396" s="119">
        <v>44849</v>
      </c>
      <c r="C396" s="118" t="e">
        <f t="shared" ca="1" si="66"/>
        <v>#REF!</v>
      </c>
      <c r="D396" s="118" t="e">
        <f t="shared" ca="1" si="67"/>
        <v>#REF!</v>
      </c>
      <c r="E396" s="118" t="e">
        <f t="shared" ca="1" si="68"/>
        <v>#REF!</v>
      </c>
      <c r="F396" s="118" t="e">
        <f t="shared" ca="1" si="69"/>
        <v>#REF!</v>
      </c>
      <c r="G396" s="118" t="e">
        <f t="shared" ca="1" si="70"/>
        <v>#REF!</v>
      </c>
      <c r="H396" s="118" t="e">
        <f t="shared" ca="1" si="71"/>
        <v>#REF!</v>
      </c>
      <c r="I396" s="118" t="e">
        <f t="shared" ca="1" si="72"/>
        <v>#REF!</v>
      </c>
      <c r="J396" s="118" t="e">
        <f t="shared" ca="1" si="73"/>
        <v>#REF!</v>
      </c>
      <c r="K396" s="118" t="e">
        <f t="shared" ca="1" si="74"/>
        <v>#REF!</v>
      </c>
      <c r="L396" s="118" t="e">
        <f t="shared" ca="1" si="75"/>
        <v>#REF!</v>
      </c>
      <c r="M396" s="118" t="e">
        <f t="shared" ca="1" si="76"/>
        <v>#REF!</v>
      </c>
    </row>
    <row r="397" spans="1:13" x14ac:dyDescent="0.25">
      <c r="A397" s="119">
        <v>44850</v>
      </c>
      <c r="B397" s="119">
        <v>44850</v>
      </c>
      <c r="C397" s="118" t="e">
        <f t="shared" ca="1" si="66"/>
        <v>#REF!</v>
      </c>
      <c r="D397" s="118" t="e">
        <f t="shared" ca="1" si="67"/>
        <v>#REF!</v>
      </c>
      <c r="E397" s="118" t="e">
        <f t="shared" ca="1" si="68"/>
        <v>#REF!</v>
      </c>
      <c r="F397" s="118" t="e">
        <f t="shared" ca="1" si="69"/>
        <v>#REF!</v>
      </c>
      <c r="G397" s="118" t="e">
        <f t="shared" ca="1" si="70"/>
        <v>#REF!</v>
      </c>
      <c r="H397" s="118" t="e">
        <f t="shared" ca="1" si="71"/>
        <v>#REF!</v>
      </c>
      <c r="I397" s="118" t="e">
        <f t="shared" ca="1" si="72"/>
        <v>#REF!</v>
      </c>
      <c r="J397" s="118" t="e">
        <f t="shared" ca="1" si="73"/>
        <v>#REF!</v>
      </c>
      <c r="K397" s="118" t="e">
        <f t="shared" ca="1" si="74"/>
        <v>#REF!</v>
      </c>
      <c r="L397" s="118" t="e">
        <f t="shared" ca="1" si="75"/>
        <v>#REF!</v>
      </c>
      <c r="M397" s="118" t="e">
        <f t="shared" ca="1" si="76"/>
        <v>#REF!</v>
      </c>
    </row>
    <row r="398" spans="1:13" x14ac:dyDescent="0.25">
      <c r="A398" s="119">
        <v>44851</v>
      </c>
      <c r="B398" s="119">
        <v>44851</v>
      </c>
      <c r="C398" s="118" t="e">
        <f t="shared" ca="1" si="66"/>
        <v>#REF!</v>
      </c>
      <c r="D398" s="118" t="e">
        <f t="shared" ca="1" si="67"/>
        <v>#REF!</v>
      </c>
      <c r="E398" s="118" t="e">
        <f t="shared" ca="1" si="68"/>
        <v>#REF!</v>
      </c>
      <c r="F398" s="118" t="e">
        <f t="shared" ca="1" si="69"/>
        <v>#REF!</v>
      </c>
      <c r="G398" s="118" t="e">
        <f t="shared" ca="1" si="70"/>
        <v>#REF!</v>
      </c>
      <c r="H398" s="118" t="e">
        <f t="shared" ca="1" si="71"/>
        <v>#REF!</v>
      </c>
      <c r="I398" s="118" t="e">
        <f t="shared" ca="1" si="72"/>
        <v>#REF!</v>
      </c>
      <c r="J398" s="118" t="e">
        <f t="shared" ca="1" si="73"/>
        <v>#REF!</v>
      </c>
      <c r="K398" s="118" t="e">
        <f t="shared" ca="1" si="74"/>
        <v>#REF!</v>
      </c>
      <c r="L398" s="118" t="e">
        <f t="shared" ca="1" si="75"/>
        <v>#REF!</v>
      </c>
      <c r="M398" s="118" t="e">
        <f t="shared" ca="1" si="76"/>
        <v>#REF!</v>
      </c>
    </row>
    <row r="399" spans="1:13" x14ac:dyDescent="0.25">
      <c r="A399" s="119">
        <v>44852</v>
      </c>
      <c r="B399" s="119">
        <v>44852</v>
      </c>
      <c r="C399" s="118" t="e">
        <f t="shared" ca="1" si="66"/>
        <v>#REF!</v>
      </c>
      <c r="D399" s="118" t="e">
        <f t="shared" ca="1" si="67"/>
        <v>#REF!</v>
      </c>
      <c r="E399" s="118" t="e">
        <f t="shared" ca="1" si="68"/>
        <v>#REF!</v>
      </c>
      <c r="F399" s="118" t="e">
        <f t="shared" ca="1" si="69"/>
        <v>#REF!</v>
      </c>
      <c r="G399" s="118" t="e">
        <f t="shared" ca="1" si="70"/>
        <v>#REF!</v>
      </c>
      <c r="H399" s="118" t="e">
        <f t="shared" ca="1" si="71"/>
        <v>#REF!</v>
      </c>
      <c r="I399" s="118" t="e">
        <f t="shared" ca="1" si="72"/>
        <v>#REF!</v>
      </c>
      <c r="J399" s="118" t="e">
        <f t="shared" ca="1" si="73"/>
        <v>#REF!</v>
      </c>
      <c r="K399" s="118" t="e">
        <f t="shared" ca="1" si="74"/>
        <v>#REF!</v>
      </c>
      <c r="L399" s="118" t="e">
        <f t="shared" ca="1" si="75"/>
        <v>#REF!</v>
      </c>
      <c r="M399" s="118" t="e">
        <f t="shared" ca="1" si="76"/>
        <v>#REF!</v>
      </c>
    </row>
    <row r="400" spans="1:13" x14ac:dyDescent="0.25">
      <c r="A400" s="119">
        <v>44853</v>
      </c>
      <c r="B400" s="119">
        <v>44853</v>
      </c>
      <c r="C400" s="118" t="e">
        <f t="shared" ca="1" si="66"/>
        <v>#REF!</v>
      </c>
      <c r="D400" s="118" t="e">
        <f t="shared" ca="1" si="67"/>
        <v>#REF!</v>
      </c>
      <c r="E400" s="118" t="e">
        <f t="shared" ca="1" si="68"/>
        <v>#REF!</v>
      </c>
      <c r="F400" s="118" t="e">
        <f t="shared" ca="1" si="69"/>
        <v>#REF!</v>
      </c>
      <c r="G400" s="118" t="e">
        <f t="shared" ca="1" si="70"/>
        <v>#REF!</v>
      </c>
      <c r="H400" s="118" t="e">
        <f t="shared" ca="1" si="71"/>
        <v>#REF!</v>
      </c>
      <c r="I400" s="118" t="e">
        <f t="shared" ca="1" si="72"/>
        <v>#REF!</v>
      </c>
      <c r="J400" s="118" t="e">
        <f t="shared" ca="1" si="73"/>
        <v>#REF!</v>
      </c>
      <c r="K400" s="118" t="e">
        <f t="shared" ca="1" si="74"/>
        <v>#REF!</v>
      </c>
      <c r="L400" s="118" t="e">
        <f t="shared" ca="1" si="75"/>
        <v>#REF!</v>
      </c>
      <c r="M400" s="118" t="e">
        <f t="shared" ca="1" si="76"/>
        <v>#REF!</v>
      </c>
    </row>
    <row r="401" spans="1:13" x14ac:dyDescent="0.25">
      <c r="A401" s="119">
        <v>44854</v>
      </c>
      <c r="B401" s="119">
        <v>44854</v>
      </c>
      <c r="C401" s="118" t="e">
        <f t="shared" ca="1" si="66"/>
        <v>#REF!</v>
      </c>
      <c r="D401" s="118" t="e">
        <f t="shared" ca="1" si="67"/>
        <v>#REF!</v>
      </c>
      <c r="E401" s="118" t="e">
        <f t="shared" ca="1" si="68"/>
        <v>#REF!</v>
      </c>
      <c r="F401" s="118" t="e">
        <f t="shared" ca="1" si="69"/>
        <v>#REF!</v>
      </c>
      <c r="G401" s="118" t="e">
        <f t="shared" ca="1" si="70"/>
        <v>#REF!</v>
      </c>
      <c r="H401" s="118" t="e">
        <f t="shared" ca="1" si="71"/>
        <v>#REF!</v>
      </c>
      <c r="I401" s="118" t="e">
        <f t="shared" ca="1" si="72"/>
        <v>#REF!</v>
      </c>
      <c r="J401" s="118" t="e">
        <f t="shared" ca="1" si="73"/>
        <v>#REF!</v>
      </c>
      <c r="K401" s="118" t="e">
        <f t="shared" ca="1" si="74"/>
        <v>#REF!</v>
      </c>
      <c r="L401" s="118" t="e">
        <f t="shared" ca="1" si="75"/>
        <v>#REF!</v>
      </c>
      <c r="M401" s="118" t="e">
        <f t="shared" ca="1" si="76"/>
        <v>#REF!</v>
      </c>
    </row>
    <row r="402" spans="1:13" x14ac:dyDescent="0.25">
      <c r="A402" s="119" t="s">
        <v>206</v>
      </c>
      <c r="B402" s="119">
        <v>44855</v>
      </c>
      <c r="C402" s="118" t="e">
        <f t="shared" ca="1" si="66"/>
        <v>#REF!</v>
      </c>
      <c r="D402" s="118" t="e">
        <f t="shared" ca="1" si="67"/>
        <v>#REF!</v>
      </c>
      <c r="E402" s="118" t="e">
        <f t="shared" ca="1" si="68"/>
        <v>#REF!</v>
      </c>
      <c r="F402" s="118" t="e">
        <f t="shared" ca="1" si="69"/>
        <v>#REF!</v>
      </c>
      <c r="G402" s="118" t="e">
        <f t="shared" ca="1" si="70"/>
        <v>#REF!</v>
      </c>
      <c r="H402" s="118" t="e">
        <f t="shared" ca="1" si="71"/>
        <v>#REF!</v>
      </c>
      <c r="I402" s="118" t="e">
        <f t="shared" ca="1" si="72"/>
        <v>#REF!</v>
      </c>
      <c r="J402" s="118" t="e">
        <f t="shared" ca="1" si="73"/>
        <v>#REF!</v>
      </c>
      <c r="K402" s="118" t="e">
        <f t="shared" ca="1" si="74"/>
        <v>#REF!</v>
      </c>
      <c r="L402" s="118" t="e">
        <f t="shared" ca="1" si="75"/>
        <v>#REF!</v>
      </c>
      <c r="M402" s="118" t="e">
        <f t="shared" ca="1" si="76"/>
        <v>#REF!</v>
      </c>
    </row>
    <row r="403" spans="1:13" x14ac:dyDescent="0.25">
      <c r="A403" s="119">
        <v>44856</v>
      </c>
      <c r="B403" s="119">
        <v>44856</v>
      </c>
      <c r="C403" s="118" t="e">
        <f t="shared" ca="1" si="66"/>
        <v>#REF!</v>
      </c>
      <c r="D403" s="118" t="e">
        <f t="shared" ca="1" si="67"/>
        <v>#REF!</v>
      </c>
      <c r="E403" s="118" t="e">
        <f t="shared" ca="1" si="68"/>
        <v>#REF!</v>
      </c>
      <c r="F403" s="118" t="e">
        <f t="shared" ca="1" si="69"/>
        <v>#REF!</v>
      </c>
      <c r="G403" s="118" t="e">
        <f t="shared" ca="1" si="70"/>
        <v>#REF!</v>
      </c>
      <c r="H403" s="118" t="e">
        <f t="shared" ca="1" si="71"/>
        <v>#REF!</v>
      </c>
      <c r="I403" s="118" t="e">
        <f t="shared" ca="1" si="72"/>
        <v>#REF!</v>
      </c>
      <c r="J403" s="118" t="e">
        <f t="shared" ca="1" si="73"/>
        <v>#REF!</v>
      </c>
      <c r="K403" s="118" t="e">
        <f t="shared" ca="1" si="74"/>
        <v>#REF!</v>
      </c>
      <c r="L403" s="118" t="e">
        <f t="shared" ca="1" si="75"/>
        <v>#REF!</v>
      </c>
      <c r="M403" s="118" t="e">
        <f t="shared" ca="1" si="76"/>
        <v>#REF!</v>
      </c>
    </row>
    <row r="404" spans="1:13" x14ac:dyDescent="0.25">
      <c r="A404" s="119">
        <v>44857</v>
      </c>
      <c r="B404" s="119">
        <v>44857</v>
      </c>
      <c r="C404" s="118" t="e">
        <f t="shared" ca="1" si="66"/>
        <v>#REF!</v>
      </c>
      <c r="D404" s="118" t="e">
        <f t="shared" ca="1" si="67"/>
        <v>#REF!</v>
      </c>
      <c r="E404" s="118" t="e">
        <f t="shared" ca="1" si="68"/>
        <v>#REF!</v>
      </c>
      <c r="F404" s="118" t="e">
        <f t="shared" ca="1" si="69"/>
        <v>#REF!</v>
      </c>
      <c r="G404" s="118" t="e">
        <f t="shared" ca="1" si="70"/>
        <v>#REF!</v>
      </c>
      <c r="H404" s="118" t="e">
        <f t="shared" ca="1" si="71"/>
        <v>#REF!</v>
      </c>
      <c r="I404" s="118" t="e">
        <f t="shared" ca="1" si="72"/>
        <v>#REF!</v>
      </c>
      <c r="J404" s="118" t="e">
        <f t="shared" ca="1" si="73"/>
        <v>#REF!</v>
      </c>
      <c r="K404" s="118" t="e">
        <f t="shared" ca="1" si="74"/>
        <v>#REF!</v>
      </c>
      <c r="L404" s="118" t="e">
        <f t="shared" ca="1" si="75"/>
        <v>#REF!</v>
      </c>
      <c r="M404" s="118" t="e">
        <f t="shared" ca="1" si="76"/>
        <v>#REF!</v>
      </c>
    </row>
    <row r="405" spans="1:13" x14ac:dyDescent="0.25">
      <c r="A405" s="119">
        <v>44858</v>
      </c>
      <c r="B405" s="119">
        <v>44858</v>
      </c>
      <c r="C405" s="118" t="e">
        <f t="shared" ca="1" si="66"/>
        <v>#REF!</v>
      </c>
      <c r="D405" s="118" t="e">
        <f t="shared" ca="1" si="67"/>
        <v>#REF!</v>
      </c>
      <c r="E405" s="118" t="e">
        <f t="shared" ca="1" si="68"/>
        <v>#REF!</v>
      </c>
      <c r="F405" s="118" t="e">
        <f t="shared" ca="1" si="69"/>
        <v>#REF!</v>
      </c>
      <c r="G405" s="118" t="e">
        <f t="shared" ca="1" si="70"/>
        <v>#REF!</v>
      </c>
      <c r="H405" s="118" t="e">
        <f t="shared" ca="1" si="71"/>
        <v>#REF!</v>
      </c>
      <c r="I405" s="118" t="e">
        <f t="shared" ca="1" si="72"/>
        <v>#REF!</v>
      </c>
      <c r="J405" s="118" t="e">
        <f t="shared" ca="1" si="73"/>
        <v>#REF!</v>
      </c>
      <c r="K405" s="118" t="e">
        <f t="shared" ca="1" si="74"/>
        <v>#REF!</v>
      </c>
      <c r="L405" s="118" t="e">
        <f t="shared" ca="1" si="75"/>
        <v>#REF!</v>
      </c>
      <c r="M405" s="118" t="e">
        <f t="shared" ca="1" si="76"/>
        <v>#REF!</v>
      </c>
    </row>
    <row r="406" spans="1:13" x14ac:dyDescent="0.25">
      <c r="A406" s="119">
        <v>44859</v>
      </c>
      <c r="B406" s="119">
        <v>44859</v>
      </c>
      <c r="C406" s="118" t="e">
        <f t="shared" ca="1" si="66"/>
        <v>#REF!</v>
      </c>
      <c r="D406" s="118" t="e">
        <f t="shared" ca="1" si="67"/>
        <v>#REF!</v>
      </c>
      <c r="E406" s="118" t="e">
        <f t="shared" ca="1" si="68"/>
        <v>#REF!</v>
      </c>
      <c r="F406" s="118" t="e">
        <f t="shared" ca="1" si="69"/>
        <v>#REF!</v>
      </c>
      <c r="G406" s="118" t="e">
        <f t="shared" ca="1" si="70"/>
        <v>#REF!</v>
      </c>
      <c r="H406" s="118" t="e">
        <f t="shared" ca="1" si="71"/>
        <v>#REF!</v>
      </c>
      <c r="I406" s="118" t="e">
        <f t="shared" ca="1" si="72"/>
        <v>#REF!</v>
      </c>
      <c r="J406" s="118" t="e">
        <f t="shared" ca="1" si="73"/>
        <v>#REF!</v>
      </c>
      <c r="K406" s="118" t="e">
        <f t="shared" ca="1" si="74"/>
        <v>#REF!</v>
      </c>
      <c r="L406" s="118" t="e">
        <f t="shared" ca="1" si="75"/>
        <v>#REF!</v>
      </c>
      <c r="M406" s="118" t="e">
        <f t="shared" ca="1" si="76"/>
        <v>#REF!</v>
      </c>
    </row>
    <row r="407" spans="1:13" x14ac:dyDescent="0.25">
      <c r="A407" s="119">
        <v>44860</v>
      </c>
      <c r="B407" s="119">
        <v>44860</v>
      </c>
      <c r="C407" s="118" t="e">
        <f t="shared" ca="1" si="66"/>
        <v>#REF!</v>
      </c>
      <c r="D407" s="118" t="e">
        <f t="shared" ca="1" si="67"/>
        <v>#REF!</v>
      </c>
      <c r="E407" s="118" t="e">
        <f t="shared" ca="1" si="68"/>
        <v>#REF!</v>
      </c>
      <c r="F407" s="118" t="e">
        <f t="shared" ca="1" si="69"/>
        <v>#REF!</v>
      </c>
      <c r="G407" s="118" t="e">
        <f t="shared" ca="1" si="70"/>
        <v>#REF!</v>
      </c>
      <c r="H407" s="118" t="e">
        <f t="shared" ca="1" si="71"/>
        <v>#REF!</v>
      </c>
      <c r="I407" s="118" t="e">
        <f t="shared" ca="1" si="72"/>
        <v>#REF!</v>
      </c>
      <c r="J407" s="118" t="e">
        <f t="shared" ca="1" si="73"/>
        <v>#REF!</v>
      </c>
      <c r="K407" s="118" t="e">
        <f t="shared" ca="1" si="74"/>
        <v>#REF!</v>
      </c>
      <c r="L407" s="118" t="e">
        <f t="shared" ca="1" si="75"/>
        <v>#REF!</v>
      </c>
      <c r="M407" s="118" t="e">
        <f t="shared" ca="1" si="76"/>
        <v>#REF!</v>
      </c>
    </row>
    <row r="408" spans="1:13" x14ac:dyDescent="0.25">
      <c r="A408" s="119">
        <v>44861</v>
      </c>
      <c r="B408" s="119">
        <v>44861</v>
      </c>
      <c r="C408" s="118" t="e">
        <f t="shared" ca="1" si="66"/>
        <v>#REF!</v>
      </c>
      <c r="D408" s="118" t="e">
        <f t="shared" ca="1" si="67"/>
        <v>#REF!</v>
      </c>
      <c r="E408" s="118" t="e">
        <f t="shared" ca="1" si="68"/>
        <v>#REF!</v>
      </c>
      <c r="F408" s="118" t="e">
        <f t="shared" ca="1" si="69"/>
        <v>#REF!</v>
      </c>
      <c r="G408" s="118" t="e">
        <f t="shared" ca="1" si="70"/>
        <v>#REF!</v>
      </c>
      <c r="H408" s="118" t="e">
        <f t="shared" ca="1" si="71"/>
        <v>#REF!</v>
      </c>
      <c r="I408" s="118" t="e">
        <f t="shared" ca="1" si="72"/>
        <v>#REF!</v>
      </c>
      <c r="J408" s="118" t="e">
        <f t="shared" ca="1" si="73"/>
        <v>#REF!</v>
      </c>
      <c r="K408" s="118" t="e">
        <f t="shared" ca="1" si="74"/>
        <v>#REF!</v>
      </c>
      <c r="L408" s="118" t="e">
        <f t="shared" ca="1" si="75"/>
        <v>#REF!</v>
      </c>
      <c r="M408" s="118" t="e">
        <f t="shared" ca="1" si="76"/>
        <v>#REF!</v>
      </c>
    </row>
    <row r="409" spans="1:13" x14ac:dyDescent="0.25">
      <c r="A409" s="119" t="s">
        <v>207</v>
      </c>
      <c r="B409" s="119">
        <v>44862</v>
      </c>
      <c r="C409" s="118" t="e">
        <f t="shared" ca="1" si="66"/>
        <v>#REF!</v>
      </c>
      <c r="D409" s="118" t="e">
        <f t="shared" ca="1" si="67"/>
        <v>#REF!</v>
      </c>
      <c r="E409" s="118" t="e">
        <f t="shared" ca="1" si="68"/>
        <v>#REF!</v>
      </c>
      <c r="F409" s="118" t="e">
        <f t="shared" ca="1" si="69"/>
        <v>#REF!</v>
      </c>
      <c r="G409" s="118" t="e">
        <f t="shared" ca="1" si="70"/>
        <v>#REF!</v>
      </c>
      <c r="H409" s="118" t="e">
        <f t="shared" ca="1" si="71"/>
        <v>#REF!</v>
      </c>
      <c r="I409" s="118" t="e">
        <f t="shared" ca="1" si="72"/>
        <v>#REF!</v>
      </c>
      <c r="J409" s="118" t="e">
        <f t="shared" ca="1" si="73"/>
        <v>#REF!</v>
      </c>
      <c r="K409" s="118" t="e">
        <f t="shared" ca="1" si="74"/>
        <v>#REF!</v>
      </c>
      <c r="L409" s="118" t="e">
        <f t="shared" ca="1" si="75"/>
        <v>#REF!</v>
      </c>
      <c r="M409" s="118" t="e">
        <f t="shared" ca="1" si="76"/>
        <v>#REF!</v>
      </c>
    </row>
    <row r="410" spans="1:13" x14ac:dyDescent="0.25">
      <c r="A410" s="119">
        <v>44863</v>
      </c>
      <c r="B410" s="119">
        <v>44863</v>
      </c>
      <c r="C410" s="118" t="e">
        <f t="shared" ca="1" si="66"/>
        <v>#REF!</v>
      </c>
      <c r="D410" s="118" t="e">
        <f t="shared" ca="1" si="67"/>
        <v>#REF!</v>
      </c>
      <c r="E410" s="118" t="e">
        <f t="shared" ca="1" si="68"/>
        <v>#REF!</v>
      </c>
      <c r="F410" s="118" t="e">
        <f t="shared" ca="1" si="69"/>
        <v>#REF!</v>
      </c>
      <c r="G410" s="118" t="e">
        <f t="shared" ca="1" si="70"/>
        <v>#REF!</v>
      </c>
      <c r="H410" s="118" t="e">
        <f t="shared" ca="1" si="71"/>
        <v>#REF!</v>
      </c>
      <c r="I410" s="118" t="e">
        <f t="shared" ca="1" si="72"/>
        <v>#REF!</v>
      </c>
      <c r="J410" s="118" t="e">
        <f t="shared" ca="1" si="73"/>
        <v>#REF!</v>
      </c>
      <c r="K410" s="118" t="e">
        <f t="shared" ca="1" si="74"/>
        <v>#REF!</v>
      </c>
      <c r="L410" s="118" t="e">
        <f t="shared" ca="1" si="75"/>
        <v>#REF!</v>
      </c>
      <c r="M410" s="118" t="e">
        <f t="shared" ca="1" si="76"/>
        <v>#REF!</v>
      </c>
    </row>
    <row r="411" spans="1:13" x14ac:dyDescent="0.25">
      <c r="A411" s="119">
        <v>44864</v>
      </c>
      <c r="B411" s="119">
        <v>44864</v>
      </c>
      <c r="C411" s="118" t="e">
        <f t="shared" ca="1" si="66"/>
        <v>#REF!</v>
      </c>
      <c r="D411" s="118" t="e">
        <f t="shared" ca="1" si="67"/>
        <v>#REF!</v>
      </c>
      <c r="E411" s="118" t="e">
        <f t="shared" ca="1" si="68"/>
        <v>#REF!</v>
      </c>
      <c r="F411" s="118" t="e">
        <f t="shared" ca="1" si="69"/>
        <v>#REF!</v>
      </c>
      <c r="G411" s="118" t="e">
        <f t="shared" ca="1" si="70"/>
        <v>#REF!</v>
      </c>
      <c r="H411" s="118" t="e">
        <f t="shared" ca="1" si="71"/>
        <v>#REF!</v>
      </c>
      <c r="I411" s="118" t="e">
        <f t="shared" ca="1" si="72"/>
        <v>#REF!</v>
      </c>
      <c r="J411" s="118" t="e">
        <f t="shared" ca="1" si="73"/>
        <v>#REF!</v>
      </c>
      <c r="K411" s="118" t="e">
        <f t="shared" ca="1" si="74"/>
        <v>#REF!</v>
      </c>
      <c r="L411" s="118" t="e">
        <f t="shared" ca="1" si="75"/>
        <v>#REF!</v>
      </c>
      <c r="M411" s="118" t="e">
        <f t="shared" ca="1" si="76"/>
        <v>#REF!</v>
      </c>
    </row>
    <row r="412" spans="1:13" x14ac:dyDescent="0.25">
      <c r="A412" s="119">
        <v>44865</v>
      </c>
      <c r="B412" s="119">
        <v>44865</v>
      </c>
      <c r="C412" s="118" t="e">
        <f t="shared" ca="1" si="66"/>
        <v>#REF!</v>
      </c>
      <c r="D412" s="118" t="e">
        <f t="shared" ca="1" si="67"/>
        <v>#REF!</v>
      </c>
      <c r="E412" s="118" t="e">
        <f t="shared" ca="1" si="68"/>
        <v>#REF!</v>
      </c>
      <c r="F412" s="118" t="e">
        <f t="shared" ca="1" si="69"/>
        <v>#REF!</v>
      </c>
      <c r="G412" s="118" t="e">
        <f t="shared" ca="1" si="70"/>
        <v>#REF!</v>
      </c>
      <c r="H412" s="118" t="e">
        <f t="shared" ca="1" si="71"/>
        <v>#REF!</v>
      </c>
      <c r="I412" s="118" t="e">
        <f t="shared" ca="1" si="72"/>
        <v>#REF!</v>
      </c>
      <c r="J412" s="118" t="e">
        <f t="shared" ca="1" si="73"/>
        <v>#REF!</v>
      </c>
      <c r="K412" s="118" t="e">
        <f t="shared" ca="1" si="74"/>
        <v>#REF!</v>
      </c>
      <c r="L412" s="118" t="e">
        <f t="shared" ca="1" si="75"/>
        <v>#REF!</v>
      </c>
      <c r="M412" s="118" t="e">
        <f t="shared" ca="1" si="76"/>
        <v>#REF!</v>
      </c>
    </row>
    <row r="413" spans="1:13" x14ac:dyDescent="0.25">
      <c r="A413" s="119">
        <v>44866</v>
      </c>
      <c r="B413" s="119">
        <v>44866</v>
      </c>
      <c r="C413" s="118" t="e">
        <f t="shared" ca="1" si="66"/>
        <v>#REF!</v>
      </c>
      <c r="D413" s="118" t="e">
        <f t="shared" ca="1" si="67"/>
        <v>#REF!</v>
      </c>
      <c r="E413" s="118" t="e">
        <f t="shared" ca="1" si="68"/>
        <v>#REF!</v>
      </c>
      <c r="F413" s="118" t="e">
        <f t="shared" ca="1" si="69"/>
        <v>#REF!</v>
      </c>
      <c r="G413" s="118" t="e">
        <f t="shared" ca="1" si="70"/>
        <v>#REF!</v>
      </c>
      <c r="H413" s="118" t="e">
        <f t="shared" ca="1" si="71"/>
        <v>#REF!</v>
      </c>
      <c r="I413" s="118" t="e">
        <f t="shared" ca="1" si="72"/>
        <v>#REF!</v>
      </c>
      <c r="J413" s="118" t="e">
        <f t="shared" ca="1" si="73"/>
        <v>#REF!</v>
      </c>
      <c r="K413" s="118" t="e">
        <f t="shared" ca="1" si="74"/>
        <v>#REF!</v>
      </c>
      <c r="L413" s="118" t="e">
        <f t="shared" ca="1" si="75"/>
        <v>#REF!</v>
      </c>
      <c r="M413" s="118" t="e">
        <f t="shared" ca="1" si="76"/>
        <v>#REF!</v>
      </c>
    </row>
    <row r="414" spans="1:13" x14ac:dyDescent="0.25">
      <c r="A414" s="119">
        <v>44867</v>
      </c>
      <c r="B414" s="119">
        <v>44867</v>
      </c>
      <c r="C414" s="118" t="e">
        <f t="shared" ca="1" si="66"/>
        <v>#REF!</v>
      </c>
      <c r="D414" s="118" t="e">
        <f t="shared" ca="1" si="67"/>
        <v>#REF!</v>
      </c>
      <c r="E414" s="118" t="e">
        <f t="shared" ca="1" si="68"/>
        <v>#REF!</v>
      </c>
      <c r="F414" s="118" t="e">
        <f t="shared" ca="1" si="69"/>
        <v>#REF!</v>
      </c>
      <c r="G414" s="118" t="e">
        <f t="shared" ca="1" si="70"/>
        <v>#REF!</v>
      </c>
      <c r="H414" s="118" t="e">
        <f t="shared" ca="1" si="71"/>
        <v>#REF!</v>
      </c>
      <c r="I414" s="118" t="e">
        <f t="shared" ca="1" si="72"/>
        <v>#REF!</v>
      </c>
      <c r="J414" s="118" t="e">
        <f t="shared" ca="1" si="73"/>
        <v>#REF!</v>
      </c>
      <c r="K414" s="118" t="e">
        <f t="shared" ca="1" si="74"/>
        <v>#REF!</v>
      </c>
      <c r="L414" s="118" t="e">
        <f t="shared" ca="1" si="75"/>
        <v>#REF!</v>
      </c>
      <c r="M414" s="118" t="e">
        <f t="shared" ca="1" si="76"/>
        <v>#REF!</v>
      </c>
    </row>
    <row r="415" spans="1:13" x14ac:dyDescent="0.25">
      <c r="A415" s="119">
        <v>44868</v>
      </c>
      <c r="B415" s="119">
        <v>44868</v>
      </c>
      <c r="C415" s="118" t="e">
        <f t="shared" ca="1" si="66"/>
        <v>#REF!</v>
      </c>
      <c r="D415" s="118" t="e">
        <f t="shared" ca="1" si="67"/>
        <v>#REF!</v>
      </c>
      <c r="E415" s="118" t="e">
        <f t="shared" ca="1" si="68"/>
        <v>#REF!</v>
      </c>
      <c r="F415" s="118" t="e">
        <f t="shared" ca="1" si="69"/>
        <v>#REF!</v>
      </c>
      <c r="G415" s="118" t="e">
        <f t="shared" ca="1" si="70"/>
        <v>#REF!</v>
      </c>
      <c r="H415" s="118" t="e">
        <f t="shared" ca="1" si="71"/>
        <v>#REF!</v>
      </c>
      <c r="I415" s="118" t="e">
        <f t="shared" ca="1" si="72"/>
        <v>#REF!</v>
      </c>
      <c r="J415" s="118" t="e">
        <f t="shared" ca="1" si="73"/>
        <v>#REF!</v>
      </c>
      <c r="K415" s="118" t="e">
        <f t="shared" ca="1" si="74"/>
        <v>#REF!</v>
      </c>
      <c r="L415" s="118" t="e">
        <f t="shared" ca="1" si="75"/>
        <v>#REF!</v>
      </c>
      <c r="M415" s="118" t="e">
        <f t="shared" ca="1" si="76"/>
        <v>#REF!</v>
      </c>
    </row>
    <row r="416" spans="1:13" x14ac:dyDescent="0.25">
      <c r="A416" s="119" t="s">
        <v>208</v>
      </c>
      <c r="B416" s="119">
        <v>44869</v>
      </c>
      <c r="C416" s="118" t="e">
        <f t="shared" ca="1" si="66"/>
        <v>#REF!</v>
      </c>
      <c r="D416" s="118" t="e">
        <f t="shared" ca="1" si="67"/>
        <v>#REF!</v>
      </c>
      <c r="E416" s="118" t="e">
        <f t="shared" ca="1" si="68"/>
        <v>#REF!</v>
      </c>
      <c r="F416" s="118" t="e">
        <f t="shared" ca="1" si="69"/>
        <v>#REF!</v>
      </c>
      <c r="G416" s="118" t="e">
        <f t="shared" ca="1" si="70"/>
        <v>#REF!</v>
      </c>
      <c r="H416" s="118" t="e">
        <f t="shared" ca="1" si="71"/>
        <v>#REF!</v>
      </c>
      <c r="I416" s="118" t="e">
        <f t="shared" ca="1" si="72"/>
        <v>#REF!</v>
      </c>
      <c r="J416" s="118" t="e">
        <f t="shared" ca="1" si="73"/>
        <v>#REF!</v>
      </c>
      <c r="K416" s="118" t="e">
        <f t="shared" ca="1" si="74"/>
        <v>#REF!</v>
      </c>
      <c r="L416" s="118" t="e">
        <f t="shared" ca="1" si="75"/>
        <v>#REF!</v>
      </c>
      <c r="M416" s="118" t="e">
        <f t="shared" ca="1" si="76"/>
        <v>#REF!</v>
      </c>
    </row>
    <row r="417" spans="1:13" x14ac:dyDescent="0.25">
      <c r="A417" s="119">
        <v>44870</v>
      </c>
      <c r="B417" s="119">
        <v>44870</v>
      </c>
      <c r="C417" s="118" t="e">
        <f t="shared" ca="1" si="66"/>
        <v>#REF!</v>
      </c>
      <c r="D417" s="118" t="e">
        <f t="shared" ca="1" si="67"/>
        <v>#REF!</v>
      </c>
      <c r="E417" s="118" t="e">
        <f t="shared" ca="1" si="68"/>
        <v>#REF!</v>
      </c>
      <c r="F417" s="118" t="e">
        <f t="shared" ca="1" si="69"/>
        <v>#REF!</v>
      </c>
      <c r="G417" s="118" t="e">
        <f t="shared" ca="1" si="70"/>
        <v>#REF!</v>
      </c>
      <c r="H417" s="118" t="e">
        <f t="shared" ca="1" si="71"/>
        <v>#REF!</v>
      </c>
      <c r="I417" s="118" t="e">
        <f t="shared" ca="1" si="72"/>
        <v>#REF!</v>
      </c>
      <c r="J417" s="118" t="e">
        <f t="shared" ca="1" si="73"/>
        <v>#REF!</v>
      </c>
      <c r="K417" s="118" t="e">
        <f t="shared" ca="1" si="74"/>
        <v>#REF!</v>
      </c>
      <c r="L417" s="118" t="e">
        <f t="shared" ca="1" si="75"/>
        <v>#REF!</v>
      </c>
      <c r="M417" s="118" t="e">
        <f t="shared" ca="1" si="76"/>
        <v>#REF!</v>
      </c>
    </row>
    <row r="418" spans="1:13" x14ac:dyDescent="0.25">
      <c r="A418" s="119">
        <v>44871</v>
      </c>
      <c r="B418" s="119">
        <v>44871</v>
      </c>
      <c r="C418" s="118" t="e">
        <f t="shared" ca="1" si="66"/>
        <v>#REF!</v>
      </c>
      <c r="D418" s="118" t="e">
        <f t="shared" ca="1" si="67"/>
        <v>#REF!</v>
      </c>
      <c r="E418" s="118" t="e">
        <f t="shared" ca="1" si="68"/>
        <v>#REF!</v>
      </c>
      <c r="F418" s="118" t="e">
        <f t="shared" ca="1" si="69"/>
        <v>#REF!</v>
      </c>
      <c r="G418" s="118" t="e">
        <f t="shared" ca="1" si="70"/>
        <v>#REF!</v>
      </c>
      <c r="H418" s="118" t="e">
        <f t="shared" ca="1" si="71"/>
        <v>#REF!</v>
      </c>
      <c r="I418" s="118" t="e">
        <f t="shared" ca="1" si="72"/>
        <v>#REF!</v>
      </c>
      <c r="J418" s="118" t="e">
        <f t="shared" ca="1" si="73"/>
        <v>#REF!</v>
      </c>
      <c r="K418" s="118" t="e">
        <f t="shared" ca="1" si="74"/>
        <v>#REF!</v>
      </c>
      <c r="L418" s="118" t="e">
        <f t="shared" ca="1" si="75"/>
        <v>#REF!</v>
      </c>
      <c r="M418" s="118" t="e">
        <f t="shared" ca="1" si="76"/>
        <v>#REF!</v>
      </c>
    </row>
    <row r="419" spans="1:13" x14ac:dyDescent="0.25">
      <c r="A419" s="119">
        <v>44872</v>
      </c>
      <c r="B419" s="119">
        <v>44872</v>
      </c>
      <c r="C419" s="118" t="e">
        <f t="shared" ca="1" si="66"/>
        <v>#REF!</v>
      </c>
      <c r="D419" s="118" t="e">
        <f t="shared" ca="1" si="67"/>
        <v>#REF!</v>
      </c>
      <c r="E419" s="118" t="e">
        <f t="shared" ca="1" si="68"/>
        <v>#REF!</v>
      </c>
      <c r="F419" s="118" t="e">
        <f t="shared" ca="1" si="69"/>
        <v>#REF!</v>
      </c>
      <c r="G419" s="118" t="e">
        <f t="shared" ca="1" si="70"/>
        <v>#REF!</v>
      </c>
      <c r="H419" s="118" t="e">
        <f t="shared" ca="1" si="71"/>
        <v>#REF!</v>
      </c>
      <c r="I419" s="118" t="e">
        <f t="shared" ca="1" si="72"/>
        <v>#REF!</v>
      </c>
      <c r="J419" s="118" t="e">
        <f t="shared" ca="1" si="73"/>
        <v>#REF!</v>
      </c>
      <c r="K419" s="118" t="e">
        <f t="shared" ca="1" si="74"/>
        <v>#REF!</v>
      </c>
      <c r="L419" s="118" t="e">
        <f t="shared" ca="1" si="75"/>
        <v>#REF!</v>
      </c>
      <c r="M419" s="118" t="e">
        <f t="shared" ca="1" si="76"/>
        <v>#REF!</v>
      </c>
    </row>
    <row r="420" spans="1:13" x14ac:dyDescent="0.25">
      <c r="A420" s="119">
        <v>44873</v>
      </c>
      <c r="B420" s="119">
        <v>44873</v>
      </c>
      <c r="C420" s="118" t="e">
        <f t="shared" ca="1" si="66"/>
        <v>#REF!</v>
      </c>
      <c r="D420" s="118" t="e">
        <f t="shared" ca="1" si="67"/>
        <v>#REF!</v>
      </c>
      <c r="E420" s="118" t="e">
        <f t="shared" ca="1" si="68"/>
        <v>#REF!</v>
      </c>
      <c r="F420" s="118" t="e">
        <f t="shared" ca="1" si="69"/>
        <v>#REF!</v>
      </c>
      <c r="G420" s="118" t="e">
        <f t="shared" ca="1" si="70"/>
        <v>#REF!</v>
      </c>
      <c r="H420" s="118" t="e">
        <f t="shared" ca="1" si="71"/>
        <v>#REF!</v>
      </c>
      <c r="I420" s="118" t="e">
        <f t="shared" ca="1" si="72"/>
        <v>#REF!</v>
      </c>
      <c r="J420" s="118" t="e">
        <f t="shared" ca="1" si="73"/>
        <v>#REF!</v>
      </c>
      <c r="K420" s="118" t="e">
        <f t="shared" ca="1" si="74"/>
        <v>#REF!</v>
      </c>
      <c r="L420" s="118" t="e">
        <f t="shared" ca="1" si="75"/>
        <v>#REF!</v>
      </c>
      <c r="M420" s="118" t="e">
        <f t="shared" ca="1" si="76"/>
        <v>#REF!</v>
      </c>
    </row>
    <row r="421" spans="1:13" x14ac:dyDescent="0.25">
      <c r="A421" s="119">
        <v>44874</v>
      </c>
      <c r="B421" s="119">
        <v>44874</v>
      </c>
      <c r="C421" s="118" t="e">
        <f t="shared" ca="1" si="66"/>
        <v>#REF!</v>
      </c>
      <c r="D421" s="118" t="e">
        <f t="shared" ca="1" si="67"/>
        <v>#REF!</v>
      </c>
      <c r="E421" s="118" t="e">
        <f t="shared" ca="1" si="68"/>
        <v>#REF!</v>
      </c>
      <c r="F421" s="118" t="e">
        <f t="shared" ca="1" si="69"/>
        <v>#REF!</v>
      </c>
      <c r="G421" s="118" t="e">
        <f t="shared" ca="1" si="70"/>
        <v>#REF!</v>
      </c>
      <c r="H421" s="118" t="e">
        <f t="shared" ca="1" si="71"/>
        <v>#REF!</v>
      </c>
      <c r="I421" s="118" t="e">
        <f t="shared" ca="1" si="72"/>
        <v>#REF!</v>
      </c>
      <c r="J421" s="118" t="e">
        <f t="shared" ca="1" si="73"/>
        <v>#REF!</v>
      </c>
      <c r="K421" s="118" t="e">
        <f t="shared" ca="1" si="74"/>
        <v>#REF!</v>
      </c>
      <c r="L421" s="118" t="e">
        <f t="shared" ca="1" si="75"/>
        <v>#REF!</v>
      </c>
      <c r="M421" s="118" t="e">
        <f t="shared" ca="1" si="76"/>
        <v>#REF!</v>
      </c>
    </row>
    <row r="422" spans="1:13" x14ac:dyDescent="0.25">
      <c r="A422" s="119" t="s">
        <v>209</v>
      </c>
      <c r="B422" s="119">
        <v>44875</v>
      </c>
      <c r="C422" s="118" t="e">
        <f t="shared" ca="1" si="66"/>
        <v>#REF!</v>
      </c>
      <c r="D422" s="118" t="e">
        <f t="shared" ca="1" si="67"/>
        <v>#REF!</v>
      </c>
      <c r="E422" s="118" t="e">
        <f t="shared" ca="1" si="68"/>
        <v>#REF!</v>
      </c>
      <c r="F422" s="118" t="e">
        <f t="shared" ca="1" si="69"/>
        <v>#REF!</v>
      </c>
      <c r="G422" s="118" t="e">
        <f t="shared" ca="1" si="70"/>
        <v>#REF!</v>
      </c>
      <c r="H422" s="118" t="e">
        <f t="shared" ca="1" si="71"/>
        <v>#REF!</v>
      </c>
      <c r="I422" s="118" t="e">
        <f t="shared" ca="1" si="72"/>
        <v>#REF!</v>
      </c>
      <c r="J422" s="118" t="e">
        <f t="shared" ca="1" si="73"/>
        <v>#REF!</v>
      </c>
      <c r="K422" s="118" t="e">
        <f t="shared" ca="1" si="74"/>
        <v>#REF!</v>
      </c>
      <c r="L422" s="118" t="e">
        <f t="shared" ca="1" si="75"/>
        <v>#REF!</v>
      </c>
      <c r="M422" s="118" t="e">
        <f t="shared" ca="1" si="76"/>
        <v>#REF!</v>
      </c>
    </row>
    <row r="423" spans="1:13" x14ac:dyDescent="0.25">
      <c r="A423" s="119">
        <v>44876</v>
      </c>
      <c r="B423" s="119">
        <v>44876</v>
      </c>
      <c r="C423" s="118" t="e">
        <f t="shared" ca="1" si="66"/>
        <v>#REF!</v>
      </c>
      <c r="D423" s="118" t="e">
        <f t="shared" ca="1" si="67"/>
        <v>#REF!</v>
      </c>
      <c r="E423" s="118" t="e">
        <f t="shared" ca="1" si="68"/>
        <v>#REF!</v>
      </c>
      <c r="F423" s="118" t="e">
        <f t="shared" ca="1" si="69"/>
        <v>#REF!</v>
      </c>
      <c r="G423" s="118" t="e">
        <f t="shared" ca="1" si="70"/>
        <v>#REF!</v>
      </c>
      <c r="H423" s="118" t="e">
        <f t="shared" ca="1" si="71"/>
        <v>#REF!</v>
      </c>
      <c r="I423" s="118" t="e">
        <f t="shared" ca="1" si="72"/>
        <v>#REF!</v>
      </c>
      <c r="J423" s="118" t="e">
        <f t="shared" ca="1" si="73"/>
        <v>#REF!</v>
      </c>
      <c r="K423" s="118" t="e">
        <f t="shared" ca="1" si="74"/>
        <v>#REF!</v>
      </c>
      <c r="L423" s="118" t="e">
        <f t="shared" ca="1" si="75"/>
        <v>#REF!</v>
      </c>
      <c r="M423" s="118" t="e">
        <f t="shared" ca="1" si="76"/>
        <v>#REF!</v>
      </c>
    </row>
    <row r="424" spans="1:13" x14ac:dyDescent="0.25">
      <c r="A424" s="119">
        <v>44877</v>
      </c>
      <c r="B424" s="119">
        <v>44877</v>
      </c>
      <c r="C424" s="118" t="e">
        <f t="shared" ca="1" si="66"/>
        <v>#REF!</v>
      </c>
      <c r="D424" s="118" t="e">
        <f t="shared" ca="1" si="67"/>
        <v>#REF!</v>
      </c>
      <c r="E424" s="118" t="e">
        <f t="shared" ca="1" si="68"/>
        <v>#REF!</v>
      </c>
      <c r="F424" s="118" t="e">
        <f t="shared" ca="1" si="69"/>
        <v>#REF!</v>
      </c>
      <c r="G424" s="118" t="e">
        <f t="shared" ca="1" si="70"/>
        <v>#REF!</v>
      </c>
      <c r="H424" s="118" t="e">
        <f t="shared" ca="1" si="71"/>
        <v>#REF!</v>
      </c>
      <c r="I424" s="118" t="e">
        <f t="shared" ca="1" si="72"/>
        <v>#REF!</v>
      </c>
      <c r="J424" s="118" t="e">
        <f t="shared" ca="1" si="73"/>
        <v>#REF!</v>
      </c>
      <c r="K424" s="118" t="e">
        <f t="shared" ca="1" si="74"/>
        <v>#REF!</v>
      </c>
      <c r="L424" s="118" t="e">
        <f t="shared" ca="1" si="75"/>
        <v>#REF!</v>
      </c>
      <c r="M424" s="118" t="e">
        <f t="shared" ca="1" si="76"/>
        <v>#REF!</v>
      </c>
    </row>
    <row r="425" spans="1:13" x14ac:dyDescent="0.25">
      <c r="A425" s="119">
        <v>44878</v>
      </c>
      <c r="B425" s="119">
        <v>44878</v>
      </c>
      <c r="C425" s="118" t="e">
        <f t="shared" ca="1" si="66"/>
        <v>#REF!</v>
      </c>
      <c r="D425" s="118" t="e">
        <f t="shared" ca="1" si="67"/>
        <v>#REF!</v>
      </c>
      <c r="E425" s="118" t="e">
        <f t="shared" ca="1" si="68"/>
        <v>#REF!</v>
      </c>
      <c r="F425" s="118" t="e">
        <f t="shared" ca="1" si="69"/>
        <v>#REF!</v>
      </c>
      <c r="G425" s="118" t="e">
        <f t="shared" ca="1" si="70"/>
        <v>#REF!</v>
      </c>
      <c r="H425" s="118" t="e">
        <f t="shared" ca="1" si="71"/>
        <v>#REF!</v>
      </c>
      <c r="I425" s="118" t="e">
        <f t="shared" ca="1" si="72"/>
        <v>#REF!</v>
      </c>
      <c r="J425" s="118" t="e">
        <f t="shared" ca="1" si="73"/>
        <v>#REF!</v>
      </c>
      <c r="K425" s="118" t="e">
        <f t="shared" ca="1" si="74"/>
        <v>#REF!</v>
      </c>
      <c r="L425" s="118" t="e">
        <f t="shared" ca="1" si="75"/>
        <v>#REF!</v>
      </c>
      <c r="M425" s="118" t="e">
        <f t="shared" ca="1" si="76"/>
        <v>#REF!</v>
      </c>
    </row>
    <row r="426" spans="1:13" x14ac:dyDescent="0.25">
      <c r="A426" s="119">
        <v>44879</v>
      </c>
      <c r="B426" s="119">
        <v>44879</v>
      </c>
      <c r="C426" s="118" t="e">
        <f t="shared" ca="1" si="66"/>
        <v>#REF!</v>
      </c>
      <c r="D426" s="118" t="e">
        <f t="shared" ca="1" si="67"/>
        <v>#REF!</v>
      </c>
      <c r="E426" s="118" t="e">
        <f t="shared" ca="1" si="68"/>
        <v>#REF!</v>
      </c>
      <c r="F426" s="118" t="e">
        <f t="shared" ca="1" si="69"/>
        <v>#REF!</v>
      </c>
      <c r="G426" s="118" t="e">
        <f t="shared" ca="1" si="70"/>
        <v>#REF!</v>
      </c>
      <c r="H426" s="118" t="e">
        <f t="shared" ca="1" si="71"/>
        <v>#REF!</v>
      </c>
      <c r="I426" s="118" t="e">
        <f t="shared" ca="1" si="72"/>
        <v>#REF!</v>
      </c>
      <c r="J426" s="118" t="e">
        <f t="shared" ca="1" si="73"/>
        <v>#REF!</v>
      </c>
      <c r="K426" s="118" t="e">
        <f t="shared" ca="1" si="74"/>
        <v>#REF!</v>
      </c>
      <c r="L426" s="118" t="e">
        <f t="shared" ca="1" si="75"/>
        <v>#REF!</v>
      </c>
      <c r="M426" s="118" t="e">
        <f t="shared" ca="1" si="76"/>
        <v>#REF!</v>
      </c>
    </row>
    <row r="427" spans="1:13" x14ac:dyDescent="0.25">
      <c r="A427" s="119">
        <v>44880</v>
      </c>
      <c r="B427" s="119">
        <v>44880</v>
      </c>
      <c r="C427" s="118" t="e">
        <f t="shared" ca="1" si="66"/>
        <v>#REF!</v>
      </c>
      <c r="D427" s="118" t="e">
        <f t="shared" ca="1" si="67"/>
        <v>#REF!</v>
      </c>
      <c r="E427" s="118" t="e">
        <f t="shared" ca="1" si="68"/>
        <v>#REF!</v>
      </c>
      <c r="F427" s="118" t="e">
        <f t="shared" ca="1" si="69"/>
        <v>#REF!</v>
      </c>
      <c r="G427" s="118" t="e">
        <f t="shared" ca="1" si="70"/>
        <v>#REF!</v>
      </c>
      <c r="H427" s="118" t="e">
        <f t="shared" ca="1" si="71"/>
        <v>#REF!</v>
      </c>
      <c r="I427" s="118" t="e">
        <f t="shared" ca="1" si="72"/>
        <v>#REF!</v>
      </c>
      <c r="J427" s="118" t="e">
        <f t="shared" ca="1" si="73"/>
        <v>#REF!</v>
      </c>
      <c r="K427" s="118" t="e">
        <f t="shared" ca="1" si="74"/>
        <v>#REF!</v>
      </c>
      <c r="L427" s="118" t="e">
        <f t="shared" ca="1" si="75"/>
        <v>#REF!</v>
      </c>
      <c r="M427" s="118" t="e">
        <f t="shared" ca="1" si="76"/>
        <v>#REF!</v>
      </c>
    </row>
    <row r="428" spans="1:13" x14ac:dyDescent="0.25">
      <c r="A428" s="119">
        <v>44881</v>
      </c>
      <c r="B428" s="119">
        <v>44881</v>
      </c>
      <c r="C428" s="118" t="e">
        <f t="shared" ca="1" si="66"/>
        <v>#REF!</v>
      </c>
      <c r="D428" s="118" t="e">
        <f t="shared" ca="1" si="67"/>
        <v>#REF!</v>
      </c>
      <c r="E428" s="118" t="e">
        <f t="shared" ca="1" si="68"/>
        <v>#REF!</v>
      </c>
      <c r="F428" s="118" t="e">
        <f t="shared" ca="1" si="69"/>
        <v>#REF!</v>
      </c>
      <c r="G428" s="118" t="e">
        <f t="shared" ca="1" si="70"/>
        <v>#REF!</v>
      </c>
      <c r="H428" s="118" t="e">
        <f t="shared" ca="1" si="71"/>
        <v>#REF!</v>
      </c>
      <c r="I428" s="118" t="e">
        <f t="shared" ca="1" si="72"/>
        <v>#REF!</v>
      </c>
      <c r="J428" s="118" t="e">
        <f t="shared" ca="1" si="73"/>
        <v>#REF!</v>
      </c>
      <c r="K428" s="118" t="e">
        <f t="shared" ca="1" si="74"/>
        <v>#REF!</v>
      </c>
      <c r="L428" s="118" t="e">
        <f t="shared" ca="1" si="75"/>
        <v>#REF!</v>
      </c>
      <c r="M428" s="118" t="e">
        <f t="shared" ca="1" si="76"/>
        <v>#REF!</v>
      </c>
    </row>
    <row r="429" spans="1:13" x14ac:dyDescent="0.25">
      <c r="A429" s="119" t="s">
        <v>210</v>
      </c>
      <c r="B429" s="119">
        <v>44882</v>
      </c>
      <c r="C429" s="118" t="e">
        <f t="shared" ca="1" si="66"/>
        <v>#REF!</v>
      </c>
      <c r="D429" s="118" t="e">
        <f t="shared" ca="1" si="67"/>
        <v>#REF!</v>
      </c>
      <c r="E429" s="118" t="e">
        <f t="shared" ca="1" si="68"/>
        <v>#REF!</v>
      </c>
      <c r="F429" s="118" t="e">
        <f t="shared" ca="1" si="69"/>
        <v>#REF!</v>
      </c>
      <c r="G429" s="118" t="e">
        <f t="shared" ca="1" si="70"/>
        <v>#REF!</v>
      </c>
      <c r="H429" s="118" t="e">
        <f t="shared" ca="1" si="71"/>
        <v>#REF!</v>
      </c>
      <c r="I429" s="118" t="e">
        <f t="shared" ca="1" si="72"/>
        <v>#REF!</v>
      </c>
      <c r="J429" s="118" t="e">
        <f t="shared" ca="1" si="73"/>
        <v>#REF!</v>
      </c>
      <c r="K429" s="118" t="e">
        <f t="shared" ca="1" si="74"/>
        <v>#REF!</v>
      </c>
      <c r="L429" s="118" t="e">
        <f t="shared" ca="1" si="75"/>
        <v>#REF!</v>
      </c>
      <c r="M429" s="118" t="e">
        <f t="shared" ca="1" si="76"/>
        <v>#REF!</v>
      </c>
    </row>
    <row r="430" spans="1:13" x14ac:dyDescent="0.25">
      <c r="A430" s="119">
        <v>44883</v>
      </c>
      <c r="B430" s="119">
        <v>44883</v>
      </c>
      <c r="C430" s="118" t="e">
        <f t="shared" ca="1" si="66"/>
        <v>#REF!</v>
      </c>
      <c r="D430" s="118" t="e">
        <f t="shared" ca="1" si="67"/>
        <v>#REF!</v>
      </c>
      <c r="E430" s="118" t="e">
        <f t="shared" ca="1" si="68"/>
        <v>#REF!</v>
      </c>
      <c r="F430" s="118" t="e">
        <f t="shared" ca="1" si="69"/>
        <v>#REF!</v>
      </c>
      <c r="G430" s="118" t="e">
        <f t="shared" ca="1" si="70"/>
        <v>#REF!</v>
      </c>
      <c r="H430" s="118" t="e">
        <f t="shared" ca="1" si="71"/>
        <v>#REF!</v>
      </c>
      <c r="I430" s="118" t="e">
        <f t="shared" ca="1" si="72"/>
        <v>#REF!</v>
      </c>
      <c r="J430" s="118" t="e">
        <f t="shared" ca="1" si="73"/>
        <v>#REF!</v>
      </c>
      <c r="K430" s="118" t="e">
        <f t="shared" ca="1" si="74"/>
        <v>#REF!</v>
      </c>
      <c r="L430" s="118" t="e">
        <f t="shared" ca="1" si="75"/>
        <v>#REF!</v>
      </c>
      <c r="M430" s="118" t="e">
        <f t="shared" ca="1" si="76"/>
        <v>#REF!</v>
      </c>
    </row>
    <row r="431" spans="1:13" x14ac:dyDescent="0.25">
      <c r="A431" s="119">
        <v>44884</v>
      </c>
      <c r="B431" s="119">
        <v>44884</v>
      </c>
      <c r="C431" s="118" t="e">
        <f t="shared" ca="1" si="66"/>
        <v>#REF!</v>
      </c>
      <c r="D431" s="118" t="e">
        <f t="shared" ca="1" si="67"/>
        <v>#REF!</v>
      </c>
      <c r="E431" s="118" t="e">
        <f t="shared" ca="1" si="68"/>
        <v>#REF!</v>
      </c>
      <c r="F431" s="118" t="e">
        <f t="shared" ca="1" si="69"/>
        <v>#REF!</v>
      </c>
      <c r="G431" s="118" t="e">
        <f t="shared" ca="1" si="70"/>
        <v>#REF!</v>
      </c>
      <c r="H431" s="118" t="e">
        <f t="shared" ca="1" si="71"/>
        <v>#REF!</v>
      </c>
      <c r="I431" s="118" t="e">
        <f t="shared" ca="1" si="72"/>
        <v>#REF!</v>
      </c>
      <c r="J431" s="118" t="e">
        <f t="shared" ca="1" si="73"/>
        <v>#REF!</v>
      </c>
      <c r="K431" s="118" t="e">
        <f t="shared" ca="1" si="74"/>
        <v>#REF!</v>
      </c>
      <c r="L431" s="118" t="e">
        <f t="shared" ca="1" si="75"/>
        <v>#REF!</v>
      </c>
      <c r="M431" s="118" t="e">
        <f t="shared" ca="1" si="76"/>
        <v>#REF!</v>
      </c>
    </row>
    <row r="432" spans="1:13" x14ac:dyDescent="0.25">
      <c r="A432" s="119">
        <v>44885</v>
      </c>
      <c r="B432" s="119">
        <v>44885</v>
      </c>
      <c r="C432" s="118" t="e">
        <f t="shared" ca="1" si="66"/>
        <v>#REF!</v>
      </c>
      <c r="D432" s="118" t="e">
        <f t="shared" ca="1" si="67"/>
        <v>#REF!</v>
      </c>
      <c r="E432" s="118" t="e">
        <f t="shared" ca="1" si="68"/>
        <v>#REF!</v>
      </c>
      <c r="F432" s="118" t="e">
        <f t="shared" ca="1" si="69"/>
        <v>#REF!</v>
      </c>
      <c r="G432" s="118" t="e">
        <f t="shared" ca="1" si="70"/>
        <v>#REF!</v>
      </c>
      <c r="H432" s="118" t="e">
        <f t="shared" ca="1" si="71"/>
        <v>#REF!</v>
      </c>
      <c r="I432" s="118" t="e">
        <f t="shared" ca="1" si="72"/>
        <v>#REF!</v>
      </c>
      <c r="J432" s="118" t="e">
        <f t="shared" ca="1" si="73"/>
        <v>#REF!</v>
      </c>
      <c r="K432" s="118" t="e">
        <f t="shared" ca="1" si="74"/>
        <v>#REF!</v>
      </c>
      <c r="L432" s="118" t="e">
        <f t="shared" ca="1" si="75"/>
        <v>#REF!</v>
      </c>
      <c r="M432" s="118" t="e">
        <f t="shared" ca="1" si="76"/>
        <v>#REF!</v>
      </c>
    </row>
    <row r="433" spans="1:13" x14ac:dyDescent="0.25">
      <c r="A433" s="119">
        <v>44886</v>
      </c>
      <c r="B433" s="119">
        <v>44886</v>
      </c>
      <c r="C433" s="118" t="e">
        <f t="shared" ca="1" si="66"/>
        <v>#REF!</v>
      </c>
      <c r="D433" s="118" t="e">
        <f t="shared" ca="1" si="67"/>
        <v>#REF!</v>
      </c>
      <c r="E433" s="118" t="e">
        <f t="shared" ca="1" si="68"/>
        <v>#REF!</v>
      </c>
      <c r="F433" s="118" t="e">
        <f t="shared" ca="1" si="69"/>
        <v>#REF!</v>
      </c>
      <c r="G433" s="118" t="e">
        <f t="shared" ca="1" si="70"/>
        <v>#REF!</v>
      </c>
      <c r="H433" s="118" t="e">
        <f t="shared" ca="1" si="71"/>
        <v>#REF!</v>
      </c>
      <c r="I433" s="118" t="e">
        <f t="shared" ca="1" si="72"/>
        <v>#REF!</v>
      </c>
      <c r="J433" s="118" t="e">
        <f t="shared" ca="1" si="73"/>
        <v>#REF!</v>
      </c>
      <c r="K433" s="118" t="e">
        <f t="shared" ca="1" si="74"/>
        <v>#REF!</v>
      </c>
      <c r="L433" s="118" t="e">
        <f t="shared" ca="1" si="75"/>
        <v>#REF!</v>
      </c>
      <c r="M433" s="118" t="e">
        <f t="shared" ca="1" si="76"/>
        <v>#REF!</v>
      </c>
    </row>
    <row r="434" spans="1:13" x14ac:dyDescent="0.25">
      <c r="A434" s="119">
        <v>44887</v>
      </c>
      <c r="B434" s="119">
        <v>44887</v>
      </c>
      <c r="C434" s="118" t="e">
        <f t="shared" ca="1" si="66"/>
        <v>#REF!</v>
      </c>
      <c r="D434" s="118" t="e">
        <f t="shared" ca="1" si="67"/>
        <v>#REF!</v>
      </c>
      <c r="E434" s="118" t="e">
        <f t="shared" ca="1" si="68"/>
        <v>#REF!</v>
      </c>
      <c r="F434" s="118" t="e">
        <f t="shared" ca="1" si="69"/>
        <v>#REF!</v>
      </c>
      <c r="G434" s="118" t="e">
        <f t="shared" ca="1" si="70"/>
        <v>#REF!</v>
      </c>
      <c r="H434" s="118" t="e">
        <f t="shared" ca="1" si="71"/>
        <v>#REF!</v>
      </c>
      <c r="I434" s="118" t="e">
        <f t="shared" ca="1" si="72"/>
        <v>#REF!</v>
      </c>
      <c r="J434" s="118" t="e">
        <f t="shared" ca="1" si="73"/>
        <v>#REF!</v>
      </c>
      <c r="K434" s="118" t="e">
        <f t="shared" ca="1" si="74"/>
        <v>#REF!</v>
      </c>
      <c r="L434" s="118" t="e">
        <f t="shared" ca="1" si="75"/>
        <v>#REF!</v>
      </c>
      <c r="M434" s="118" t="e">
        <f t="shared" ca="1" si="76"/>
        <v>#REF!</v>
      </c>
    </row>
    <row r="435" spans="1:13" x14ac:dyDescent="0.25">
      <c r="A435" s="119">
        <v>44888</v>
      </c>
      <c r="B435" s="119">
        <v>44888</v>
      </c>
      <c r="C435" s="118" t="e">
        <f t="shared" ca="1" si="66"/>
        <v>#REF!</v>
      </c>
      <c r="D435" s="118" t="e">
        <f t="shared" ca="1" si="67"/>
        <v>#REF!</v>
      </c>
      <c r="E435" s="118" t="e">
        <f t="shared" ca="1" si="68"/>
        <v>#REF!</v>
      </c>
      <c r="F435" s="118" t="e">
        <f t="shared" ca="1" si="69"/>
        <v>#REF!</v>
      </c>
      <c r="G435" s="118" t="e">
        <f t="shared" ca="1" si="70"/>
        <v>#REF!</v>
      </c>
      <c r="H435" s="118" t="e">
        <f t="shared" ca="1" si="71"/>
        <v>#REF!</v>
      </c>
      <c r="I435" s="118" t="e">
        <f t="shared" ca="1" si="72"/>
        <v>#REF!</v>
      </c>
      <c r="J435" s="118" t="e">
        <f t="shared" ca="1" si="73"/>
        <v>#REF!</v>
      </c>
      <c r="K435" s="118" t="e">
        <f t="shared" ca="1" si="74"/>
        <v>#REF!</v>
      </c>
      <c r="L435" s="118" t="e">
        <f t="shared" ca="1" si="75"/>
        <v>#REF!</v>
      </c>
      <c r="M435" s="118" t="e">
        <f t="shared" ca="1" si="76"/>
        <v>#REF!</v>
      </c>
    </row>
    <row r="436" spans="1:13" x14ac:dyDescent="0.25">
      <c r="A436" s="119">
        <v>44889</v>
      </c>
      <c r="B436" s="119">
        <v>44889</v>
      </c>
      <c r="C436" s="118" t="e">
        <f t="shared" ca="1" si="66"/>
        <v>#REF!</v>
      </c>
      <c r="D436" s="118" t="e">
        <f t="shared" ca="1" si="67"/>
        <v>#REF!</v>
      </c>
      <c r="E436" s="118" t="e">
        <f t="shared" ca="1" si="68"/>
        <v>#REF!</v>
      </c>
      <c r="F436" s="118" t="e">
        <f t="shared" ca="1" si="69"/>
        <v>#REF!</v>
      </c>
      <c r="G436" s="118" t="e">
        <f t="shared" ca="1" si="70"/>
        <v>#REF!</v>
      </c>
      <c r="H436" s="118" t="e">
        <f t="shared" ca="1" si="71"/>
        <v>#REF!</v>
      </c>
      <c r="I436" s="118" t="e">
        <f t="shared" ca="1" si="72"/>
        <v>#REF!</v>
      </c>
      <c r="J436" s="118" t="e">
        <f t="shared" ca="1" si="73"/>
        <v>#REF!</v>
      </c>
      <c r="K436" s="118" t="e">
        <f t="shared" ca="1" si="74"/>
        <v>#REF!</v>
      </c>
      <c r="L436" s="118" t="e">
        <f t="shared" ca="1" si="75"/>
        <v>#REF!</v>
      </c>
      <c r="M436" s="118" t="e">
        <f t="shared" ca="1" si="76"/>
        <v>#REF!</v>
      </c>
    </row>
    <row r="437" spans="1:13" x14ac:dyDescent="0.25">
      <c r="A437" s="119" t="s">
        <v>211</v>
      </c>
      <c r="B437" s="119">
        <v>44890</v>
      </c>
      <c r="C437" s="118" t="e">
        <f t="shared" ca="1" si="66"/>
        <v>#REF!</v>
      </c>
      <c r="D437" s="118" t="e">
        <f t="shared" ca="1" si="67"/>
        <v>#REF!</v>
      </c>
      <c r="E437" s="118" t="e">
        <f t="shared" ca="1" si="68"/>
        <v>#REF!</v>
      </c>
      <c r="F437" s="118" t="e">
        <f t="shared" ca="1" si="69"/>
        <v>#REF!</v>
      </c>
      <c r="G437" s="118" t="e">
        <f t="shared" ca="1" si="70"/>
        <v>#REF!</v>
      </c>
      <c r="H437" s="118" t="e">
        <f t="shared" ca="1" si="71"/>
        <v>#REF!</v>
      </c>
      <c r="I437" s="118" t="e">
        <f t="shared" ca="1" si="72"/>
        <v>#REF!</v>
      </c>
      <c r="J437" s="118" t="e">
        <f t="shared" ca="1" si="73"/>
        <v>#REF!</v>
      </c>
      <c r="K437" s="118" t="e">
        <f t="shared" ca="1" si="74"/>
        <v>#REF!</v>
      </c>
      <c r="L437" s="118" t="e">
        <f t="shared" ca="1" si="75"/>
        <v>#REF!</v>
      </c>
      <c r="M437" s="118" t="e">
        <f t="shared" ca="1" si="76"/>
        <v>#REF!</v>
      </c>
    </row>
    <row r="438" spans="1:13" x14ac:dyDescent="0.25">
      <c r="A438" s="119">
        <v>44891</v>
      </c>
      <c r="B438" s="119">
        <v>44891</v>
      </c>
      <c r="C438" s="118" t="e">
        <f t="shared" ca="1" si="66"/>
        <v>#REF!</v>
      </c>
      <c r="D438" s="118" t="e">
        <f t="shared" ca="1" si="67"/>
        <v>#REF!</v>
      </c>
      <c r="E438" s="118" t="e">
        <f t="shared" ca="1" si="68"/>
        <v>#REF!</v>
      </c>
      <c r="F438" s="118" t="e">
        <f t="shared" ca="1" si="69"/>
        <v>#REF!</v>
      </c>
      <c r="G438" s="118" t="e">
        <f t="shared" ca="1" si="70"/>
        <v>#REF!</v>
      </c>
      <c r="H438" s="118" t="e">
        <f t="shared" ca="1" si="71"/>
        <v>#REF!</v>
      </c>
      <c r="I438" s="118" t="e">
        <f t="shared" ca="1" si="72"/>
        <v>#REF!</v>
      </c>
      <c r="J438" s="118" t="e">
        <f t="shared" ca="1" si="73"/>
        <v>#REF!</v>
      </c>
      <c r="K438" s="118" t="e">
        <f t="shared" ca="1" si="74"/>
        <v>#REF!</v>
      </c>
      <c r="L438" s="118" t="e">
        <f t="shared" ca="1" si="75"/>
        <v>#REF!</v>
      </c>
      <c r="M438" s="118" t="e">
        <f t="shared" ca="1" si="76"/>
        <v>#REF!</v>
      </c>
    </row>
    <row r="439" spans="1:13" x14ac:dyDescent="0.25">
      <c r="A439" s="119">
        <v>44892</v>
      </c>
      <c r="B439" s="119">
        <v>44892</v>
      </c>
      <c r="C439" s="118" t="e">
        <f t="shared" ca="1" si="66"/>
        <v>#REF!</v>
      </c>
      <c r="D439" s="118" t="e">
        <f t="shared" ca="1" si="67"/>
        <v>#REF!</v>
      </c>
      <c r="E439" s="118" t="e">
        <f t="shared" ca="1" si="68"/>
        <v>#REF!</v>
      </c>
      <c r="F439" s="118" t="e">
        <f t="shared" ca="1" si="69"/>
        <v>#REF!</v>
      </c>
      <c r="G439" s="118" t="e">
        <f t="shared" ca="1" si="70"/>
        <v>#REF!</v>
      </c>
      <c r="H439" s="118" t="e">
        <f t="shared" ca="1" si="71"/>
        <v>#REF!</v>
      </c>
      <c r="I439" s="118" t="e">
        <f t="shared" ca="1" si="72"/>
        <v>#REF!</v>
      </c>
      <c r="J439" s="118" t="e">
        <f t="shared" ca="1" si="73"/>
        <v>#REF!</v>
      </c>
      <c r="K439" s="118" t="e">
        <f t="shared" ca="1" si="74"/>
        <v>#REF!</v>
      </c>
      <c r="L439" s="118" t="e">
        <f t="shared" ca="1" si="75"/>
        <v>#REF!</v>
      </c>
      <c r="M439" s="118" t="e">
        <f t="shared" ca="1" si="76"/>
        <v>#REF!</v>
      </c>
    </row>
    <row r="440" spans="1:13" x14ac:dyDescent="0.25">
      <c r="A440" s="119">
        <v>44893</v>
      </c>
      <c r="B440" s="119">
        <v>44893</v>
      </c>
      <c r="C440" s="118" t="e">
        <f t="shared" ca="1" si="66"/>
        <v>#REF!</v>
      </c>
      <c r="D440" s="118" t="e">
        <f t="shared" ca="1" si="67"/>
        <v>#REF!</v>
      </c>
      <c r="E440" s="118" t="e">
        <f t="shared" ca="1" si="68"/>
        <v>#REF!</v>
      </c>
      <c r="F440" s="118" t="e">
        <f t="shared" ca="1" si="69"/>
        <v>#REF!</v>
      </c>
      <c r="G440" s="118" t="e">
        <f t="shared" ca="1" si="70"/>
        <v>#REF!</v>
      </c>
      <c r="H440" s="118" t="e">
        <f t="shared" ca="1" si="71"/>
        <v>#REF!</v>
      </c>
      <c r="I440" s="118" t="e">
        <f t="shared" ca="1" si="72"/>
        <v>#REF!</v>
      </c>
      <c r="J440" s="118" t="e">
        <f t="shared" ca="1" si="73"/>
        <v>#REF!</v>
      </c>
      <c r="K440" s="118" t="e">
        <f t="shared" ca="1" si="74"/>
        <v>#REF!</v>
      </c>
      <c r="L440" s="118" t="e">
        <f t="shared" ca="1" si="75"/>
        <v>#REF!</v>
      </c>
      <c r="M440" s="118" t="e">
        <f t="shared" ca="1" si="76"/>
        <v>#REF!</v>
      </c>
    </row>
    <row r="441" spans="1:13" x14ac:dyDescent="0.25">
      <c r="A441" s="119">
        <v>44894</v>
      </c>
      <c r="B441" s="119">
        <v>44894</v>
      </c>
      <c r="C441" s="118" t="e">
        <f t="shared" ca="1" si="66"/>
        <v>#REF!</v>
      </c>
      <c r="D441" s="118" t="e">
        <f t="shared" ca="1" si="67"/>
        <v>#REF!</v>
      </c>
      <c r="E441" s="118" t="e">
        <f t="shared" ca="1" si="68"/>
        <v>#REF!</v>
      </c>
      <c r="F441" s="118" t="e">
        <f t="shared" ca="1" si="69"/>
        <v>#REF!</v>
      </c>
      <c r="G441" s="118" t="e">
        <f t="shared" ca="1" si="70"/>
        <v>#REF!</v>
      </c>
      <c r="H441" s="118" t="e">
        <f t="shared" ca="1" si="71"/>
        <v>#REF!</v>
      </c>
      <c r="I441" s="118" t="e">
        <f t="shared" ca="1" si="72"/>
        <v>#REF!</v>
      </c>
      <c r="J441" s="118" t="e">
        <f t="shared" ca="1" si="73"/>
        <v>#REF!</v>
      </c>
      <c r="K441" s="118" t="e">
        <f t="shared" ca="1" si="74"/>
        <v>#REF!</v>
      </c>
      <c r="L441" s="118" t="e">
        <f t="shared" ca="1" si="75"/>
        <v>#REF!</v>
      </c>
      <c r="M441" s="118" t="e">
        <f t="shared" ca="1" si="76"/>
        <v>#REF!</v>
      </c>
    </row>
    <row r="442" spans="1:13" x14ac:dyDescent="0.25">
      <c r="A442" s="119">
        <v>44895</v>
      </c>
      <c r="B442" s="119">
        <v>44895</v>
      </c>
      <c r="C442" s="118" t="e">
        <f t="shared" ca="1" si="66"/>
        <v>#REF!</v>
      </c>
      <c r="D442" s="118" t="e">
        <f t="shared" ca="1" si="67"/>
        <v>#REF!</v>
      </c>
      <c r="E442" s="118" t="e">
        <f t="shared" ca="1" si="68"/>
        <v>#REF!</v>
      </c>
      <c r="F442" s="118" t="e">
        <f t="shared" ca="1" si="69"/>
        <v>#REF!</v>
      </c>
      <c r="G442" s="118" t="e">
        <f t="shared" ca="1" si="70"/>
        <v>#REF!</v>
      </c>
      <c r="H442" s="118" t="e">
        <f t="shared" ca="1" si="71"/>
        <v>#REF!</v>
      </c>
      <c r="I442" s="118" t="e">
        <f t="shared" ca="1" si="72"/>
        <v>#REF!</v>
      </c>
      <c r="J442" s="118" t="e">
        <f t="shared" ca="1" si="73"/>
        <v>#REF!</v>
      </c>
      <c r="K442" s="118" t="e">
        <f t="shared" ca="1" si="74"/>
        <v>#REF!</v>
      </c>
      <c r="L442" s="118" t="e">
        <f t="shared" ca="1" si="75"/>
        <v>#REF!</v>
      </c>
      <c r="M442" s="118" t="e">
        <f t="shared" ca="1" si="76"/>
        <v>#REF!</v>
      </c>
    </row>
    <row r="443" spans="1:13" x14ac:dyDescent="0.25">
      <c r="A443" s="119">
        <v>44896</v>
      </c>
      <c r="B443" s="119">
        <v>44896</v>
      </c>
      <c r="C443" s="118" t="e">
        <f t="shared" ca="1" si="66"/>
        <v>#REF!</v>
      </c>
      <c r="D443" s="118" t="e">
        <f t="shared" ca="1" si="67"/>
        <v>#REF!</v>
      </c>
      <c r="E443" s="118" t="e">
        <f t="shared" ca="1" si="68"/>
        <v>#REF!</v>
      </c>
      <c r="F443" s="118" t="e">
        <f t="shared" ca="1" si="69"/>
        <v>#REF!</v>
      </c>
      <c r="G443" s="118" t="e">
        <f t="shared" ca="1" si="70"/>
        <v>#REF!</v>
      </c>
      <c r="H443" s="118" t="e">
        <f t="shared" ca="1" si="71"/>
        <v>#REF!</v>
      </c>
      <c r="I443" s="118" t="e">
        <f t="shared" ca="1" si="72"/>
        <v>#REF!</v>
      </c>
      <c r="J443" s="118" t="e">
        <f t="shared" ca="1" si="73"/>
        <v>#REF!</v>
      </c>
      <c r="K443" s="118" t="e">
        <f t="shared" ca="1" si="74"/>
        <v>#REF!</v>
      </c>
      <c r="L443" s="118" t="e">
        <f t="shared" ca="1" si="75"/>
        <v>#REF!</v>
      </c>
      <c r="M443" s="118" t="e">
        <f t="shared" ca="1" si="76"/>
        <v>#REF!</v>
      </c>
    </row>
    <row r="444" spans="1:13" x14ac:dyDescent="0.25">
      <c r="A444" s="119" t="s">
        <v>212</v>
      </c>
      <c r="B444" s="119">
        <v>44897</v>
      </c>
      <c r="C444" s="118" t="e">
        <f t="shared" ca="1" si="66"/>
        <v>#REF!</v>
      </c>
      <c r="D444" s="118" t="e">
        <f t="shared" ca="1" si="67"/>
        <v>#REF!</v>
      </c>
      <c r="E444" s="118" t="e">
        <f t="shared" ca="1" si="68"/>
        <v>#REF!</v>
      </c>
      <c r="F444" s="118" t="e">
        <f t="shared" ca="1" si="69"/>
        <v>#REF!</v>
      </c>
      <c r="G444" s="118" t="e">
        <f t="shared" ca="1" si="70"/>
        <v>#REF!</v>
      </c>
      <c r="H444" s="118" t="e">
        <f t="shared" ca="1" si="71"/>
        <v>#REF!</v>
      </c>
      <c r="I444" s="118" t="e">
        <f t="shared" ca="1" si="72"/>
        <v>#REF!</v>
      </c>
      <c r="J444" s="118" t="e">
        <f t="shared" ca="1" si="73"/>
        <v>#REF!</v>
      </c>
      <c r="K444" s="118" t="e">
        <f t="shared" ca="1" si="74"/>
        <v>#REF!</v>
      </c>
      <c r="L444" s="118" t="e">
        <f t="shared" ca="1" si="75"/>
        <v>#REF!</v>
      </c>
      <c r="M444" s="118" t="e">
        <f t="shared" ca="1" si="76"/>
        <v>#REF!</v>
      </c>
    </row>
    <row r="445" spans="1:13" x14ac:dyDescent="0.25">
      <c r="A445" s="119">
        <v>44898</v>
      </c>
      <c r="B445" s="119">
        <v>44898</v>
      </c>
      <c r="C445" s="118" t="e">
        <f t="shared" ca="1" si="66"/>
        <v>#REF!</v>
      </c>
      <c r="D445" s="118" t="e">
        <f t="shared" ca="1" si="67"/>
        <v>#REF!</v>
      </c>
      <c r="E445" s="118" t="e">
        <f t="shared" ca="1" si="68"/>
        <v>#REF!</v>
      </c>
      <c r="F445" s="118" t="e">
        <f t="shared" ca="1" si="69"/>
        <v>#REF!</v>
      </c>
      <c r="G445" s="118" t="e">
        <f t="shared" ca="1" si="70"/>
        <v>#REF!</v>
      </c>
      <c r="H445" s="118" t="e">
        <f t="shared" ca="1" si="71"/>
        <v>#REF!</v>
      </c>
      <c r="I445" s="118" t="e">
        <f t="shared" ca="1" si="72"/>
        <v>#REF!</v>
      </c>
      <c r="J445" s="118" t="e">
        <f t="shared" ca="1" si="73"/>
        <v>#REF!</v>
      </c>
      <c r="K445" s="118" t="e">
        <f t="shared" ca="1" si="74"/>
        <v>#REF!</v>
      </c>
      <c r="L445" s="118" t="e">
        <f t="shared" ca="1" si="75"/>
        <v>#REF!</v>
      </c>
      <c r="M445" s="118" t="e">
        <f t="shared" ca="1" si="76"/>
        <v>#REF!</v>
      </c>
    </row>
    <row r="446" spans="1:13" x14ac:dyDescent="0.25">
      <c r="A446" s="119">
        <v>44899</v>
      </c>
      <c r="B446" s="119">
        <v>44899</v>
      </c>
      <c r="C446" s="118" t="e">
        <f t="shared" ca="1" si="66"/>
        <v>#REF!</v>
      </c>
      <c r="D446" s="118" t="e">
        <f t="shared" ca="1" si="67"/>
        <v>#REF!</v>
      </c>
      <c r="E446" s="118" t="e">
        <f t="shared" ca="1" si="68"/>
        <v>#REF!</v>
      </c>
      <c r="F446" s="118" t="e">
        <f t="shared" ca="1" si="69"/>
        <v>#REF!</v>
      </c>
      <c r="G446" s="118" t="e">
        <f t="shared" ca="1" si="70"/>
        <v>#REF!</v>
      </c>
      <c r="H446" s="118" t="e">
        <f t="shared" ca="1" si="71"/>
        <v>#REF!</v>
      </c>
      <c r="I446" s="118" t="e">
        <f t="shared" ca="1" si="72"/>
        <v>#REF!</v>
      </c>
      <c r="J446" s="118" t="e">
        <f t="shared" ca="1" si="73"/>
        <v>#REF!</v>
      </c>
      <c r="K446" s="118" t="e">
        <f t="shared" ca="1" si="74"/>
        <v>#REF!</v>
      </c>
      <c r="L446" s="118" t="e">
        <f t="shared" ca="1" si="75"/>
        <v>#REF!</v>
      </c>
      <c r="M446" s="118" t="e">
        <f t="shared" ca="1" si="76"/>
        <v>#REF!</v>
      </c>
    </row>
    <row r="447" spans="1:13" x14ac:dyDescent="0.25">
      <c r="A447" s="119">
        <v>44900</v>
      </c>
      <c r="B447" s="119">
        <v>44900</v>
      </c>
      <c r="C447" s="118" t="e">
        <f t="shared" ca="1" si="66"/>
        <v>#REF!</v>
      </c>
      <c r="D447" s="118" t="e">
        <f t="shared" ca="1" si="67"/>
        <v>#REF!</v>
      </c>
      <c r="E447" s="118" t="e">
        <f t="shared" ca="1" si="68"/>
        <v>#REF!</v>
      </c>
      <c r="F447" s="118" t="e">
        <f t="shared" ca="1" si="69"/>
        <v>#REF!</v>
      </c>
      <c r="G447" s="118" t="e">
        <f t="shared" ca="1" si="70"/>
        <v>#REF!</v>
      </c>
      <c r="H447" s="118" t="e">
        <f t="shared" ca="1" si="71"/>
        <v>#REF!</v>
      </c>
      <c r="I447" s="118" t="e">
        <f t="shared" ca="1" si="72"/>
        <v>#REF!</v>
      </c>
      <c r="J447" s="118" t="e">
        <f t="shared" ca="1" si="73"/>
        <v>#REF!</v>
      </c>
      <c r="K447" s="118" t="e">
        <f t="shared" ca="1" si="74"/>
        <v>#REF!</v>
      </c>
      <c r="L447" s="118" t="e">
        <f t="shared" ca="1" si="75"/>
        <v>#REF!</v>
      </c>
      <c r="M447" s="118" t="e">
        <f t="shared" ca="1" si="76"/>
        <v>#REF!</v>
      </c>
    </row>
    <row r="448" spans="1:13" x14ac:dyDescent="0.25">
      <c r="A448" s="119">
        <v>44901</v>
      </c>
      <c r="B448" s="119">
        <v>44901</v>
      </c>
      <c r="C448" s="118" t="e">
        <f t="shared" ca="1" si="66"/>
        <v>#REF!</v>
      </c>
      <c r="D448" s="118" t="e">
        <f t="shared" ca="1" si="67"/>
        <v>#REF!</v>
      </c>
      <c r="E448" s="118" t="e">
        <f t="shared" ca="1" si="68"/>
        <v>#REF!</v>
      </c>
      <c r="F448" s="118" t="e">
        <f t="shared" ca="1" si="69"/>
        <v>#REF!</v>
      </c>
      <c r="G448" s="118" t="e">
        <f t="shared" ca="1" si="70"/>
        <v>#REF!</v>
      </c>
      <c r="H448" s="118" t="e">
        <f t="shared" ca="1" si="71"/>
        <v>#REF!</v>
      </c>
      <c r="I448" s="118" t="e">
        <f t="shared" ca="1" si="72"/>
        <v>#REF!</v>
      </c>
      <c r="J448" s="118" t="e">
        <f t="shared" ca="1" si="73"/>
        <v>#REF!</v>
      </c>
      <c r="K448" s="118" t="e">
        <f t="shared" ca="1" si="74"/>
        <v>#REF!</v>
      </c>
      <c r="L448" s="118" t="e">
        <f t="shared" ca="1" si="75"/>
        <v>#REF!</v>
      </c>
      <c r="M448" s="118" t="e">
        <f t="shared" ca="1" si="76"/>
        <v>#REF!</v>
      </c>
    </row>
    <row r="449" spans="1:13" x14ac:dyDescent="0.25">
      <c r="A449" s="119">
        <v>44902</v>
      </c>
      <c r="B449" s="119">
        <v>44902</v>
      </c>
      <c r="C449" s="118" t="e">
        <f t="shared" ca="1" si="66"/>
        <v>#REF!</v>
      </c>
      <c r="D449" s="118" t="e">
        <f t="shared" ca="1" si="67"/>
        <v>#REF!</v>
      </c>
      <c r="E449" s="118" t="e">
        <f t="shared" ca="1" si="68"/>
        <v>#REF!</v>
      </c>
      <c r="F449" s="118" t="e">
        <f t="shared" ca="1" si="69"/>
        <v>#REF!</v>
      </c>
      <c r="G449" s="118" t="e">
        <f t="shared" ca="1" si="70"/>
        <v>#REF!</v>
      </c>
      <c r="H449" s="118" t="e">
        <f t="shared" ca="1" si="71"/>
        <v>#REF!</v>
      </c>
      <c r="I449" s="118" t="e">
        <f t="shared" ca="1" si="72"/>
        <v>#REF!</v>
      </c>
      <c r="J449" s="118" t="e">
        <f t="shared" ca="1" si="73"/>
        <v>#REF!</v>
      </c>
      <c r="K449" s="118" t="e">
        <f t="shared" ca="1" si="74"/>
        <v>#REF!</v>
      </c>
      <c r="L449" s="118" t="e">
        <f t="shared" ca="1" si="75"/>
        <v>#REF!</v>
      </c>
      <c r="M449" s="118" t="e">
        <f t="shared" ca="1" si="76"/>
        <v>#REF!</v>
      </c>
    </row>
    <row r="450" spans="1:13" x14ac:dyDescent="0.25">
      <c r="A450" s="119">
        <v>44903</v>
      </c>
      <c r="B450" s="119">
        <v>44903</v>
      </c>
      <c r="C450" s="118" t="e">
        <f t="shared" ca="1" si="66"/>
        <v>#REF!</v>
      </c>
      <c r="D450" s="118" t="e">
        <f t="shared" ca="1" si="67"/>
        <v>#REF!</v>
      </c>
      <c r="E450" s="118" t="e">
        <f t="shared" ca="1" si="68"/>
        <v>#REF!</v>
      </c>
      <c r="F450" s="118" t="e">
        <f t="shared" ca="1" si="69"/>
        <v>#REF!</v>
      </c>
      <c r="G450" s="118" t="e">
        <f t="shared" ca="1" si="70"/>
        <v>#REF!</v>
      </c>
      <c r="H450" s="118" t="e">
        <f t="shared" ca="1" si="71"/>
        <v>#REF!</v>
      </c>
      <c r="I450" s="118" t="e">
        <f t="shared" ca="1" si="72"/>
        <v>#REF!</v>
      </c>
      <c r="J450" s="118" t="e">
        <f t="shared" ca="1" si="73"/>
        <v>#REF!</v>
      </c>
      <c r="K450" s="118" t="e">
        <f t="shared" ca="1" si="74"/>
        <v>#REF!</v>
      </c>
      <c r="L450" s="118" t="e">
        <f t="shared" ca="1" si="75"/>
        <v>#REF!</v>
      </c>
      <c r="M450" s="118" t="e">
        <f t="shared" ca="1" si="76"/>
        <v>#REF!</v>
      </c>
    </row>
    <row r="451" spans="1:13" x14ac:dyDescent="0.25">
      <c r="A451" s="119" t="s">
        <v>213</v>
      </c>
      <c r="B451" s="119">
        <v>44904</v>
      </c>
      <c r="C451" s="118" t="e">
        <f t="shared" ref="C451:C514" ca="1" si="77">INDIRECT(CONCATENATE("",$A451,"!H10"))</f>
        <v>#REF!</v>
      </c>
      <c r="D451" s="118" t="e">
        <f t="shared" ref="D451:D514" ca="1" si="78">INDIRECT(CONCATENATE("",$A451,"!H11"))</f>
        <v>#REF!</v>
      </c>
      <c r="E451" s="118" t="e">
        <f t="shared" ref="E451:E514" ca="1" si="79">INDIRECT(CONCATENATE("",$A451,"!H12"))</f>
        <v>#REF!</v>
      </c>
      <c r="F451" s="118" t="e">
        <f t="shared" ref="F451:F514" ca="1" si="80">INDIRECT(CONCATENATE("",$A451,"!H13"))</f>
        <v>#REF!</v>
      </c>
      <c r="G451" s="118" t="e">
        <f t="shared" ref="G451:G514" ca="1" si="81">INDIRECT(CONCATENATE("",$A451,"!H14"))</f>
        <v>#REF!</v>
      </c>
      <c r="H451" s="118" t="e">
        <f t="shared" ref="H451:H514" ca="1" si="82">INDIRECT(CONCATENATE("",$A451,"!i12"))</f>
        <v>#REF!</v>
      </c>
      <c r="I451" s="118" t="e">
        <f t="shared" ref="I451:I514" ca="1" si="83">INDIRECT(CONCATENATE("",$A451,"!i13"))</f>
        <v>#REF!</v>
      </c>
      <c r="J451" s="118" t="e">
        <f t="shared" ref="J451:J514" ca="1" si="84">INDIRECT(CONCATENATE("",$A451,"!i14"))</f>
        <v>#REF!</v>
      </c>
      <c r="K451" s="118" t="e">
        <f t="shared" ref="K451:K514" ca="1" si="85">INDIRECT(CONCATENATE("",$A451,"!J12"))</f>
        <v>#REF!</v>
      </c>
      <c r="L451" s="118" t="e">
        <f t="shared" ref="L451:L514" ca="1" si="86">INDIRECT(CONCATENATE("",$A451,"!J13"))</f>
        <v>#REF!</v>
      </c>
      <c r="M451" s="118" t="e">
        <f t="shared" ref="M451:M514" ca="1" si="87">INDIRECT(CONCATENATE("",$A451,"!J14"))</f>
        <v>#REF!</v>
      </c>
    </row>
    <row r="452" spans="1:13" x14ac:dyDescent="0.25">
      <c r="A452" s="119">
        <v>44905</v>
      </c>
      <c r="B452" s="119">
        <v>44905</v>
      </c>
      <c r="C452" s="118" t="e">
        <f t="shared" ca="1" si="77"/>
        <v>#REF!</v>
      </c>
      <c r="D452" s="118" t="e">
        <f t="shared" ca="1" si="78"/>
        <v>#REF!</v>
      </c>
      <c r="E452" s="118" t="e">
        <f t="shared" ca="1" si="79"/>
        <v>#REF!</v>
      </c>
      <c r="F452" s="118" t="e">
        <f t="shared" ca="1" si="80"/>
        <v>#REF!</v>
      </c>
      <c r="G452" s="118" t="e">
        <f t="shared" ca="1" si="81"/>
        <v>#REF!</v>
      </c>
      <c r="H452" s="118" t="e">
        <f t="shared" ca="1" si="82"/>
        <v>#REF!</v>
      </c>
      <c r="I452" s="118" t="e">
        <f t="shared" ca="1" si="83"/>
        <v>#REF!</v>
      </c>
      <c r="J452" s="118" t="e">
        <f t="shared" ca="1" si="84"/>
        <v>#REF!</v>
      </c>
      <c r="K452" s="118" t="e">
        <f t="shared" ca="1" si="85"/>
        <v>#REF!</v>
      </c>
      <c r="L452" s="118" t="e">
        <f t="shared" ca="1" si="86"/>
        <v>#REF!</v>
      </c>
      <c r="M452" s="118" t="e">
        <f t="shared" ca="1" si="87"/>
        <v>#REF!</v>
      </c>
    </row>
    <row r="453" spans="1:13" x14ac:dyDescent="0.25">
      <c r="A453" s="119">
        <v>44906</v>
      </c>
      <c r="B453" s="119">
        <v>44906</v>
      </c>
      <c r="C453" s="118" t="e">
        <f t="shared" ca="1" si="77"/>
        <v>#REF!</v>
      </c>
      <c r="D453" s="118" t="e">
        <f t="shared" ca="1" si="78"/>
        <v>#REF!</v>
      </c>
      <c r="E453" s="118" t="e">
        <f t="shared" ca="1" si="79"/>
        <v>#REF!</v>
      </c>
      <c r="F453" s="118" t="e">
        <f t="shared" ca="1" si="80"/>
        <v>#REF!</v>
      </c>
      <c r="G453" s="118" t="e">
        <f t="shared" ca="1" si="81"/>
        <v>#REF!</v>
      </c>
      <c r="H453" s="118" t="e">
        <f t="shared" ca="1" si="82"/>
        <v>#REF!</v>
      </c>
      <c r="I453" s="118" t="e">
        <f t="shared" ca="1" si="83"/>
        <v>#REF!</v>
      </c>
      <c r="J453" s="118" t="e">
        <f t="shared" ca="1" si="84"/>
        <v>#REF!</v>
      </c>
      <c r="K453" s="118" t="e">
        <f t="shared" ca="1" si="85"/>
        <v>#REF!</v>
      </c>
      <c r="L453" s="118" t="e">
        <f t="shared" ca="1" si="86"/>
        <v>#REF!</v>
      </c>
      <c r="M453" s="118" t="e">
        <f t="shared" ca="1" si="87"/>
        <v>#REF!</v>
      </c>
    </row>
    <row r="454" spans="1:13" x14ac:dyDescent="0.25">
      <c r="A454" s="119">
        <v>44907</v>
      </c>
      <c r="B454" s="119">
        <v>44907</v>
      </c>
      <c r="C454" s="118" t="e">
        <f t="shared" ca="1" si="77"/>
        <v>#REF!</v>
      </c>
      <c r="D454" s="118" t="e">
        <f t="shared" ca="1" si="78"/>
        <v>#REF!</v>
      </c>
      <c r="E454" s="118" t="e">
        <f t="shared" ca="1" si="79"/>
        <v>#REF!</v>
      </c>
      <c r="F454" s="118" t="e">
        <f t="shared" ca="1" si="80"/>
        <v>#REF!</v>
      </c>
      <c r="G454" s="118" t="e">
        <f t="shared" ca="1" si="81"/>
        <v>#REF!</v>
      </c>
      <c r="H454" s="118" t="e">
        <f t="shared" ca="1" si="82"/>
        <v>#REF!</v>
      </c>
      <c r="I454" s="118" t="e">
        <f t="shared" ca="1" si="83"/>
        <v>#REF!</v>
      </c>
      <c r="J454" s="118" t="e">
        <f t="shared" ca="1" si="84"/>
        <v>#REF!</v>
      </c>
      <c r="K454" s="118" t="e">
        <f t="shared" ca="1" si="85"/>
        <v>#REF!</v>
      </c>
      <c r="L454" s="118" t="e">
        <f t="shared" ca="1" si="86"/>
        <v>#REF!</v>
      </c>
      <c r="M454" s="118" t="e">
        <f t="shared" ca="1" si="87"/>
        <v>#REF!</v>
      </c>
    </row>
    <row r="455" spans="1:13" x14ac:dyDescent="0.25">
      <c r="A455" s="119">
        <v>44908</v>
      </c>
      <c r="B455" s="119">
        <v>44908</v>
      </c>
      <c r="C455" s="118" t="e">
        <f t="shared" ca="1" si="77"/>
        <v>#REF!</v>
      </c>
      <c r="D455" s="118" t="e">
        <f t="shared" ca="1" si="78"/>
        <v>#REF!</v>
      </c>
      <c r="E455" s="118" t="e">
        <f t="shared" ca="1" si="79"/>
        <v>#REF!</v>
      </c>
      <c r="F455" s="118" t="e">
        <f t="shared" ca="1" si="80"/>
        <v>#REF!</v>
      </c>
      <c r="G455" s="118" t="e">
        <f t="shared" ca="1" si="81"/>
        <v>#REF!</v>
      </c>
      <c r="H455" s="118" t="e">
        <f t="shared" ca="1" si="82"/>
        <v>#REF!</v>
      </c>
      <c r="I455" s="118" t="e">
        <f t="shared" ca="1" si="83"/>
        <v>#REF!</v>
      </c>
      <c r="J455" s="118" t="e">
        <f t="shared" ca="1" si="84"/>
        <v>#REF!</v>
      </c>
      <c r="K455" s="118" t="e">
        <f t="shared" ca="1" si="85"/>
        <v>#REF!</v>
      </c>
      <c r="L455" s="118" t="e">
        <f t="shared" ca="1" si="86"/>
        <v>#REF!</v>
      </c>
      <c r="M455" s="118" t="e">
        <f t="shared" ca="1" si="87"/>
        <v>#REF!</v>
      </c>
    </row>
    <row r="456" spans="1:13" x14ac:dyDescent="0.25">
      <c r="A456" s="119">
        <v>44909</v>
      </c>
      <c r="B456" s="119">
        <v>44909</v>
      </c>
      <c r="C456" s="118" t="e">
        <f t="shared" ca="1" si="77"/>
        <v>#REF!</v>
      </c>
      <c r="D456" s="118" t="e">
        <f t="shared" ca="1" si="78"/>
        <v>#REF!</v>
      </c>
      <c r="E456" s="118" t="e">
        <f t="shared" ca="1" si="79"/>
        <v>#REF!</v>
      </c>
      <c r="F456" s="118" t="e">
        <f t="shared" ca="1" si="80"/>
        <v>#REF!</v>
      </c>
      <c r="G456" s="118" t="e">
        <f t="shared" ca="1" si="81"/>
        <v>#REF!</v>
      </c>
      <c r="H456" s="118" t="e">
        <f t="shared" ca="1" si="82"/>
        <v>#REF!</v>
      </c>
      <c r="I456" s="118" t="e">
        <f t="shared" ca="1" si="83"/>
        <v>#REF!</v>
      </c>
      <c r="J456" s="118" t="e">
        <f t="shared" ca="1" si="84"/>
        <v>#REF!</v>
      </c>
      <c r="K456" s="118" t="e">
        <f t="shared" ca="1" si="85"/>
        <v>#REF!</v>
      </c>
      <c r="L456" s="118" t="e">
        <f t="shared" ca="1" si="86"/>
        <v>#REF!</v>
      </c>
      <c r="M456" s="118" t="e">
        <f t="shared" ca="1" si="87"/>
        <v>#REF!</v>
      </c>
    </row>
    <row r="457" spans="1:13" x14ac:dyDescent="0.25">
      <c r="A457" s="119">
        <v>44910</v>
      </c>
      <c r="B457" s="119">
        <v>44910</v>
      </c>
      <c r="C457" s="118" t="e">
        <f t="shared" ca="1" si="77"/>
        <v>#REF!</v>
      </c>
      <c r="D457" s="118" t="e">
        <f t="shared" ca="1" si="78"/>
        <v>#REF!</v>
      </c>
      <c r="E457" s="118" t="e">
        <f t="shared" ca="1" si="79"/>
        <v>#REF!</v>
      </c>
      <c r="F457" s="118" t="e">
        <f t="shared" ca="1" si="80"/>
        <v>#REF!</v>
      </c>
      <c r="G457" s="118" t="e">
        <f t="shared" ca="1" si="81"/>
        <v>#REF!</v>
      </c>
      <c r="H457" s="118" t="e">
        <f t="shared" ca="1" si="82"/>
        <v>#REF!</v>
      </c>
      <c r="I457" s="118" t="e">
        <f t="shared" ca="1" si="83"/>
        <v>#REF!</v>
      </c>
      <c r="J457" s="118" t="e">
        <f t="shared" ca="1" si="84"/>
        <v>#REF!</v>
      </c>
      <c r="K457" s="118" t="e">
        <f t="shared" ca="1" si="85"/>
        <v>#REF!</v>
      </c>
      <c r="L457" s="118" t="e">
        <f t="shared" ca="1" si="86"/>
        <v>#REF!</v>
      </c>
      <c r="M457" s="118" t="e">
        <f t="shared" ca="1" si="87"/>
        <v>#REF!</v>
      </c>
    </row>
    <row r="458" spans="1:13" x14ac:dyDescent="0.25">
      <c r="A458" s="119" t="s">
        <v>214</v>
      </c>
      <c r="B458" s="119">
        <v>44911</v>
      </c>
      <c r="C458" s="118" t="e">
        <f t="shared" ca="1" si="77"/>
        <v>#REF!</v>
      </c>
      <c r="D458" s="118" t="e">
        <f t="shared" ca="1" si="78"/>
        <v>#REF!</v>
      </c>
      <c r="E458" s="118" t="e">
        <f t="shared" ca="1" si="79"/>
        <v>#REF!</v>
      </c>
      <c r="F458" s="118" t="e">
        <f t="shared" ca="1" si="80"/>
        <v>#REF!</v>
      </c>
      <c r="G458" s="118" t="e">
        <f t="shared" ca="1" si="81"/>
        <v>#REF!</v>
      </c>
      <c r="H458" s="118" t="e">
        <f t="shared" ca="1" si="82"/>
        <v>#REF!</v>
      </c>
      <c r="I458" s="118" t="e">
        <f t="shared" ca="1" si="83"/>
        <v>#REF!</v>
      </c>
      <c r="J458" s="118" t="e">
        <f t="shared" ca="1" si="84"/>
        <v>#REF!</v>
      </c>
      <c r="K458" s="118" t="e">
        <f t="shared" ca="1" si="85"/>
        <v>#REF!</v>
      </c>
      <c r="L458" s="118" t="e">
        <f t="shared" ca="1" si="86"/>
        <v>#REF!</v>
      </c>
      <c r="M458" s="118" t="e">
        <f t="shared" ca="1" si="87"/>
        <v>#REF!</v>
      </c>
    </row>
    <row r="459" spans="1:13" x14ac:dyDescent="0.25">
      <c r="A459" s="119">
        <v>44912</v>
      </c>
      <c r="B459" s="119">
        <v>44912</v>
      </c>
      <c r="C459" s="118" t="e">
        <f t="shared" ca="1" si="77"/>
        <v>#REF!</v>
      </c>
      <c r="D459" s="118" t="e">
        <f t="shared" ca="1" si="78"/>
        <v>#REF!</v>
      </c>
      <c r="E459" s="118" t="e">
        <f t="shared" ca="1" si="79"/>
        <v>#REF!</v>
      </c>
      <c r="F459" s="118" t="e">
        <f t="shared" ca="1" si="80"/>
        <v>#REF!</v>
      </c>
      <c r="G459" s="118" t="e">
        <f t="shared" ca="1" si="81"/>
        <v>#REF!</v>
      </c>
      <c r="H459" s="118" t="e">
        <f t="shared" ca="1" si="82"/>
        <v>#REF!</v>
      </c>
      <c r="I459" s="118" t="e">
        <f t="shared" ca="1" si="83"/>
        <v>#REF!</v>
      </c>
      <c r="J459" s="118" t="e">
        <f t="shared" ca="1" si="84"/>
        <v>#REF!</v>
      </c>
      <c r="K459" s="118" t="e">
        <f t="shared" ca="1" si="85"/>
        <v>#REF!</v>
      </c>
      <c r="L459" s="118" t="e">
        <f t="shared" ca="1" si="86"/>
        <v>#REF!</v>
      </c>
      <c r="M459" s="118" t="e">
        <f t="shared" ca="1" si="87"/>
        <v>#REF!</v>
      </c>
    </row>
    <row r="460" spans="1:13" x14ac:dyDescent="0.25">
      <c r="A460" s="119">
        <v>44913</v>
      </c>
      <c r="B460" s="119">
        <v>44913</v>
      </c>
      <c r="C460" s="118" t="e">
        <f t="shared" ca="1" si="77"/>
        <v>#REF!</v>
      </c>
      <c r="D460" s="118" t="e">
        <f t="shared" ca="1" si="78"/>
        <v>#REF!</v>
      </c>
      <c r="E460" s="118" t="e">
        <f t="shared" ca="1" si="79"/>
        <v>#REF!</v>
      </c>
      <c r="F460" s="118" t="e">
        <f t="shared" ca="1" si="80"/>
        <v>#REF!</v>
      </c>
      <c r="G460" s="118" t="e">
        <f t="shared" ca="1" si="81"/>
        <v>#REF!</v>
      </c>
      <c r="H460" s="118" t="e">
        <f t="shared" ca="1" si="82"/>
        <v>#REF!</v>
      </c>
      <c r="I460" s="118" t="e">
        <f t="shared" ca="1" si="83"/>
        <v>#REF!</v>
      </c>
      <c r="J460" s="118" t="e">
        <f t="shared" ca="1" si="84"/>
        <v>#REF!</v>
      </c>
      <c r="K460" s="118" t="e">
        <f t="shared" ca="1" si="85"/>
        <v>#REF!</v>
      </c>
      <c r="L460" s="118" t="e">
        <f t="shared" ca="1" si="86"/>
        <v>#REF!</v>
      </c>
      <c r="M460" s="118" t="e">
        <f t="shared" ca="1" si="87"/>
        <v>#REF!</v>
      </c>
    </row>
    <row r="461" spans="1:13" x14ac:dyDescent="0.25">
      <c r="A461" s="119">
        <v>44914</v>
      </c>
      <c r="B461" s="119">
        <v>44914</v>
      </c>
      <c r="C461" s="118" t="e">
        <f t="shared" ca="1" si="77"/>
        <v>#REF!</v>
      </c>
      <c r="D461" s="118" t="e">
        <f t="shared" ca="1" si="78"/>
        <v>#REF!</v>
      </c>
      <c r="E461" s="118" t="e">
        <f t="shared" ca="1" si="79"/>
        <v>#REF!</v>
      </c>
      <c r="F461" s="118" t="e">
        <f t="shared" ca="1" si="80"/>
        <v>#REF!</v>
      </c>
      <c r="G461" s="118" t="e">
        <f t="shared" ca="1" si="81"/>
        <v>#REF!</v>
      </c>
      <c r="H461" s="118" t="e">
        <f t="shared" ca="1" si="82"/>
        <v>#REF!</v>
      </c>
      <c r="I461" s="118" t="e">
        <f t="shared" ca="1" si="83"/>
        <v>#REF!</v>
      </c>
      <c r="J461" s="118" t="e">
        <f t="shared" ca="1" si="84"/>
        <v>#REF!</v>
      </c>
      <c r="K461" s="118" t="e">
        <f t="shared" ca="1" si="85"/>
        <v>#REF!</v>
      </c>
      <c r="L461" s="118" t="e">
        <f t="shared" ca="1" si="86"/>
        <v>#REF!</v>
      </c>
      <c r="M461" s="118" t="e">
        <f t="shared" ca="1" si="87"/>
        <v>#REF!</v>
      </c>
    </row>
    <row r="462" spans="1:13" x14ac:dyDescent="0.25">
      <c r="A462" s="119">
        <v>44915</v>
      </c>
      <c r="B462" s="119">
        <v>44915</v>
      </c>
      <c r="C462" s="118" t="e">
        <f t="shared" ca="1" si="77"/>
        <v>#REF!</v>
      </c>
      <c r="D462" s="118" t="e">
        <f t="shared" ca="1" si="78"/>
        <v>#REF!</v>
      </c>
      <c r="E462" s="118" t="e">
        <f t="shared" ca="1" si="79"/>
        <v>#REF!</v>
      </c>
      <c r="F462" s="118" t="e">
        <f t="shared" ca="1" si="80"/>
        <v>#REF!</v>
      </c>
      <c r="G462" s="118" t="e">
        <f t="shared" ca="1" si="81"/>
        <v>#REF!</v>
      </c>
      <c r="H462" s="118" t="e">
        <f t="shared" ca="1" si="82"/>
        <v>#REF!</v>
      </c>
      <c r="I462" s="118" t="e">
        <f t="shared" ca="1" si="83"/>
        <v>#REF!</v>
      </c>
      <c r="J462" s="118" t="e">
        <f t="shared" ca="1" si="84"/>
        <v>#REF!</v>
      </c>
      <c r="K462" s="118" t="e">
        <f t="shared" ca="1" si="85"/>
        <v>#REF!</v>
      </c>
      <c r="L462" s="118" t="e">
        <f t="shared" ca="1" si="86"/>
        <v>#REF!</v>
      </c>
      <c r="M462" s="118" t="e">
        <f t="shared" ca="1" si="87"/>
        <v>#REF!</v>
      </c>
    </row>
    <row r="463" spans="1:13" x14ac:dyDescent="0.25">
      <c r="A463" s="119">
        <v>44916</v>
      </c>
      <c r="B463" s="119">
        <v>44916</v>
      </c>
      <c r="C463" s="118" t="e">
        <f t="shared" ca="1" si="77"/>
        <v>#REF!</v>
      </c>
      <c r="D463" s="118" t="e">
        <f t="shared" ca="1" si="78"/>
        <v>#REF!</v>
      </c>
      <c r="E463" s="118" t="e">
        <f t="shared" ca="1" si="79"/>
        <v>#REF!</v>
      </c>
      <c r="F463" s="118" t="e">
        <f t="shared" ca="1" si="80"/>
        <v>#REF!</v>
      </c>
      <c r="G463" s="118" t="e">
        <f t="shared" ca="1" si="81"/>
        <v>#REF!</v>
      </c>
      <c r="H463" s="118" t="e">
        <f t="shared" ca="1" si="82"/>
        <v>#REF!</v>
      </c>
      <c r="I463" s="118" t="e">
        <f t="shared" ca="1" si="83"/>
        <v>#REF!</v>
      </c>
      <c r="J463" s="118" t="e">
        <f t="shared" ca="1" si="84"/>
        <v>#REF!</v>
      </c>
      <c r="K463" s="118" t="e">
        <f t="shared" ca="1" si="85"/>
        <v>#REF!</v>
      </c>
      <c r="L463" s="118" t="e">
        <f t="shared" ca="1" si="86"/>
        <v>#REF!</v>
      </c>
      <c r="M463" s="118" t="e">
        <f t="shared" ca="1" si="87"/>
        <v>#REF!</v>
      </c>
    </row>
    <row r="464" spans="1:13" x14ac:dyDescent="0.25">
      <c r="A464" s="119" t="s">
        <v>215</v>
      </c>
      <c r="B464" s="119">
        <v>44917</v>
      </c>
      <c r="C464" s="118" t="e">
        <f t="shared" ca="1" si="77"/>
        <v>#REF!</v>
      </c>
      <c r="D464" s="118" t="e">
        <f t="shared" ca="1" si="78"/>
        <v>#REF!</v>
      </c>
      <c r="E464" s="118" t="e">
        <f t="shared" ca="1" si="79"/>
        <v>#REF!</v>
      </c>
      <c r="F464" s="118" t="e">
        <f t="shared" ca="1" si="80"/>
        <v>#REF!</v>
      </c>
      <c r="G464" s="118" t="e">
        <f t="shared" ca="1" si="81"/>
        <v>#REF!</v>
      </c>
      <c r="H464" s="118" t="e">
        <f t="shared" ca="1" si="82"/>
        <v>#REF!</v>
      </c>
      <c r="I464" s="118" t="e">
        <f t="shared" ca="1" si="83"/>
        <v>#REF!</v>
      </c>
      <c r="J464" s="118" t="e">
        <f t="shared" ca="1" si="84"/>
        <v>#REF!</v>
      </c>
      <c r="K464" s="118" t="e">
        <f t="shared" ca="1" si="85"/>
        <v>#REF!</v>
      </c>
      <c r="L464" s="118" t="e">
        <f t="shared" ca="1" si="86"/>
        <v>#REF!</v>
      </c>
      <c r="M464" s="118" t="e">
        <f t="shared" ca="1" si="87"/>
        <v>#REF!</v>
      </c>
    </row>
    <row r="465" spans="1:13" x14ac:dyDescent="0.25">
      <c r="A465" s="119">
        <v>44918</v>
      </c>
      <c r="B465" s="119">
        <v>44918</v>
      </c>
      <c r="C465" s="118" t="e">
        <f t="shared" ca="1" si="77"/>
        <v>#REF!</v>
      </c>
      <c r="D465" s="118" t="e">
        <f t="shared" ca="1" si="78"/>
        <v>#REF!</v>
      </c>
      <c r="E465" s="118" t="e">
        <f t="shared" ca="1" si="79"/>
        <v>#REF!</v>
      </c>
      <c r="F465" s="118" t="e">
        <f t="shared" ca="1" si="80"/>
        <v>#REF!</v>
      </c>
      <c r="G465" s="118" t="e">
        <f t="shared" ca="1" si="81"/>
        <v>#REF!</v>
      </c>
      <c r="H465" s="118" t="e">
        <f t="shared" ca="1" si="82"/>
        <v>#REF!</v>
      </c>
      <c r="I465" s="118" t="e">
        <f t="shared" ca="1" si="83"/>
        <v>#REF!</v>
      </c>
      <c r="J465" s="118" t="e">
        <f t="shared" ca="1" si="84"/>
        <v>#REF!</v>
      </c>
      <c r="K465" s="118" t="e">
        <f t="shared" ca="1" si="85"/>
        <v>#REF!</v>
      </c>
      <c r="L465" s="118" t="e">
        <f t="shared" ca="1" si="86"/>
        <v>#REF!</v>
      </c>
      <c r="M465" s="118" t="e">
        <f t="shared" ca="1" si="87"/>
        <v>#REF!</v>
      </c>
    </row>
    <row r="466" spans="1:13" x14ac:dyDescent="0.25">
      <c r="A466" s="119">
        <v>44919</v>
      </c>
      <c r="B466" s="119">
        <v>44919</v>
      </c>
      <c r="C466" s="118" t="e">
        <f t="shared" ca="1" si="77"/>
        <v>#REF!</v>
      </c>
      <c r="D466" s="118" t="e">
        <f t="shared" ca="1" si="78"/>
        <v>#REF!</v>
      </c>
      <c r="E466" s="118" t="e">
        <f t="shared" ca="1" si="79"/>
        <v>#REF!</v>
      </c>
      <c r="F466" s="118" t="e">
        <f t="shared" ca="1" si="80"/>
        <v>#REF!</v>
      </c>
      <c r="G466" s="118" t="e">
        <f t="shared" ca="1" si="81"/>
        <v>#REF!</v>
      </c>
      <c r="H466" s="118" t="e">
        <f t="shared" ca="1" si="82"/>
        <v>#REF!</v>
      </c>
      <c r="I466" s="118" t="e">
        <f t="shared" ca="1" si="83"/>
        <v>#REF!</v>
      </c>
      <c r="J466" s="118" t="e">
        <f t="shared" ca="1" si="84"/>
        <v>#REF!</v>
      </c>
      <c r="K466" s="118" t="e">
        <f t="shared" ca="1" si="85"/>
        <v>#REF!</v>
      </c>
      <c r="L466" s="118" t="e">
        <f t="shared" ca="1" si="86"/>
        <v>#REF!</v>
      </c>
      <c r="M466" s="118" t="e">
        <f t="shared" ca="1" si="87"/>
        <v>#REF!</v>
      </c>
    </row>
    <row r="467" spans="1:13" x14ac:dyDescent="0.25">
      <c r="A467" s="119">
        <v>44920</v>
      </c>
      <c r="B467" s="119">
        <v>44920</v>
      </c>
      <c r="C467" s="118" t="e">
        <f t="shared" ca="1" si="77"/>
        <v>#REF!</v>
      </c>
      <c r="D467" s="118" t="e">
        <f t="shared" ca="1" si="78"/>
        <v>#REF!</v>
      </c>
      <c r="E467" s="118" t="e">
        <f t="shared" ca="1" si="79"/>
        <v>#REF!</v>
      </c>
      <c r="F467" s="118" t="e">
        <f t="shared" ca="1" si="80"/>
        <v>#REF!</v>
      </c>
      <c r="G467" s="118" t="e">
        <f t="shared" ca="1" si="81"/>
        <v>#REF!</v>
      </c>
      <c r="H467" s="118" t="e">
        <f t="shared" ca="1" si="82"/>
        <v>#REF!</v>
      </c>
      <c r="I467" s="118" t="e">
        <f t="shared" ca="1" si="83"/>
        <v>#REF!</v>
      </c>
      <c r="J467" s="118" t="e">
        <f t="shared" ca="1" si="84"/>
        <v>#REF!</v>
      </c>
      <c r="K467" s="118" t="e">
        <f t="shared" ca="1" si="85"/>
        <v>#REF!</v>
      </c>
      <c r="L467" s="118" t="e">
        <f t="shared" ca="1" si="86"/>
        <v>#REF!</v>
      </c>
      <c r="M467" s="118" t="e">
        <f t="shared" ca="1" si="87"/>
        <v>#REF!</v>
      </c>
    </row>
    <row r="468" spans="1:13" x14ac:dyDescent="0.25">
      <c r="A468" s="119">
        <v>44921</v>
      </c>
      <c r="B468" s="119">
        <v>44921</v>
      </c>
      <c r="C468" s="118" t="e">
        <f t="shared" ca="1" si="77"/>
        <v>#REF!</v>
      </c>
      <c r="D468" s="118" t="e">
        <f t="shared" ca="1" si="78"/>
        <v>#REF!</v>
      </c>
      <c r="E468" s="118" t="e">
        <f t="shared" ca="1" si="79"/>
        <v>#REF!</v>
      </c>
      <c r="F468" s="118" t="e">
        <f t="shared" ca="1" si="80"/>
        <v>#REF!</v>
      </c>
      <c r="G468" s="118" t="e">
        <f t="shared" ca="1" si="81"/>
        <v>#REF!</v>
      </c>
      <c r="H468" s="118" t="e">
        <f t="shared" ca="1" si="82"/>
        <v>#REF!</v>
      </c>
      <c r="I468" s="118" t="e">
        <f t="shared" ca="1" si="83"/>
        <v>#REF!</v>
      </c>
      <c r="J468" s="118" t="e">
        <f t="shared" ca="1" si="84"/>
        <v>#REF!</v>
      </c>
      <c r="K468" s="118" t="e">
        <f t="shared" ca="1" si="85"/>
        <v>#REF!</v>
      </c>
      <c r="L468" s="118" t="e">
        <f t="shared" ca="1" si="86"/>
        <v>#REF!</v>
      </c>
      <c r="M468" s="118" t="e">
        <f t="shared" ca="1" si="87"/>
        <v>#REF!</v>
      </c>
    </row>
    <row r="469" spans="1:13" x14ac:dyDescent="0.25">
      <c r="A469" s="119">
        <v>44922</v>
      </c>
      <c r="B469" s="119">
        <v>44922</v>
      </c>
      <c r="C469" s="118" t="e">
        <f t="shared" ca="1" si="77"/>
        <v>#REF!</v>
      </c>
      <c r="D469" s="118" t="e">
        <f t="shared" ca="1" si="78"/>
        <v>#REF!</v>
      </c>
      <c r="E469" s="118" t="e">
        <f t="shared" ca="1" si="79"/>
        <v>#REF!</v>
      </c>
      <c r="F469" s="118" t="e">
        <f t="shared" ca="1" si="80"/>
        <v>#REF!</v>
      </c>
      <c r="G469" s="118" t="e">
        <f t="shared" ca="1" si="81"/>
        <v>#REF!</v>
      </c>
      <c r="H469" s="118" t="e">
        <f t="shared" ca="1" si="82"/>
        <v>#REF!</v>
      </c>
      <c r="I469" s="118" t="e">
        <f t="shared" ca="1" si="83"/>
        <v>#REF!</v>
      </c>
      <c r="J469" s="118" t="e">
        <f t="shared" ca="1" si="84"/>
        <v>#REF!</v>
      </c>
      <c r="K469" s="118" t="e">
        <f t="shared" ca="1" si="85"/>
        <v>#REF!</v>
      </c>
      <c r="L469" s="118" t="e">
        <f t="shared" ca="1" si="86"/>
        <v>#REF!</v>
      </c>
      <c r="M469" s="118" t="e">
        <f t="shared" ca="1" si="87"/>
        <v>#REF!</v>
      </c>
    </row>
    <row r="470" spans="1:13" x14ac:dyDescent="0.25">
      <c r="A470" s="119">
        <v>44923</v>
      </c>
      <c r="B470" s="119">
        <v>44923</v>
      </c>
      <c r="C470" s="118" t="e">
        <f t="shared" ca="1" si="77"/>
        <v>#REF!</v>
      </c>
      <c r="D470" s="118" t="e">
        <f t="shared" ca="1" si="78"/>
        <v>#REF!</v>
      </c>
      <c r="E470" s="118" t="e">
        <f t="shared" ca="1" si="79"/>
        <v>#REF!</v>
      </c>
      <c r="F470" s="118" t="e">
        <f t="shared" ca="1" si="80"/>
        <v>#REF!</v>
      </c>
      <c r="G470" s="118" t="e">
        <f t="shared" ca="1" si="81"/>
        <v>#REF!</v>
      </c>
      <c r="H470" s="118" t="e">
        <f t="shared" ca="1" si="82"/>
        <v>#REF!</v>
      </c>
      <c r="I470" s="118" t="e">
        <f t="shared" ca="1" si="83"/>
        <v>#REF!</v>
      </c>
      <c r="J470" s="118" t="e">
        <f t="shared" ca="1" si="84"/>
        <v>#REF!</v>
      </c>
      <c r="K470" s="118" t="e">
        <f t="shared" ca="1" si="85"/>
        <v>#REF!</v>
      </c>
      <c r="L470" s="118" t="e">
        <f t="shared" ca="1" si="86"/>
        <v>#REF!</v>
      </c>
      <c r="M470" s="118" t="e">
        <f t="shared" ca="1" si="87"/>
        <v>#REF!</v>
      </c>
    </row>
    <row r="471" spans="1:13" x14ac:dyDescent="0.25">
      <c r="A471" s="119">
        <v>44924</v>
      </c>
      <c r="B471" s="119">
        <v>44924</v>
      </c>
      <c r="C471" s="118" t="e">
        <f t="shared" ca="1" si="77"/>
        <v>#REF!</v>
      </c>
      <c r="D471" s="118" t="e">
        <f t="shared" ca="1" si="78"/>
        <v>#REF!</v>
      </c>
      <c r="E471" s="118" t="e">
        <f t="shared" ca="1" si="79"/>
        <v>#REF!</v>
      </c>
      <c r="F471" s="118" t="e">
        <f t="shared" ca="1" si="80"/>
        <v>#REF!</v>
      </c>
      <c r="G471" s="118" t="e">
        <f t="shared" ca="1" si="81"/>
        <v>#REF!</v>
      </c>
      <c r="H471" s="118" t="e">
        <f t="shared" ca="1" si="82"/>
        <v>#REF!</v>
      </c>
      <c r="I471" s="118" t="e">
        <f t="shared" ca="1" si="83"/>
        <v>#REF!</v>
      </c>
      <c r="J471" s="118" t="e">
        <f t="shared" ca="1" si="84"/>
        <v>#REF!</v>
      </c>
      <c r="K471" s="118" t="e">
        <f t="shared" ca="1" si="85"/>
        <v>#REF!</v>
      </c>
      <c r="L471" s="118" t="e">
        <f t="shared" ca="1" si="86"/>
        <v>#REF!</v>
      </c>
      <c r="M471" s="118" t="e">
        <f t="shared" ca="1" si="87"/>
        <v>#REF!</v>
      </c>
    </row>
    <row r="472" spans="1:13" x14ac:dyDescent="0.25">
      <c r="A472" s="119" t="s">
        <v>216</v>
      </c>
      <c r="B472" s="119">
        <v>44925</v>
      </c>
      <c r="C472" s="118" t="e">
        <f t="shared" ca="1" si="77"/>
        <v>#REF!</v>
      </c>
      <c r="D472" s="118" t="e">
        <f t="shared" ca="1" si="78"/>
        <v>#REF!</v>
      </c>
      <c r="E472" s="118" t="e">
        <f t="shared" ca="1" si="79"/>
        <v>#REF!</v>
      </c>
      <c r="F472" s="118" t="e">
        <f t="shared" ca="1" si="80"/>
        <v>#REF!</v>
      </c>
      <c r="G472" s="118" t="e">
        <f t="shared" ca="1" si="81"/>
        <v>#REF!</v>
      </c>
      <c r="H472" s="118" t="e">
        <f t="shared" ca="1" si="82"/>
        <v>#REF!</v>
      </c>
      <c r="I472" s="118" t="e">
        <f t="shared" ca="1" si="83"/>
        <v>#REF!</v>
      </c>
      <c r="J472" s="118" t="e">
        <f t="shared" ca="1" si="84"/>
        <v>#REF!</v>
      </c>
      <c r="K472" s="118" t="e">
        <f t="shared" ca="1" si="85"/>
        <v>#REF!</v>
      </c>
      <c r="L472" s="118" t="e">
        <f t="shared" ca="1" si="86"/>
        <v>#REF!</v>
      </c>
      <c r="M472" s="118" t="e">
        <f t="shared" ca="1" si="87"/>
        <v>#REF!</v>
      </c>
    </row>
    <row r="473" spans="1:13" x14ac:dyDescent="0.25">
      <c r="A473" s="119">
        <v>44926</v>
      </c>
      <c r="B473" s="119">
        <v>44926</v>
      </c>
      <c r="C473" s="118" t="e">
        <f t="shared" ca="1" si="77"/>
        <v>#REF!</v>
      </c>
      <c r="D473" s="118" t="e">
        <f t="shared" ca="1" si="78"/>
        <v>#REF!</v>
      </c>
      <c r="E473" s="118" t="e">
        <f t="shared" ca="1" si="79"/>
        <v>#REF!</v>
      </c>
      <c r="F473" s="118" t="e">
        <f t="shared" ca="1" si="80"/>
        <v>#REF!</v>
      </c>
      <c r="G473" s="118" t="e">
        <f t="shared" ca="1" si="81"/>
        <v>#REF!</v>
      </c>
      <c r="H473" s="118" t="e">
        <f t="shared" ca="1" si="82"/>
        <v>#REF!</v>
      </c>
      <c r="I473" s="118" t="e">
        <f t="shared" ca="1" si="83"/>
        <v>#REF!</v>
      </c>
      <c r="J473" s="118" t="e">
        <f t="shared" ca="1" si="84"/>
        <v>#REF!</v>
      </c>
      <c r="K473" s="118" t="e">
        <f t="shared" ca="1" si="85"/>
        <v>#REF!</v>
      </c>
      <c r="L473" s="118" t="e">
        <f t="shared" ca="1" si="86"/>
        <v>#REF!</v>
      </c>
      <c r="M473" s="118" t="e">
        <f t="shared" ca="1" si="87"/>
        <v>#REF!</v>
      </c>
    </row>
    <row r="474" spans="1:13" x14ac:dyDescent="0.25">
      <c r="A474" s="119">
        <v>44927</v>
      </c>
      <c r="B474" s="119">
        <v>44927</v>
      </c>
      <c r="C474" s="118" t="e">
        <f t="shared" ca="1" si="77"/>
        <v>#REF!</v>
      </c>
      <c r="D474" s="118" t="e">
        <f t="shared" ca="1" si="78"/>
        <v>#REF!</v>
      </c>
      <c r="E474" s="118" t="e">
        <f t="shared" ca="1" si="79"/>
        <v>#REF!</v>
      </c>
      <c r="F474" s="118" t="e">
        <f t="shared" ca="1" si="80"/>
        <v>#REF!</v>
      </c>
      <c r="G474" s="118" t="e">
        <f t="shared" ca="1" si="81"/>
        <v>#REF!</v>
      </c>
      <c r="H474" s="118" t="e">
        <f t="shared" ca="1" si="82"/>
        <v>#REF!</v>
      </c>
      <c r="I474" s="118" t="e">
        <f t="shared" ca="1" si="83"/>
        <v>#REF!</v>
      </c>
      <c r="J474" s="118" t="e">
        <f t="shared" ca="1" si="84"/>
        <v>#REF!</v>
      </c>
      <c r="K474" s="118" t="e">
        <f t="shared" ca="1" si="85"/>
        <v>#REF!</v>
      </c>
      <c r="L474" s="118" t="e">
        <f t="shared" ca="1" si="86"/>
        <v>#REF!</v>
      </c>
      <c r="M474" s="118" t="e">
        <f t="shared" ca="1" si="87"/>
        <v>#REF!</v>
      </c>
    </row>
    <row r="475" spans="1:13" x14ac:dyDescent="0.25">
      <c r="A475" s="119">
        <v>44928</v>
      </c>
      <c r="B475" s="119">
        <v>44928</v>
      </c>
      <c r="C475" s="118" t="e">
        <f t="shared" ca="1" si="77"/>
        <v>#REF!</v>
      </c>
      <c r="D475" s="118" t="e">
        <f t="shared" ca="1" si="78"/>
        <v>#REF!</v>
      </c>
      <c r="E475" s="118" t="e">
        <f t="shared" ca="1" si="79"/>
        <v>#REF!</v>
      </c>
      <c r="F475" s="118" t="e">
        <f t="shared" ca="1" si="80"/>
        <v>#REF!</v>
      </c>
      <c r="G475" s="118" t="e">
        <f t="shared" ca="1" si="81"/>
        <v>#REF!</v>
      </c>
      <c r="H475" s="118" t="e">
        <f t="shared" ca="1" si="82"/>
        <v>#REF!</v>
      </c>
      <c r="I475" s="118" t="e">
        <f t="shared" ca="1" si="83"/>
        <v>#REF!</v>
      </c>
      <c r="J475" s="118" t="e">
        <f t="shared" ca="1" si="84"/>
        <v>#REF!</v>
      </c>
      <c r="K475" s="118" t="e">
        <f t="shared" ca="1" si="85"/>
        <v>#REF!</v>
      </c>
      <c r="L475" s="118" t="e">
        <f t="shared" ca="1" si="86"/>
        <v>#REF!</v>
      </c>
      <c r="M475" s="118" t="e">
        <f t="shared" ca="1" si="87"/>
        <v>#REF!</v>
      </c>
    </row>
    <row r="476" spans="1:13" x14ac:dyDescent="0.25">
      <c r="A476" s="119">
        <v>44929</v>
      </c>
      <c r="B476" s="119">
        <v>44929</v>
      </c>
      <c r="C476" s="118" t="e">
        <f t="shared" ca="1" si="77"/>
        <v>#REF!</v>
      </c>
      <c r="D476" s="118" t="e">
        <f t="shared" ca="1" si="78"/>
        <v>#REF!</v>
      </c>
      <c r="E476" s="118" t="e">
        <f t="shared" ca="1" si="79"/>
        <v>#REF!</v>
      </c>
      <c r="F476" s="118" t="e">
        <f t="shared" ca="1" si="80"/>
        <v>#REF!</v>
      </c>
      <c r="G476" s="118" t="e">
        <f t="shared" ca="1" si="81"/>
        <v>#REF!</v>
      </c>
      <c r="H476" s="118" t="e">
        <f t="shared" ca="1" si="82"/>
        <v>#REF!</v>
      </c>
      <c r="I476" s="118" t="e">
        <f t="shared" ca="1" si="83"/>
        <v>#REF!</v>
      </c>
      <c r="J476" s="118" t="e">
        <f t="shared" ca="1" si="84"/>
        <v>#REF!</v>
      </c>
      <c r="K476" s="118" t="e">
        <f t="shared" ca="1" si="85"/>
        <v>#REF!</v>
      </c>
      <c r="L476" s="118" t="e">
        <f t="shared" ca="1" si="86"/>
        <v>#REF!</v>
      </c>
      <c r="M476" s="118" t="e">
        <f t="shared" ca="1" si="87"/>
        <v>#REF!</v>
      </c>
    </row>
    <row r="477" spans="1:13" x14ac:dyDescent="0.25">
      <c r="A477" s="119">
        <v>44930</v>
      </c>
      <c r="B477" s="119">
        <v>44930</v>
      </c>
      <c r="C477" s="118" t="e">
        <f t="shared" ca="1" si="77"/>
        <v>#REF!</v>
      </c>
      <c r="D477" s="118" t="e">
        <f t="shared" ca="1" si="78"/>
        <v>#REF!</v>
      </c>
      <c r="E477" s="118" t="e">
        <f t="shared" ca="1" si="79"/>
        <v>#REF!</v>
      </c>
      <c r="F477" s="118" t="e">
        <f t="shared" ca="1" si="80"/>
        <v>#REF!</v>
      </c>
      <c r="G477" s="118" t="e">
        <f t="shared" ca="1" si="81"/>
        <v>#REF!</v>
      </c>
      <c r="H477" s="118" t="e">
        <f t="shared" ca="1" si="82"/>
        <v>#REF!</v>
      </c>
      <c r="I477" s="118" t="e">
        <f t="shared" ca="1" si="83"/>
        <v>#REF!</v>
      </c>
      <c r="J477" s="118" t="e">
        <f t="shared" ca="1" si="84"/>
        <v>#REF!</v>
      </c>
      <c r="K477" s="118" t="e">
        <f t="shared" ca="1" si="85"/>
        <v>#REF!</v>
      </c>
      <c r="L477" s="118" t="e">
        <f t="shared" ca="1" si="86"/>
        <v>#REF!</v>
      </c>
      <c r="M477" s="118" t="e">
        <f t="shared" ca="1" si="87"/>
        <v>#REF!</v>
      </c>
    </row>
    <row r="478" spans="1:13" x14ac:dyDescent="0.25">
      <c r="A478" s="119">
        <v>44931</v>
      </c>
      <c r="B478" s="119">
        <v>44931</v>
      </c>
      <c r="C478" s="118" t="e">
        <f t="shared" ca="1" si="77"/>
        <v>#REF!</v>
      </c>
      <c r="D478" s="118" t="e">
        <f t="shared" ca="1" si="78"/>
        <v>#REF!</v>
      </c>
      <c r="E478" s="118" t="e">
        <f t="shared" ca="1" si="79"/>
        <v>#REF!</v>
      </c>
      <c r="F478" s="118" t="e">
        <f t="shared" ca="1" si="80"/>
        <v>#REF!</v>
      </c>
      <c r="G478" s="118" t="e">
        <f t="shared" ca="1" si="81"/>
        <v>#REF!</v>
      </c>
      <c r="H478" s="118" t="e">
        <f t="shared" ca="1" si="82"/>
        <v>#REF!</v>
      </c>
      <c r="I478" s="118" t="e">
        <f t="shared" ca="1" si="83"/>
        <v>#REF!</v>
      </c>
      <c r="J478" s="118" t="e">
        <f t="shared" ca="1" si="84"/>
        <v>#REF!</v>
      </c>
      <c r="K478" s="118" t="e">
        <f t="shared" ca="1" si="85"/>
        <v>#REF!</v>
      </c>
      <c r="L478" s="118" t="e">
        <f t="shared" ca="1" si="86"/>
        <v>#REF!</v>
      </c>
      <c r="M478" s="118" t="e">
        <f t="shared" ca="1" si="87"/>
        <v>#REF!</v>
      </c>
    </row>
    <row r="479" spans="1:13" x14ac:dyDescent="0.25">
      <c r="A479" s="119">
        <v>44932</v>
      </c>
      <c r="B479" s="119">
        <v>44932</v>
      </c>
      <c r="C479" s="118" t="e">
        <f t="shared" ca="1" si="77"/>
        <v>#REF!</v>
      </c>
      <c r="D479" s="118" t="e">
        <f t="shared" ca="1" si="78"/>
        <v>#REF!</v>
      </c>
      <c r="E479" s="118" t="e">
        <f t="shared" ca="1" si="79"/>
        <v>#REF!</v>
      </c>
      <c r="F479" s="118" t="e">
        <f t="shared" ca="1" si="80"/>
        <v>#REF!</v>
      </c>
      <c r="G479" s="118" t="e">
        <f t="shared" ca="1" si="81"/>
        <v>#REF!</v>
      </c>
      <c r="H479" s="118" t="e">
        <f t="shared" ca="1" si="82"/>
        <v>#REF!</v>
      </c>
      <c r="I479" s="118" t="e">
        <f t="shared" ca="1" si="83"/>
        <v>#REF!</v>
      </c>
      <c r="J479" s="118" t="e">
        <f t="shared" ca="1" si="84"/>
        <v>#REF!</v>
      </c>
      <c r="K479" s="118" t="e">
        <f t="shared" ca="1" si="85"/>
        <v>#REF!</v>
      </c>
      <c r="L479" s="118" t="e">
        <f t="shared" ca="1" si="86"/>
        <v>#REF!</v>
      </c>
      <c r="M479" s="118" t="e">
        <f t="shared" ca="1" si="87"/>
        <v>#REF!</v>
      </c>
    </row>
    <row r="480" spans="1:13" x14ac:dyDescent="0.25">
      <c r="A480" s="119">
        <v>44933</v>
      </c>
      <c r="B480" s="119">
        <v>44933</v>
      </c>
      <c r="C480" s="118" t="e">
        <f t="shared" ca="1" si="77"/>
        <v>#REF!</v>
      </c>
      <c r="D480" s="118" t="e">
        <f t="shared" ca="1" si="78"/>
        <v>#REF!</v>
      </c>
      <c r="E480" s="118" t="e">
        <f t="shared" ca="1" si="79"/>
        <v>#REF!</v>
      </c>
      <c r="F480" s="118" t="e">
        <f t="shared" ca="1" si="80"/>
        <v>#REF!</v>
      </c>
      <c r="G480" s="118" t="e">
        <f t="shared" ca="1" si="81"/>
        <v>#REF!</v>
      </c>
      <c r="H480" s="118" t="e">
        <f t="shared" ca="1" si="82"/>
        <v>#REF!</v>
      </c>
      <c r="I480" s="118" t="e">
        <f t="shared" ca="1" si="83"/>
        <v>#REF!</v>
      </c>
      <c r="J480" s="118" t="e">
        <f t="shared" ca="1" si="84"/>
        <v>#REF!</v>
      </c>
      <c r="K480" s="118" t="e">
        <f t="shared" ca="1" si="85"/>
        <v>#REF!</v>
      </c>
      <c r="L480" s="118" t="e">
        <f t="shared" ca="1" si="86"/>
        <v>#REF!</v>
      </c>
      <c r="M480" s="118" t="e">
        <f t="shared" ca="1" si="87"/>
        <v>#REF!</v>
      </c>
    </row>
    <row r="481" spans="1:13" x14ac:dyDescent="0.25">
      <c r="A481" s="119">
        <v>44934</v>
      </c>
      <c r="B481" s="119">
        <v>44934</v>
      </c>
      <c r="C481" s="118" t="e">
        <f t="shared" ca="1" si="77"/>
        <v>#REF!</v>
      </c>
      <c r="D481" s="118" t="e">
        <f t="shared" ca="1" si="78"/>
        <v>#REF!</v>
      </c>
      <c r="E481" s="118" t="e">
        <f t="shared" ca="1" si="79"/>
        <v>#REF!</v>
      </c>
      <c r="F481" s="118" t="e">
        <f t="shared" ca="1" si="80"/>
        <v>#REF!</v>
      </c>
      <c r="G481" s="118" t="e">
        <f t="shared" ca="1" si="81"/>
        <v>#REF!</v>
      </c>
      <c r="H481" s="118" t="e">
        <f t="shared" ca="1" si="82"/>
        <v>#REF!</v>
      </c>
      <c r="I481" s="118" t="e">
        <f t="shared" ca="1" si="83"/>
        <v>#REF!</v>
      </c>
      <c r="J481" s="118" t="e">
        <f t="shared" ca="1" si="84"/>
        <v>#REF!</v>
      </c>
      <c r="K481" s="118" t="e">
        <f t="shared" ca="1" si="85"/>
        <v>#REF!</v>
      </c>
      <c r="L481" s="118" t="e">
        <f t="shared" ca="1" si="86"/>
        <v>#REF!</v>
      </c>
      <c r="M481" s="118" t="e">
        <f t="shared" ca="1" si="87"/>
        <v>#REF!</v>
      </c>
    </row>
    <row r="482" spans="1:13" x14ac:dyDescent="0.25">
      <c r="A482" s="119">
        <v>44935</v>
      </c>
      <c r="B482" s="119">
        <v>44935</v>
      </c>
      <c r="C482" s="118" t="e">
        <f t="shared" ca="1" si="77"/>
        <v>#REF!</v>
      </c>
      <c r="D482" s="118" t="e">
        <f t="shared" ca="1" si="78"/>
        <v>#REF!</v>
      </c>
      <c r="E482" s="118" t="e">
        <f t="shared" ca="1" si="79"/>
        <v>#REF!</v>
      </c>
      <c r="F482" s="118" t="e">
        <f t="shared" ca="1" si="80"/>
        <v>#REF!</v>
      </c>
      <c r="G482" s="118" t="e">
        <f t="shared" ca="1" si="81"/>
        <v>#REF!</v>
      </c>
      <c r="H482" s="118" t="e">
        <f t="shared" ca="1" si="82"/>
        <v>#REF!</v>
      </c>
      <c r="I482" s="118" t="e">
        <f t="shared" ca="1" si="83"/>
        <v>#REF!</v>
      </c>
      <c r="J482" s="118" t="e">
        <f t="shared" ca="1" si="84"/>
        <v>#REF!</v>
      </c>
      <c r="K482" s="118" t="e">
        <f t="shared" ca="1" si="85"/>
        <v>#REF!</v>
      </c>
      <c r="L482" s="118" t="e">
        <f t="shared" ca="1" si="86"/>
        <v>#REF!</v>
      </c>
      <c r="M482" s="118" t="e">
        <f t="shared" ca="1" si="87"/>
        <v>#REF!</v>
      </c>
    </row>
    <row r="483" spans="1:13" x14ac:dyDescent="0.25">
      <c r="A483" s="119">
        <v>44936</v>
      </c>
      <c r="B483" s="119">
        <v>44936</v>
      </c>
      <c r="C483" s="118" t="e">
        <f t="shared" ca="1" si="77"/>
        <v>#REF!</v>
      </c>
      <c r="D483" s="118" t="e">
        <f t="shared" ca="1" si="78"/>
        <v>#REF!</v>
      </c>
      <c r="E483" s="118" t="e">
        <f t="shared" ca="1" si="79"/>
        <v>#REF!</v>
      </c>
      <c r="F483" s="118" t="e">
        <f t="shared" ca="1" si="80"/>
        <v>#REF!</v>
      </c>
      <c r="G483" s="118" t="e">
        <f t="shared" ca="1" si="81"/>
        <v>#REF!</v>
      </c>
      <c r="H483" s="118" t="e">
        <f t="shared" ca="1" si="82"/>
        <v>#REF!</v>
      </c>
      <c r="I483" s="118" t="e">
        <f t="shared" ca="1" si="83"/>
        <v>#REF!</v>
      </c>
      <c r="J483" s="118" t="e">
        <f t="shared" ca="1" si="84"/>
        <v>#REF!</v>
      </c>
      <c r="K483" s="118" t="e">
        <f t="shared" ca="1" si="85"/>
        <v>#REF!</v>
      </c>
      <c r="L483" s="118" t="e">
        <f t="shared" ca="1" si="86"/>
        <v>#REF!</v>
      </c>
      <c r="M483" s="118" t="e">
        <f t="shared" ca="1" si="87"/>
        <v>#REF!</v>
      </c>
    </row>
    <row r="484" spans="1:13" x14ac:dyDescent="0.25">
      <c r="A484" s="119">
        <v>44937</v>
      </c>
      <c r="B484" s="119">
        <v>44937</v>
      </c>
      <c r="C484" s="118" t="e">
        <f t="shared" ca="1" si="77"/>
        <v>#REF!</v>
      </c>
      <c r="D484" s="118" t="e">
        <f t="shared" ca="1" si="78"/>
        <v>#REF!</v>
      </c>
      <c r="E484" s="118" t="e">
        <f t="shared" ca="1" si="79"/>
        <v>#REF!</v>
      </c>
      <c r="F484" s="118" t="e">
        <f t="shared" ca="1" si="80"/>
        <v>#REF!</v>
      </c>
      <c r="G484" s="118" t="e">
        <f t="shared" ca="1" si="81"/>
        <v>#REF!</v>
      </c>
      <c r="H484" s="118" t="e">
        <f t="shared" ca="1" si="82"/>
        <v>#REF!</v>
      </c>
      <c r="I484" s="118" t="e">
        <f t="shared" ca="1" si="83"/>
        <v>#REF!</v>
      </c>
      <c r="J484" s="118" t="e">
        <f t="shared" ca="1" si="84"/>
        <v>#REF!</v>
      </c>
      <c r="K484" s="118" t="e">
        <f t="shared" ca="1" si="85"/>
        <v>#REF!</v>
      </c>
      <c r="L484" s="118" t="e">
        <f t="shared" ca="1" si="86"/>
        <v>#REF!</v>
      </c>
      <c r="M484" s="118" t="e">
        <f t="shared" ca="1" si="87"/>
        <v>#REF!</v>
      </c>
    </row>
    <row r="485" spans="1:13" x14ac:dyDescent="0.25">
      <c r="A485" s="119">
        <v>44938</v>
      </c>
      <c r="B485" s="119">
        <v>44938</v>
      </c>
      <c r="C485" s="118" t="e">
        <f t="shared" ca="1" si="77"/>
        <v>#REF!</v>
      </c>
      <c r="D485" s="118" t="e">
        <f t="shared" ca="1" si="78"/>
        <v>#REF!</v>
      </c>
      <c r="E485" s="118" t="e">
        <f t="shared" ca="1" si="79"/>
        <v>#REF!</v>
      </c>
      <c r="F485" s="118" t="e">
        <f t="shared" ca="1" si="80"/>
        <v>#REF!</v>
      </c>
      <c r="G485" s="118" t="e">
        <f t="shared" ca="1" si="81"/>
        <v>#REF!</v>
      </c>
      <c r="H485" s="118" t="e">
        <f t="shared" ca="1" si="82"/>
        <v>#REF!</v>
      </c>
      <c r="I485" s="118" t="e">
        <f t="shared" ca="1" si="83"/>
        <v>#REF!</v>
      </c>
      <c r="J485" s="118" t="e">
        <f t="shared" ca="1" si="84"/>
        <v>#REF!</v>
      </c>
      <c r="K485" s="118" t="e">
        <f t="shared" ca="1" si="85"/>
        <v>#REF!</v>
      </c>
      <c r="L485" s="118" t="e">
        <f t="shared" ca="1" si="86"/>
        <v>#REF!</v>
      </c>
      <c r="M485" s="118" t="e">
        <f t="shared" ca="1" si="87"/>
        <v>#REF!</v>
      </c>
    </row>
    <row r="486" spans="1:13" x14ac:dyDescent="0.25">
      <c r="A486" s="119">
        <v>44939</v>
      </c>
      <c r="B486" s="119">
        <v>44939</v>
      </c>
      <c r="C486" s="118" t="e">
        <f t="shared" ca="1" si="77"/>
        <v>#REF!</v>
      </c>
      <c r="D486" s="118" t="e">
        <f t="shared" ca="1" si="78"/>
        <v>#REF!</v>
      </c>
      <c r="E486" s="118" t="e">
        <f t="shared" ca="1" si="79"/>
        <v>#REF!</v>
      </c>
      <c r="F486" s="118" t="e">
        <f t="shared" ca="1" si="80"/>
        <v>#REF!</v>
      </c>
      <c r="G486" s="118" t="e">
        <f t="shared" ca="1" si="81"/>
        <v>#REF!</v>
      </c>
      <c r="H486" s="118" t="e">
        <f t="shared" ca="1" si="82"/>
        <v>#REF!</v>
      </c>
      <c r="I486" s="118" t="e">
        <f t="shared" ca="1" si="83"/>
        <v>#REF!</v>
      </c>
      <c r="J486" s="118" t="e">
        <f t="shared" ca="1" si="84"/>
        <v>#REF!</v>
      </c>
      <c r="K486" s="118" t="e">
        <f t="shared" ca="1" si="85"/>
        <v>#REF!</v>
      </c>
      <c r="L486" s="118" t="e">
        <f t="shared" ca="1" si="86"/>
        <v>#REF!</v>
      </c>
      <c r="M486" s="118" t="e">
        <f t="shared" ca="1" si="87"/>
        <v>#REF!</v>
      </c>
    </row>
    <row r="487" spans="1:13" x14ac:dyDescent="0.25">
      <c r="A487" s="119">
        <v>44940</v>
      </c>
      <c r="B487" s="119">
        <v>44940</v>
      </c>
      <c r="C487" s="118" t="e">
        <f t="shared" ca="1" si="77"/>
        <v>#REF!</v>
      </c>
      <c r="D487" s="118" t="e">
        <f t="shared" ca="1" si="78"/>
        <v>#REF!</v>
      </c>
      <c r="E487" s="118" t="e">
        <f t="shared" ca="1" si="79"/>
        <v>#REF!</v>
      </c>
      <c r="F487" s="118" t="e">
        <f t="shared" ca="1" si="80"/>
        <v>#REF!</v>
      </c>
      <c r="G487" s="118" t="e">
        <f t="shared" ca="1" si="81"/>
        <v>#REF!</v>
      </c>
      <c r="H487" s="118" t="e">
        <f t="shared" ca="1" si="82"/>
        <v>#REF!</v>
      </c>
      <c r="I487" s="118" t="e">
        <f t="shared" ca="1" si="83"/>
        <v>#REF!</v>
      </c>
      <c r="J487" s="118" t="e">
        <f t="shared" ca="1" si="84"/>
        <v>#REF!</v>
      </c>
      <c r="K487" s="118" t="e">
        <f t="shared" ca="1" si="85"/>
        <v>#REF!</v>
      </c>
      <c r="L487" s="118" t="e">
        <f t="shared" ca="1" si="86"/>
        <v>#REF!</v>
      </c>
      <c r="M487" s="118" t="e">
        <f t="shared" ca="1" si="87"/>
        <v>#REF!</v>
      </c>
    </row>
    <row r="488" spans="1:13" x14ac:dyDescent="0.25">
      <c r="A488" s="119">
        <v>44941</v>
      </c>
      <c r="B488" s="119">
        <v>44941</v>
      </c>
      <c r="C488" s="118" t="e">
        <f t="shared" ca="1" si="77"/>
        <v>#REF!</v>
      </c>
      <c r="D488" s="118" t="e">
        <f t="shared" ca="1" si="78"/>
        <v>#REF!</v>
      </c>
      <c r="E488" s="118" t="e">
        <f t="shared" ca="1" si="79"/>
        <v>#REF!</v>
      </c>
      <c r="F488" s="118" t="e">
        <f t="shared" ca="1" si="80"/>
        <v>#REF!</v>
      </c>
      <c r="G488" s="118" t="e">
        <f t="shared" ca="1" si="81"/>
        <v>#REF!</v>
      </c>
      <c r="H488" s="118" t="e">
        <f t="shared" ca="1" si="82"/>
        <v>#REF!</v>
      </c>
      <c r="I488" s="118" t="e">
        <f t="shared" ca="1" si="83"/>
        <v>#REF!</v>
      </c>
      <c r="J488" s="118" t="e">
        <f t="shared" ca="1" si="84"/>
        <v>#REF!</v>
      </c>
      <c r="K488" s="118" t="e">
        <f t="shared" ca="1" si="85"/>
        <v>#REF!</v>
      </c>
      <c r="L488" s="118" t="e">
        <f t="shared" ca="1" si="86"/>
        <v>#REF!</v>
      </c>
      <c r="M488" s="118" t="e">
        <f t="shared" ca="1" si="87"/>
        <v>#REF!</v>
      </c>
    </row>
    <row r="489" spans="1:13" x14ac:dyDescent="0.25">
      <c r="A489" s="119">
        <v>44942</v>
      </c>
      <c r="B489" s="119">
        <v>44942</v>
      </c>
      <c r="C489" s="118" t="e">
        <f t="shared" ca="1" si="77"/>
        <v>#REF!</v>
      </c>
      <c r="D489" s="118" t="e">
        <f t="shared" ca="1" si="78"/>
        <v>#REF!</v>
      </c>
      <c r="E489" s="118" t="e">
        <f t="shared" ca="1" si="79"/>
        <v>#REF!</v>
      </c>
      <c r="F489" s="118" t="e">
        <f t="shared" ca="1" si="80"/>
        <v>#REF!</v>
      </c>
      <c r="G489" s="118" t="e">
        <f t="shared" ca="1" si="81"/>
        <v>#REF!</v>
      </c>
      <c r="H489" s="118" t="e">
        <f t="shared" ca="1" si="82"/>
        <v>#REF!</v>
      </c>
      <c r="I489" s="118" t="e">
        <f t="shared" ca="1" si="83"/>
        <v>#REF!</v>
      </c>
      <c r="J489" s="118" t="e">
        <f t="shared" ca="1" si="84"/>
        <v>#REF!</v>
      </c>
      <c r="K489" s="118" t="e">
        <f t="shared" ca="1" si="85"/>
        <v>#REF!</v>
      </c>
      <c r="L489" s="118" t="e">
        <f t="shared" ca="1" si="86"/>
        <v>#REF!</v>
      </c>
      <c r="M489" s="118" t="e">
        <f t="shared" ca="1" si="87"/>
        <v>#REF!</v>
      </c>
    </row>
    <row r="490" spans="1:13" x14ac:dyDescent="0.25">
      <c r="A490" s="119">
        <v>44943</v>
      </c>
      <c r="B490" s="119">
        <v>44943</v>
      </c>
      <c r="C490" s="118" t="e">
        <f t="shared" ca="1" si="77"/>
        <v>#REF!</v>
      </c>
      <c r="D490" s="118" t="e">
        <f t="shared" ca="1" si="78"/>
        <v>#REF!</v>
      </c>
      <c r="E490" s="118" t="e">
        <f t="shared" ca="1" si="79"/>
        <v>#REF!</v>
      </c>
      <c r="F490" s="118" t="e">
        <f t="shared" ca="1" si="80"/>
        <v>#REF!</v>
      </c>
      <c r="G490" s="118" t="e">
        <f t="shared" ca="1" si="81"/>
        <v>#REF!</v>
      </c>
      <c r="H490" s="118" t="e">
        <f t="shared" ca="1" si="82"/>
        <v>#REF!</v>
      </c>
      <c r="I490" s="118" t="e">
        <f t="shared" ca="1" si="83"/>
        <v>#REF!</v>
      </c>
      <c r="J490" s="118" t="e">
        <f t="shared" ca="1" si="84"/>
        <v>#REF!</v>
      </c>
      <c r="K490" s="118" t="e">
        <f t="shared" ca="1" si="85"/>
        <v>#REF!</v>
      </c>
      <c r="L490" s="118" t="e">
        <f t="shared" ca="1" si="86"/>
        <v>#REF!</v>
      </c>
      <c r="M490" s="118" t="e">
        <f t="shared" ca="1" si="87"/>
        <v>#REF!</v>
      </c>
    </row>
    <row r="491" spans="1:13" x14ac:dyDescent="0.25">
      <c r="A491" s="119">
        <v>44944</v>
      </c>
      <c r="B491" s="119">
        <v>44944</v>
      </c>
      <c r="C491" s="118" t="e">
        <f t="shared" ca="1" si="77"/>
        <v>#REF!</v>
      </c>
      <c r="D491" s="118" t="e">
        <f t="shared" ca="1" si="78"/>
        <v>#REF!</v>
      </c>
      <c r="E491" s="118" t="e">
        <f t="shared" ca="1" si="79"/>
        <v>#REF!</v>
      </c>
      <c r="F491" s="118" t="e">
        <f t="shared" ca="1" si="80"/>
        <v>#REF!</v>
      </c>
      <c r="G491" s="118" t="e">
        <f t="shared" ca="1" si="81"/>
        <v>#REF!</v>
      </c>
      <c r="H491" s="118" t="e">
        <f t="shared" ca="1" si="82"/>
        <v>#REF!</v>
      </c>
      <c r="I491" s="118" t="e">
        <f t="shared" ca="1" si="83"/>
        <v>#REF!</v>
      </c>
      <c r="J491" s="118" t="e">
        <f t="shared" ca="1" si="84"/>
        <v>#REF!</v>
      </c>
      <c r="K491" s="118" t="e">
        <f t="shared" ca="1" si="85"/>
        <v>#REF!</v>
      </c>
      <c r="L491" s="118" t="e">
        <f t="shared" ca="1" si="86"/>
        <v>#REF!</v>
      </c>
      <c r="M491" s="118" t="e">
        <f t="shared" ca="1" si="87"/>
        <v>#REF!</v>
      </c>
    </row>
    <row r="492" spans="1:13" x14ac:dyDescent="0.25">
      <c r="A492" s="119">
        <v>44945</v>
      </c>
      <c r="B492" s="119">
        <v>44945</v>
      </c>
      <c r="C492" s="118" t="e">
        <f t="shared" ca="1" si="77"/>
        <v>#REF!</v>
      </c>
      <c r="D492" s="118" t="e">
        <f t="shared" ca="1" si="78"/>
        <v>#REF!</v>
      </c>
      <c r="E492" s="118" t="e">
        <f t="shared" ca="1" si="79"/>
        <v>#REF!</v>
      </c>
      <c r="F492" s="118" t="e">
        <f t="shared" ca="1" si="80"/>
        <v>#REF!</v>
      </c>
      <c r="G492" s="118" t="e">
        <f t="shared" ca="1" si="81"/>
        <v>#REF!</v>
      </c>
      <c r="H492" s="118" t="e">
        <f t="shared" ca="1" si="82"/>
        <v>#REF!</v>
      </c>
      <c r="I492" s="118" t="e">
        <f t="shared" ca="1" si="83"/>
        <v>#REF!</v>
      </c>
      <c r="J492" s="118" t="e">
        <f t="shared" ca="1" si="84"/>
        <v>#REF!</v>
      </c>
      <c r="K492" s="118" t="e">
        <f t="shared" ca="1" si="85"/>
        <v>#REF!</v>
      </c>
      <c r="L492" s="118" t="e">
        <f t="shared" ca="1" si="86"/>
        <v>#REF!</v>
      </c>
      <c r="M492" s="118" t="e">
        <f t="shared" ca="1" si="87"/>
        <v>#REF!</v>
      </c>
    </row>
    <row r="493" spans="1:13" x14ac:dyDescent="0.25">
      <c r="A493" s="119">
        <v>44946</v>
      </c>
      <c r="B493" s="119">
        <v>44946</v>
      </c>
      <c r="C493" s="118" t="e">
        <f t="shared" ca="1" si="77"/>
        <v>#REF!</v>
      </c>
      <c r="D493" s="118" t="e">
        <f t="shared" ca="1" si="78"/>
        <v>#REF!</v>
      </c>
      <c r="E493" s="118" t="e">
        <f t="shared" ca="1" si="79"/>
        <v>#REF!</v>
      </c>
      <c r="F493" s="118" t="e">
        <f t="shared" ca="1" si="80"/>
        <v>#REF!</v>
      </c>
      <c r="G493" s="118" t="e">
        <f t="shared" ca="1" si="81"/>
        <v>#REF!</v>
      </c>
      <c r="H493" s="118" t="e">
        <f t="shared" ca="1" si="82"/>
        <v>#REF!</v>
      </c>
      <c r="I493" s="118" t="e">
        <f t="shared" ca="1" si="83"/>
        <v>#REF!</v>
      </c>
      <c r="J493" s="118" t="e">
        <f t="shared" ca="1" si="84"/>
        <v>#REF!</v>
      </c>
      <c r="K493" s="118" t="e">
        <f t="shared" ca="1" si="85"/>
        <v>#REF!</v>
      </c>
      <c r="L493" s="118" t="e">
        <f t="shared" ca="1" si="86"/>
        <v>#REF!</v>
      </c>
      <c r="M493" s="118" t="e">
        <f t="shared" ca="1" si="87"/>
        <v>#REF!</v>
      </c>
    </row>
    <row r="494" spans="1:13" x14ac:dyDescent="0.25">
      <c r="A494" s="119">
        <v>44947</v>
      </c>
      <c r="B494" s="119">
        <v>44947</v>
      </c>
      <c r="C494" s="118" t="e">
        <f t="shared" ca="1" si="77"/>
        <v>#REF!</v>
      </c>
      <c r="D494" s="118" t="e">
        <f t="shared" ca="1" si="78"/>
        <v>#REF!</v>
      </c>
      <c r="E494" s="118" t="e">
        <f t="shared" ca="1" si="79"/>
        <v>#REF!</v>
      </c>
      <c r="F494" s="118" t="e">
        <f t="shared" ca="1" si="80"/>
        <v>#REF!</v>
      </c>
      <c r="G494" s="118" t="e">
        <f t="shared" ca="1" si="81"/>
        <v>#REF!</v>
      </c>
      <c r="H494" s="118" t="e">
        <f t="shared" ca="1" si="82"/>
        <v>#REF!</v>
      </c>
      <c r="I494" s="118" t="e">
        <f t="shared" ca="1" si="83"/>
        <v>#REF!</v>
      </c>
      <c r="J494" s="118" t="e">
        <f t="shared" ca="1" si="84"/>
        <v>#REF!</v>
      </c>
      <c r="K494" s="118" t="e">
        <f t="shared" ca="1" si="85"/>
        <v>#REF!</v>
      </c>
      <c r="L494" s="118" t="e">
        <f t="shared" ca="1" si="86"/>
        <v>#REF!</v>
      </c>
      <c r="M494" s="118" t="e">
        <f t="shared" ca="1" si="87"/>
        <v>#REF!</v>
      </c>
    </row>
    <row r="495" spans="1:13" x14ac:dyDescent="0.25">
      <c r="A495" s="119">
        <v>44948</v>
      </c>
      <c r="B495" s="119">
        <v>44948</v>
      </c>
      <c r="C495" s="118" t="e">
        <f t="shared" ca="1" si="77"/>
        <v>#REF!</v>
      </c>
      <c r="D495" s="118" t="e">
        <f t="shared" ca="1" si="78"/>
        <v>#REF!</v>
      </c>
      <c r="E495" s="118" t="e">
        <f t="shared" ca="1" si="79"/>
        <v>#REF!</v>
      </c>
      <c r="F495" s="118" t="e">
        <f t="shared" ca="1" si="80"/>
        <v>#REF!</v>
      </c>
      <c r="G495" s="118" t="e">
        <f t="shared" ca="1" si="81"/>
        <v>#REF!</v>
      </c>
      <c r="H495" s="118" t="e">
        <f t="shared" ca="1" si="82"/>
        <v>#REF!</v>
      </c>
      <c r="I495" s="118" t="e">
        <f t="shared" ca="1" si="83"/>
        <v>#REF!</v>
      </c>
      <c r="J495" s="118" t="e">
        <f t="shared" ca="1" si="84"/>
        <v>#REF!</v>
      </c>
      <c r="K495" s="118" t="e">
        <f t="shared" ca="1" si="85"/>
        <v>#REF!</v>
      </c>
      <c r="L495" s="118" t="e">
        <f t="shared" ca="1" si="86"/>
        <v>#REF!</v>
      </c>
      <c r="M495" s="118" t="e">
        <f t="shared" ca="1" si="87"/>
        <v>#REF!</v>
      </c>
    </row>
    <row r="496" spans="1:13" x14ac:dyDescent="0.25">
      <c r="A496" s="119">
        <v>44949</v>
      </c>
      <c r="B496" s="119">
        <v>44949</v>
      </c>
      <c r="C496" s="118" t="e">
        <f t="shared" ca="1" si="77"/>
        <v>#REF!</v>
      </c>
      <c r="D496" s="118" t="e">
        <f t="shared" ca="1" si="78"/>
        <v>#REF!</v>
      </c>
      <c r="E496" s="118" t="e">
        <f t="shared" ca="1" si="79"/>
        <v>#REF!</v>
      </c>
      <c r="F496" s="118" t="e">
        <f t="shared" ca="1" si="80"/>
        <v>#REF!</v>
      </c>
      <c r="G496" s="118" t="e">
        <f t="shared" ca="1" si="81"/>
        <v>#REF!</v>
      </c>
      <c r="H496" s="118" t="e">
        <f t="shared" ca="1" si="82"/>
        <v>#REF!</v>
      </c>
      <c r="I496" s="118" t="e">
        <f t="shared" ca="1" si="83"/>
        <v>#REF!</v>
      </c>
      <c r="J496" s="118" t="e">
        <f t="shared" ca="1" si="84"/>
        <v>#REF!</v>
      </c>
      <c r="K496" s="118" t="e">
        <f t="shared" ca="1" si="85"/>
        <v>#REF!</v>
      </c>
      <c r="L496" s="118" t="e">
        <f t="shared" ca="1" si="86"/>
        <v>#REF!</v>
      </c>
      <c r="M496" s="118" t="e">
        <f t="shared" ca="1" si="87"/>
        <v>#REF!</v>
      </c>
    </row>
    <row r="497" spans="1:13" x14ac:dyDescent="0.25">
      <c r="A497" s="119">
        <v>44950</v>
      </c>
      <c r="B497" s="119">
        <v>44950</v>
      </c>
      <c r="C497" s="118" t="e">
        <f t="shared" ca="1" si="77"/>
        <v>#REF!</v>
      </c>
      <c r="D497" s="118" t="e">
        <f t="shared" ca="1" si="78"/>
        <v>#REF!</v>
      </c>
      <c r="E497" s="118" t="e">
        <f t="shared" ca="1" si="79"/>
        <v>#REF!</v>
      </c>
      <c r="F497" s="118" t="e">
        <f t="shared" ca="1" si="80"/>
        <v>#REF!</v>
      </c>
      <c r="G497" s="118" t="e">
        <f t="shared" ca="1" si="81"/>
        <v>#REF!</v>
      </c>
      <c r="H497" s="118" t="e">
        <f t="shared" ca="1" si="82"/>
        <v>#REF!</v>
      </c>
      <c r="I497" s="118" t="e">
        <f t="shared" ca="1" si="83"/>
        <v>#REF!</v>
      </c>
      <c r="J497" s="118" t="e">
        <f t="shared" ca="1" si="84"/>
        <v>#REF!</v>
      </c>
      <c r="K497" s="118" t="e">
        <f t="shared" ca="1" si="85"/>
        <v>#REF!</v>
      </c>
      <c r="L497" s="118" t="e">
        <f t="shared" ca="1" si="86"/>
        <v>#REF!</v>
      </c>
      <c r="M497" s="118" t="e">
        <f t="shared" ca="1" si="87"/>
        <v>#REF!</v>
      </c>
    </row>
    <row r="498" spans="1:13" x14ac:dyDescent="0.25">
      <c r="A498" s="119">
        <v>44951</v>
      </c>
      <c r="B498" s="119">
        <v>44951</v>
      </c>
      <c r="C498" s="118" t="e">
        <f t="shared" ca="1" si="77"/>
        <v>#REF!</v>
      </c>
      <c r="D498" s="118" t="e">
        <f t="shared" ca="1" si="78"/>
        <v>#REF!</v>
      </c>
      <c r="E498" s="118" t="e">
        <f t="shared" ca="1" si="79"/>
        <v>#REF!</v>
      </c>
      <c r="F498" s="118" t="e">
        <f t="shared" ca="1" si="80"/>
        <v>#REF!</v>
      </c>
      <c r="G498" s="118" t="e">
        <f t="shared" ca="1" si="81"/>
        <v>#REF!</v>
      </c>
      <c r="H498" s="118" t="e">
        <f t="shared" ca="1" si="82"/>
        <v>#REF!</v>
      </c>
      <c r="I498" s="118" t="e">
        <f t="shared" ca="1" si="83"/>
        <v>#REF!</v>
      </c>
      <c r="J498" s="118" t="e">
        <f t="shared" ca="1" si="84"/>
        <v>#REF!</v>
      </c>
      <c r="K498" s="118" t="e">
        <f t="shared" ca="1" si="85"/>
        <v>#REF!</v>
      </c>
      <c r="L498" s="118" t="e">
        <f t="shared" ca="1" si="86"/>
        <v>#REF!</v>
      </c>
      <c r="M498" s="118" t="e">
        <f t="shared" ca="1" si="87"/>
        <v>#REF!</v>
      </c>
    </row>
    <row r="499" spans="1:13" x14ac:dyDescent="0.25">
      <c r="A499" s="119">
        <v>44952</v>
      </c>
      <c r="B499" s="119">
        <v>44952</v>
      </c>
      <c r="C499" s="118" t="e">
        <f t="shared" ca="1" si="77"/>
        <v>#REF!</v>
      </c>
      <c r="D499" s="118" t="e">
        <f t="shared" ca="1" si="78"/>
        <v>#REF!</v>
      </c>
      <c r="E499" s="118" t="e">
        <f t="shared" ca="1" si="79"/>
        <v>#REF!</v>
      </c>
      <c r="F499" s="118" t="e">
        <f t="shared" ca="1" si="80"/>
        <v>#REF!</v>
      </c>
      <c r="G499" s="118" t="e">
        <f t="shared" ca="1" si="81"/>
        <v>#REF!</v>
      </c>
      <c r="H499" s="118" t="e">
        <f t="shared" ca="1" si="82"/>
        <v>#REF!</v>
      </c>
      <c r="I499" s="118" t="e">
        <f t="shared" ca="1" si="83"/>
        <v>#REF!</v>
      </c>
      <c r="J499" s="118" t="e">
        <f t="shared" ca="1" si="84"/>
        <v>#REF!</v>
      </c>
      <c r="K499" s="118" t="e">
        <f t="shared" ca="1" si="85"/>
        <v>#REF!</v>
      </c>
      <c r="L499" s="118" t="e">
        <f t="shared" ca="1" si="86"/>
        <v>#REF!</v>
      </c>
      <c r="M499" s="118" t="e">
        <f t="shared" ca="1" si="87"/>
        <v>#REF!</v>
      </c>
    </row>
    <row r="500" spans="1:13" x14ac:dyDescent="0.25">
      <c r="A500" s="119">
        <v>44953</v>
      </c>
      <c r="B500" s="119">
        <v>44953</v>
      </c>
      <c r="C500" s="118" t="e">
        <f t="shared" ca="1" si="77"/>
        <v>#REF!</v>
      </c>
      <c r="D500" s="118" t="e">
        <f t="shared" ca="1" si="78"/>
        <v>#REF!</v>
      </c>
      <c r="E500" s="118" t="e">
        <f t="shared" ca="1" si="79"/>
        <v>#REF!</v>
      </c>
      <c r="F500" s="118" t="e">
        <f t="shared" ca="1" si="80"/>
        <v>#REF!</v>
      </c>
      <c r="G500" s="118" t="e">
        <f t="shared" ca="1" si="81"/>
        <v>#REF!</v>
      </c>
      <c r="H500" s="118" t="e">
        <f t="shared" ca="1" si="82"/>
        <v>#REF!</v>
      </c>
      <c r="I500" s="118" t="e">
        <f t="shared" ca="1" si="83"/>
        <v>#REF!</v>
      </c>
      <c r="J500" s="118" t="e">
        <f t="shared" ca="1" si="84"/>
        <v>#REF!</v>
      </c>
      <c r="K500" s="118" t="e">
        <f t="shared" ca="1" si="85"/>
        <v>#REF!</v>
      </c>
      <c r="L500" s="118" t="e">
        <f t="shared" ca="1" si="86"/>
        <v>#REF!</v>
      </c>
      <c r="M500" s="118" t="e">
        <f t="shared" ca="1" si="87"/>
        <v>#REF!</v>
      </c>
    </row>
    <row r="501" spans="1:13" x14ac:dyDescent="0.25">
      <c r="A501" s="119">
        <v>44954</v>
      </c>
      <c r="B501" s="119">
        <v>44954</v>
      </c>
      <c r="C501" s="118" t="e">
        <f t="shared" ca="1" si="77"/>
        <v>#REF!</v>
      </c>
      <c r="D501" s="118" t="e">
        <f t="shared" ca="1" si="78"/>
        <v>#REF!</v>
      </c>
      <c r="E501" s="118" t="e">
        <f t="shared" ca="1" si="79"/>
        <v>#REF!</v>
      </c>
      <c r="F501" s="118" t="e">
        <f t="shared" ca="1" si="80"/>
        <v>#REF!</v>
      </c>
      <c r="G501" s="118" t="e">
        <f t="shared" ca="1" si="81"/>
        <v>#REF!</v>
      </c>
      <c r="H501" s="118" t="e">
        <f t="shared" ca="1" si="82"/>
        <v>#REF!</v>
      </c>
      <c r="I501" s="118" t="e">
        <f t="shared" ca="1" si="83"/>
        <v>#REF!</v>
      </c>
      <c r="J501" s="118" t="e">
        <f t="shared" ca="1" si="84"/>
        <v>#REF!</v>
      </c>
      <c r="K501" s="118" t="e">
        <f t="shared" ca="1" si="85"/>
        <v>#REF!</v>
      </c>
      <c r="L501" s="118" t="e">
        <f t="shared" ca="1" si="86"/>
        <v>#REF!</v>
      </c>
      <c r="M501" s="118" t="e">
        <f t="shared" ca="1" si="87"/>
        <v>#REF!</v>
      </c>
    </row>
    <row r="502" spans="1:13" x14ac:dyDescent="0.25">
      <c r="A502" s="119">
        <v>44955</v>
      </c>
      <c r="B502" s="119">
        <v>44955</v>
      </c>
      <c r="C502" s="118" t="e">
        <f t="shared" ca="1" si="77"/>
        <v>#REF!</v>
      </c>
      <c r="D502" s="118" t="e">
        <f t="shared" ca="1" si="78"/>
        <v>#REF!</v>
      </c>
      <c r="E502" s="118" t="e">
        <f t="shared" ca="1" si="79"/>
        <v>#REF!</v>
      </c>
      <c r="F502" s="118" t="e">
        <f t="shared" ca="1" si="80"/>
        <v>#REF!</v>
      </c>
      <c r="G502" s="118" t="e">
        <f t="shared" ca="1" si="81"/>
        <v>#REF!</v>
      </c>
      <c r="H502" s="118" t="e">
        <f t="shared" ca="1" si="82"/>
        <v>#REF!</v>
      </c>
      <c r="I502" s="118" t="e">
        <f t="shared" ca="1" si="83"/>
        <v>#REF!</v>
      </c>
      <c r="J502" s="118" t="e">
        <f t="shared" ca="1" si="84"/>
        <v>#REF!</v>
      </c>
      <c r="K502" s="118" t="e">
        <f t="shared" ca="1" si="85"/>
        <v>#REF!</v>
      </c>
      <c r="L502" s="118" t="e">
        <f t="shared" ca="1" si="86"/>
        <v>#REF!</v>
      </c>
      <c r="M502" s="118" t="e">
        <f t="shared" ca="1" si="87"/>
        <v>#REF!</v>
      </c>
    </row>
    <row r="503" spans="1:13" x14ac:dyDescent="0.25">
      <c r="A503" s="119">
        <v>44956</v>
      </c>
      <c r="B503" s="119">
        <v>44956</v>
      </c>
      <c r="C503" s="118" t="e">
        <f t="shared" ca="1" si="77"/>
        <v>#REF!</v>
      </c>
      <c r="D503" s="118" t="e">
        <f t="shared" ca="1" si="78"/>
        <v>#REF!</v>
      </c>
      <c r="E503" s="118" t="e">
        <f t="shared" ca="1" si="79"/>
        <v>#REF!</v>
      </c>
      <c r="F503" s="118" t="e">
        <f t="shared" ca="1" si="80"/>
        <v>#REF!</v>
      </c>
      <c r="G503" s="118" t="e">
        <f t="shared" ca="1" si="81"/>
        <v>#REF!</v>
      </c>
      <c r="H503" s="118" t="e">
        <f t="shared" ca="1" si="82"/>
        <v>#REF!</v>
      </c>
      <c r="I503" s="118" t="e">
        <f t="shared" ca="1" si="83"/>
        <v>#REF!</v>
      </c>
      <c r="J503" s="118" t="e">
        <f t="shared" ca="1" si="84"/>
        <v>#REF!</v>
      </c>
      <c r="K503" s="118" t="e">
        <f t="shared" ca="1" si="85"/>
        <v>#REF!</v>
      </c>
      <c r="L503" s="118" t="e">
        <f t="shared" ca="1" si="86"/>
        <v>#REF!</v>
      </c>
      <c r="M503" s="118" t="e">
        <f t="shared" ca="1" si="87"/>
        <v>#REF!</v>
      </c>
    </row>
    <row r="504" spans="1:13" x14ac:dyDescent="0.25">
      <c r="A504" s="119">
        <v>44957</v>
      </c>
      <c r="B504" s="119">
        <v>44957</v>
      </c>
      <c r="C504" s="118" t="e">
        <f t="shared" ca="1" si="77"/>
        <v>#REF!</v>
      </c>
      <c r="D504" s="118" t="e">
        <f t="shared" ca="1" si="78"/>
        <v>#REF!</v>
      </c>
      <c r="E504" s="118" t="e">
        <f t="shared" ca="1" si="79"/>
        <v>#REF!</v>
      </c>
      <c r="F504" s="118" t="e">
        <f t="shared" ca="1" si="80"/>
        <v>#REF!</v>
      </c>
      <c r="G504" s="118" t="e">
        <f t="shared" ca="1" si="81"/>
        <v>#REF!</v>
      </c>
      <c r="H504" s="118" t="e">
        <f t="shared" ca="1" si="82"/>
        <v>#REF!</v>
      </c>
      <c r="I504" s="118" t="e">
        <f t="shared" ca="1" si="83"/>
        <v>#REF!</v>
      </c>
      <c r="J504" s="118" t="e">
        <f t="shared" ca="1" si="84"/>
        <v>#REF!</v>
      </c>
      <c r="K504" s="118" t="e">
        <f t="shared" ca="1" si="85"/>
        <v>#REF!</v>
      </c>
      <c r="L504" s="118" t="e">
        <f t="shared" ca="1" si="86"/>
        <v>#REF!</v>
      </c>
      <c r="M504" s="118" t="e">
        <f t="shared" ca="1" si="87"/>
        <v>#REF!</v>
      </c>
    </row>
    <row r="505" spans="1:13" x14ac:dyDescent="0.25">
      <c r="A505" s="119">
        <v>44958</v>
      </c>
      <c r="B505" s="119">
        <v>44958</v>
      </c>
      <c r="C505" s="118" t="e">
        <f t="shared" ca="1" si="77"/>
        <v>#REF!</v>
      </c>
      <c r="D505" s="118" t="e">
        <f t="shared" ca="1" si="78"/>
        <v>#REF!</v>
      </c>
      <c r="E505" s="118" t="e">
        <f t="shared" ca="1" si="79"/>
        <v>#REF!</v>
      </c>
      <c r="F505" s="118" t="e">
        <f t="shared" ca="1" si="80"/>
        <v>#REF!</v>
      </c>
      <c r="G505" s="118" t="e">
        <f t="shared" ca="1" si="81"/>
        <v>#REF!</v>
      </c>
      <c r="H505" s="118" t="e">
        <f t="shared" ca="1" si="82"/>
        <v>#REF!</v>
      </c>
      <c r="I505" s="118" t="e">
        <f t="shared" ca="1" si="83"/>
        <v>#REF!</v>
      </c>
      <c r="J505" s="118" t="e">
        <f t="shared" ca="1" si="84"/>
        <v>#REF!</v>
      </c>
      <c r="K505" s="118" t="e">
        <f t="shared" ca="1" si="85"/>
        <v>#REF!</v>
      </c>
      <c r="L505" s="118" t="e">
        <f t="shared" ca="1" si="86"/>
        <v>#REF!</v>
      </c>
      <c r="M505" s="118" t="e">
        <f t="shared" ca="1" si="87"/>
        <v>#REF!</v>
      </c>
    </row>
    <row r="506" spans="1:13" x14ac:dyDescent="0.25">
      <c r="A506" s="119">
        <v>44959</v>
      </c>
      <c r="B506" s="119">
        <v>44959</v>
      </c>
      <c r="C506" s="118" t="e">
        <f t="shared" ca="1" si="77"/>
        <v>#REF!</v>
      </c>
      <c r="D506" s="118" t="e">
        <f t="shared" ca="1" si="78"/>
        <v>#REF!</v>
      </c>
      <c r="E506" s="118" t="e">
        <f t="shared" ca="1" si="79"/>
        <v>#REF!</v>
      </c>
      <c r="F506" s="118" t="e">
        <f t="shared" ca="1" si="80"/>
        <v>#REF!</v>
      </c>
      <c r="G506" s="118" t="e">
        <f t="shared" ca="1" si="81"/>
        <v>#REF!</v>
      </c>
      <c r="H506" s="118" t="e">
        <f t="shared" ca="1" si="82"/>
        <v>#REF!</v>
      </c>
      <c r="I506" s="118" t="e">
        <f t="shared" ca="1" si="83"/>
        <v>#REF!</v>
      </c>
      <c r="J506" s="118" t="e">
        <f t="shared" ca="1" si="84"/>
        <v>#REF!</v>
      </c>
      <c r="K506" s="118" t="e">
        <f t="shared" ca="1" si="85"/>
        <v>#REF!</v>
      </c>
      <c r="L506" s="118" t="e">
        <f t="shared" ca="1" si="86"/>
        <v>#REF!</v>
      </c>
      <c r="M506" s="118" t="e">
        <f t="shared" ca="1" si="87"/>
        <v>#REF!</v>
      </c>
    </row>
    <row r="507" spans="1:13" x14ac:dyDescent="0.25">
      <c r="A507" s="119">
        <v>44960</v>
      </c>
      <c r="B507" s="119">
        <v>44960</v>
      </c>
      <c r="C507" s="118" t="e">
        <f t="shared" ca="1" si="77"/>
        <v>#REF!</v>
      </c>
      <c r="D507" s="118" t="e">
        <f t="shared" ca="1" si="78"/>
        <v>#REF!</v>
      </c>
      <c r="E507" s="118" t="e">
        <f t="shared" ca="1" si="79"/>
        <v>#REF!</v>
      </c>
      <c r="F507" s="118" t="e">
        <f t="shared" ca="1" si="80"/>
        <v>#REF!</v>
      </c>
      <c r="G507" s="118" t="e">
        <f t="shared" ca="1" si="81"/>
        <v>#REF!</v>
      </c>
      <c r="H507" s="118" t="e">
        <f t="shared" ca="1" si="82"/>
        <v>#REF!</v>
      </c>
      <c r="I507" s="118" t="e">
        <f t="shared" ca="1" si="83"/>
        <v>#REF!</v>
      </c>
      <c r="J507" s="118" t="e">
        <f t="shared" ca="1" si="84"/>
        <v>#REF!</v>
      </c>
      <c r="K507" s="118" t="e">
        <f t="shared" ca="1" si="85"/>
        <v>#REF!</v>
      </c>
      <c r="L507" s="118" t="e">
        <f t="shared" ca="1" si="86"/>
        <v>#REF!</v>
      </c>
      <c r="M507" s="118" t="e">
        <f t="shared" ca="1" si="87"/>
        <v>#REF!</v>
      </c>
    </row>
    <row r="508" spans="1:13" x14ac:dyDescent="0.25">
      <c r="A508" s="119">
        <v>44961</v>
      </c>
      <c r="B508" s="119">
        <v>44961</v>
      </c>
      <c r="C508" s="118" t="e">
        <f t="shared" ca="1" si="77"/>
        <v>#REF!</v>
      </c>
      <c r="D508" s="118" t="e">
        <f t="shared" ca="1" si="78"/>
        <v>#REF!</v>
      </c>
      <c r="E508" s="118" t="e">
        <f t="shared" ca="1" si="79"/>
        <v>#REF!</v>
      </c>
      <c r="F508" s="118" t="e">
        <f t="shared" ca="1" si="80"/>
        <v>#REF!</v>
      </c>
      <c r="G508" s="118" t="e">
        <f t="shared" ca="1" si="81"/>
        <v>#REF!</v>
      </c>
      <c r="H508" s="118" t="e">
        <f t="shared" ca="1" si="82"/>
        <v>#REF!</v>
      </c>
      <c r="I508" s="118" t="e">
        <f t="shared" ca="1" si="83"/>
        <v>#REF!</v>
      </c>
      <c r="J508" s="118" t="e">
        <f t="shared" ca="1" si="84"/>
        <v>#REF!</v>
      </c>
      <c r="K508" s="118" t="e">
        <f t="shared" ca="1" si="85"/>
        <v>#REF!</v>
      </c>
      <c r="L508" s="118" t="e">
        <f t="shared" ca="1" si="86"/>
        <v>#REF!</v>
      </c>
      <c r="M508" s="118" t="e">
        <f t="shared" ca="1" si="87"/>
        <v>#REF!</v>
      </c>
    </row>
    <row r="509" spans="1:13" x14ac:dyDescent="0.25">
      <c r="A509" s="119">
        <v>44962</v>
      </c>
      <c r="B509" s="119">
        <v>44962</v>
      </c>
      <c r="C509" s="118" t="e">
        <f t="shared" ca="1" si="77"/>
        <v>#REF!</v>
      </c>
      <c r="D509" s="118" t="e">
        <f t="shared" ca="1" si="78"/>
        <v>#REF!</v>
      </c>
      <c r="E509" s="118" t="e">
        <f t="shared" ca="1" si="79"/>
        <v>#REF!</v>
      </c>
      <c r="F509" s="118" t="e">
        <f t="shared" ca="1" si="80"/>
        <v>#REF!</v>
      </c>
      <c r="G509" s="118" t="e">
        <f t="shared" ca="1" si="81"/>
        <v>#REF!</v>
      </c>
      <c r="H509" s="118" t="e">
        <f t="shared" ca="1" si="82"/>
        <v>#REF!</v>
      </c>
      <c r="I509" s="118" t="e">
        <f t="shared" ca="1" si="83"/>
        <v>#REF!</v>
      </c>
      <c r="J509" s="118" t="e">
        <f t="shared" ca="1" si="84"/>
        <v>#REF!</v>
      </c>
      <c r="K509" s="118" t="e">
        <f t="shared" ca="1" si="85"/>
        <v>#REF!</v>
      </c>
      <c r="L509" s="118" t="e">
        <f t="shared" ca="1" si="86"/>
        <v>#REF!</v>
      </c>
      <c r="M509" s="118" t="e">
        <f t="shared" ca="1" si="87"/>
        <v>#REF!</v>
      </c>
    </row>
    <row r="510" spans="1:13" x14ac:dyDescent="0.25">
      <c r="A510" s="119">
        <v>44963</v>
      </c>
      <c r="B510" s="119">
        <v>44963</v>
      </c>
      <c r="C510" s="118" t="e">
        <f t="shared" ca="1" si="77"/>
        <v>#REF!</v>
      </c>
      <c r="D510" s="118" t="e">
        <f t="shared" ca="1" si="78"/>
        <v>#REF!</v>
      </c>
      <c r="E510" s="118" t="e">
        <f t="shared" ca="1" si="79"/>
        <v>#REF!</v>
      </c>
      <c r="F510" s="118" t="e">
        <f t="shared" ca="1" si="80"/>
        <v>#REF!</v>
      </c>
      <c r="G510" s="118" t="e">
        <f t="shared" ca="1" si="81"/>
        <v>#REF!</v>
      </c>
      <c r="H510" s="118" t="e">
        <f t="shared" ca="1" si="82"/>
        <v>#REF!</v>
      </c>
      <c r="I510" s="118" t="e">
        <f t="shared" ca="1" si="83"/>
        <v>#REF!</v>
      </c>
      <c r="J510" s="118" t="e">
        <f t="shared" ca="1" si="84"/>
        <v>#REF!</v>
      </c>
      <c r="K510" s="118" t="e">
        <f t="shared" ca="1" si="85"/>
        <v>#REF!</v>
      </c>
      <c r="L510" s="118" t="e">
        <f t="shared" ca="1" si="86"/>
        <v>#REF!</v>
      </c>
      <c r="M510" s="118" t="e">
        <f t="shared" ca="1" si="87"/>
        <v>#REF!</v>
      </c>
    </row>
    <row r="511" spans="1:13" x14ac:dyDescent="0.25">
      <c r="A511" s="119">
        <v>44964</v>
      </c>
      <c r="B511" s="119">
        <v>44964</v>
      </c>
      <c r="C511" s="118" t="e">
        <f t="shared" ca="1" si="77"/>
        <v>#REF!</v>
      </c>
      <c r="D511" s="118" t="e">
        <f t="shared" ca="1" si="78"/>
        <v>#REF!</v>
      </c>
      <c r="E511" s="118" t="e">
        <f t="shared" ca="1" si="79"/>
        <v>#REF!</v>
      </c>
      <c r="F511" s="118" t="e">
        <f t="shared" ca="1" si="80"/>
        <v>#REF!</v>
      </c>
      <c r="G511" s="118" t="e">
        <f t="shared" ca="1" si="81"/>
        <v>#REF!</v>
      </c>
      <c r="H511" s="118" t="e">
        <f t="shared" ca="1" si="82"/>
        <v>#REF!</v>
      </c>
      <c r="I511" s="118" t="e">
        <f t="shared" ca="1" si="83"/>
        <v>#REF!</v>
      </c>
      <c r="J511" s="118" t="e">
        <f t="shared" ca="1" si="84"/>
        <v>#REF!</v>
      </c>
      <c r="K511" s="118" t="e">
        <f t="shared" ca="1" si="85"/>
        <v>#REF!</v>
      </c>
      <c r="L511" s="118" t="e">
        <f t="shared" ca="1" si="86"/>
        <v>#REF!</v>
      </c>
      <c r="M511" s="118" t="e">
        <f t="shared" ca="1" si="87"/>
        <v>#REF!</v>
      </c>
    </row>
    <row r="512" spans="1:13" x14ac:dyDescent="0.25">
      <c r="A512" s="119">
        <v>44965</v>
      </c>
      <c r="B512" s="119">
        <v>44965</v>
      </c>
      <c r="C512" s="118" t="e">
        <f t="shared" ca="1" si="77"/>
        <v>#REF!</v>
      </c>
      <c r="D512" s="118" t="e">
        <f t="shared" ca="1" si="78"/>
        <v>#REF!</v>
      </c>
      <c r="E512" s="118" t="e">
        <f t="shared" ca="1" si="79"/>
        <v>#REF!</v>
      </c>
      <c r="F512" s="118" t="e">
        <f t="shared" ca="1" si="80"/>
        <v>#REF!</v>
      </c>
      <c r="G512" s="118" t="e">
        <f t="shared" ca="1" si="81"/>
        <v>#REF!</v>
      </c>
      <c r="H512" s="118" t="e">
        <f t="shared" ca="1" si="82"/>
        <v>#REF!</v>
      </c>
      <c r="I512" s="118" t="e">
        <f t="shared" ca="1" si="83"/>
        <v>#REF!</v>
      </c>
      <c r="J512" s="118" t="e">
        <f t="shared" ca="1" si="84"/>
        <v>#REF!</v>
      </c>
      <c r="K512" s="118" t="e">
        <f t="shared" ca="1" si="85"/>
        <v>#REF!</v>
      </c>
      <c r="L512" s="118" t="e">
        <f t="shared" ca="1" si="86"/>
        <v>#REF!</v>
      </c>
      <c r="M512" s="118" t="e">
        <f t="shared" ca="1" si="87"/>
        <v>#REF!</v>
      </c>
    </row>
    <row r="513" spans="1:13" x14ac:dyDescent="0.25">
      <c r="A513" s="119">
        <v>44966</v>
      </c>
      <c r="B513" s="119">
        <v>44966</v>
      </c>
      <c r="C513" s="118" t="e">
        <f t="shared" ca="1" si="77"/>
        <v>#REF!</v>
      </c>
      <c r="D513" s="118" t="e">
        <f t="shared" ca="1" si="78"/>
        <v>#REF!</v>
      </c>
      <c r="E513" s="118" t="e">
        <f t="shared" ca="1" si="79"/>
        <v>#REF!</v>
      </c>
      <c r="F513" s="118" t="e">
        <f t="shared" ca="1" si="80"/>
        <v>#REF!</v>
      </c>
      <c r="G513" s="118" t="e">
        <f t="shared" ca="1" si="81"/>
        <v>#REF!</v>
      </c>
      <c r="H513" s="118" t="e">
        <f t="shared" ca="1" si="82"/>
        <v>#REF!</v>
      </c>
      <c r="I513" s="118" t="e">
        <f t="shared" ca="1" si="83"/>
        <v>#REF!</v>
      </c>
      <c r="J513" s="118" t="e">
        <f t="shared" ca="1" si="84"/>
        <v>#REF!</v>
      </c>
      <c r="K513" s="118" t="e">
        <f t="shared" ca="1" si="85"/>
        <v>#REF!</v>
      </c>
      <c r="L513" s="118" t="e">
        <f t="shared" ca="1" si="86"/>
        <v>#REF!</v>
      </c>
      <c r="M513" s="118" t="e">
        <f t="shared" ca="1" si="87"/>
        <v>#REF!</v>
      </c>
    </row>
    <row r="514" spans="1:13" x14ac:dyDescent="0.25">
      <c r="A514" s="119">
        <v>44967</v>
      </c>
      <c r="B514" s="119">
        <v>44967</v>
      </c>
      <c r="C514" s="118" t="e">
        <f t="shared" ca="1" si="77"/>
        <v>#REF!</v>
      </c>
      <c r="D514" s="118" t="e">
        <f t="shared" ca="1" si="78"/>
        <v>#REF!</v>
      </c>
      <c r="E514" s="118" t="e">
        <f t="shared" ca="1" si="79"/>
        <v>#REF!</v>
      </c>
      <c r="F514" s="118" t="e">
        <f t="shared" ca="1" si="80"/>
        <v>#REF!</v>
      </c>
      <c r="G514" s="118" t="e">
        <f t="shared" ca="1" si="81"/>
        <v>#REF!</v>
      </c>
      <c r="H514" s="118" t="e">
        <f t="shared" ca="1" si="82"/>
        <v>#REF!</v>
      </c>
      <c r="I514" s="118" t="e">
        <f t="shared" ca="1" si="83"/>
        <v>#REF!</v>
      </c>
      <c r="J514" s="118" t="e">
        <f t="shared" ca="1" si="84"/>
        <v>#REF!</v>
      </c>
      <c r="K514" s="118" t="e">
        <f t="shared" ca="1" si="85"/>
        <v>#REF!</v>
      </c>
      <c r="L514" s="118" t="e">
        <f t="shared" ca="1" si="86"/>
        <v>#REF!</v>
      </c>
      <c r="M514" s="118" t="e">
        <f t="shared" ca="1" si="87"/>
        <v>#REF!</v>
      </c>
    </row>
    <row r="515" spans="1:13" x14ac:dyDescent="0.25">
      <c r="A515" s="119">
        <v>44968</v>
      </c>
      <c r="B515" s="119">
        <v>44968</v>
      </c>
      <c r="C515" s="118" t="e">
        <f t="shared" ref="C515:C578" ca="1" si="88">INDIRECT(CONCATENATE("",$A515,"!H10"))</f>
        <v>#REF!</v>
      </c>
      <c r="D515" s="118" t="e">
        <f t="shared" ref="D515:D578" ca="1" si="89">INDIRECT(CONCATENATE("",$A515,"!H11"))</f>
        <v>#REF!</v>
      </c>
      <c r="E515" s="118" t="e">
        <f t="shared" ref="E515:E578" ca="1" si="90">INDIRECT(CONCATENATE("",$A515,"!H12"))</f>
        <v>#REF!</v>
      </c>
      <c r="F515" s="118" t="e">
        <f t="shared" ref="F515:F578" ca="1" si="91">INDIRECT(CONCATENATE("",$A515,"!H13"))</f>
        <v>#REF!</v>
      </c>
      <c r="G515" s="118" t="e">
        <f t="shared" ref="G515:G578" ca="1" si="92">INDIRECT(CONCATENATE("",$A515,"!H14"))</f>
        <v>#REF!</v>
      </c>
      <c r="H515" s="118" t="e">
        <f t="shared" ref="H515:H578" ca="1" si="93">INDIRECT(CONCATENATE("",$A515,"!i12"))</f>
        <v>#REF!</v>
      </c>
      <c r="I515" s="118" t="e">
        <f t="shared" ref="I515:I578" ca="1" si="94">INDIRECT(CONCATENATE("",$A515,"!i13"))</f>
        <v>#REF!</v>
      </c>
      <c r="J515" s="118" t="e">
        <f t="shared" ref="J515:J578" ca="1" si="95">INDIRECT(CONCATENATE("",$A515,"!i14"))</f>
        <v>#REF!</v>
      </c>
      <c r="K515" s="118" t="e">
        <f t="shared" ref="K515:K578" ca="1" si="96">INDIRECT(CONCATENATE("",$A515,"!J12"))</f>
        <v>#REF!</v>
      </c>
      <c r="L515" s="118" t="e">
        <f t="shared" ref="L515:L578" ca="1" si="97">INDIRECT(CONCATENATE("",$A515,"!J13"))</f>
        <v>#REF!</v>
      </c>
      <c r="M515" s="118" t="e">
        <f t="shared" ref="M515:M578" ca="1" si="98">INDIRECT(CONCATENATE("",$A515,"!J14"))</f>
        <v>#REF!</v>
      </c>
    </row>
    <row r="516" spans="1:13" x14ac:dyDescent="0.25">
      <c r="A516" s="119">
        <v>44969</v>
      </c>
      <c r="B516" s="119">
        <v>44969</v>
      </c>
      <c r="C516" s="118" t="e">
        <f t="shared" ca="1" si="88"/>
        <v>#REF!</v>
      </c>
      <c r="D516" s="118" t="e">
        <f t="shared" ca="1" si="89"/>
        <v>#REF!</v>
      </c>
      <c r="E516" s="118" t="e">
        <f t="shared" ca="1" si="90"/>
        <v>#REF!</v>
      </c>
      <c r="F516" s="118" t="e">
        <f t="shared" ca="1" si="91"/>
        <v>#REF!</v>
      </c>
      <c r="G516" s="118" t="e">
        <f t="shared" ca="1" si="92"/>
        <v>#REF!</v>
      </c>
      <c r="H516" s="118" t="e">
        <f t="shared" ca="1" si="93"/>
        <v>#REF!</v>
      </c>
      <c r="I516" s="118" t="e">
        <f t="shared" ca="1" si="94"/>
        <v>#REF!</v>
      </c>
      <c r="J516" s="118" t="e">
        <f t="shared" ca="1" si="95"/>
        <v>#REF!</v>
      </c>
      <c r="K516" s="118" t="e">
        <f t="shared" ca="1" si="96"/>
        <v>#REF!</v>
      </c>
      <c r="L516" s="118" t="e">
        <f t="shared" ca="1" si="97"/>
        <v>#REF!</v>
      </c>
      <c r="M516" s="118" t="e">
        <f t="shared" ca="1" si="98"/>
        <v>#REF!</v>
      </c>
    </row>
    <row r="517" spans="1:13" x14ac:dyDescent="0.25">
      <c r="A517" s="119">
        <v>44970</v>
      </c>
      <c r="B517" s="119">
        <v>44970</v>
      </c>
      <c r="C517" s="118" t="e">
        <f t="shared" ca="1" si="88"/>
        <v>#REF!</v>
      </c>
      <c r="D517" s="118" t="e">
        <f t="shared" ca="1" si="89"/>
        <v>#REF!</v>
      </c>
      <c r="E517" s="118" t="e">
        <f t="shared" ca="1" si="90"/>
        <v>#REF!</v>
      </c>
      <c r="F517" s="118" t="e">
        <f t="shared" ca="1" si="91"/>
        <v>#REF!</v>
      </c>
      <c r="G517" s="118" t="e">
        <f t="shared" ca="1" si="92"/>
        <v>#REF!</v>
      </c>
      <c r="H517" s="118" t="e">
        <f t="shared" ca="1" si="93"/>
        <v>#REF!</v>
      </c>
      <c r="I517" s="118" t="e">
        <f t="shared" ca="1" si="94"/>
        <v>#REF!</v>
      </c>
      <c r="J517" s="118" t="e">
        <f t="shared" ca="1" si="95"/>
        <v>#REF!</v>
      </c>
      <c r="K517" s="118" t="e">
        <f t="shared" ca="1" si="96"/>
        <v>#REF!</v>
      </c>
      <c r="L517" s="118" t="e">
        <f t="shared" ca="1" si="97"/>
        <v>#REF!</v>
      </c>
      <c r="M517" s="118" t="e">
        <f t="shared" ca="1" si="98"/>
        <v>#REF!</v>
      </c>
    </row>
    <row r="518" spans="1:13" x14ac:dyDescent="0.25">
      <c r="A518" s="119">
        <v>44971</v>
      </c>
      <c r="B518" s="119">
        <v>44971</v>
      </c>
      <c r="C518" s="118" t="e">
        <f t="shared" ca="1" si="88"/>
        <v>#REF!</v>
      </c>
      <c r="D518" s="118" t="e">
        <f t="shared" ca="1" si="89"/>
        <v>#REF!</v>
      </c>
      <c r="E518" s="118" t="e">
        <f t="shared" ca="1" si="90"/>
        <v>#REF!</v>
      </c>
      <c r="F518" s="118" t="e">
        <f t="shared" ca="1" si="91"/>
        <v>#REF!</v>
      </c>
      <c r="G518" s="118" t="e">
        <f t="shared" ca="1" si="92"/>
        <v>#REF!</v>
      </c>
      <c r="H518" s="118" t="e">
        <f t="shared" ca="1" si="93"/>
        <v>#REF!</v>
      </c>
      <c r="I518" s="118" t="e">
        <f t="shared" ca="1" si="94"/>
        <v>#REF!</v>
      </c>
      <c r="J518" s="118" t="e">
        <f t="shared" ca="1" si="95"/>
        <v>#REF!</v>
      </c>
      <c r="K518" s="118" t="e">
        <f t="shared" ca="1" si="96"/>
        <v>#REF!</v>
      </c>
      <c r="L518" s="118" t="e">
        <f t="shared" ca="1" si="97"/>
        <v>#REF!</v>
      </c>
      <c r="M518" s="118" t="e">
        <f t="shared" ca="1" si="98"/>
        <v>#REF!</v>
      </c>
    </row>
    <row r="519" spans="1:13" x14ac:dyDescent="0.25">
      <c r="A519" s="119">
        <v>44972</v>
      </c>
      <c r="B519" s="119">
        <v>44972</v>
      </c>
      <c r="C519" s="118" t="e">
        <f t="shared" ca="1" si="88"/>
        <v>#REF!</v>
      </c>
      <c r="D519" s="118" t="e">
        <f t="shared" ca="1" si="89"/>
        <v>#REF!</v>
      </c>
      <c r="E519" s="118" t="e">
        <f t="shared" ca="1" si="90"/>
        <v>#REF!</v>
      </c>
      <c r="F519" s="118" t="e">
        <f t="shared" ca="1" si="91"/>
        <v>#REF!</v>
      </c>
      <c r="G519" s="118" t="e">
        <f t="shared" ca="1" si="92"/>
        <v>#REF!</v>
      </c>
      <c r="H519" s="118" t="e">
        <f t="shared" ca="1" si="93"/>
        <v>#REF!</v>
      </c>
      <c r="I519" s="118" t="e">
        <f t="shared" ca="1" si="94"/>
        <v>#REF!</v>
      </c>
      <c r="J519" s="118" t="e">
        <f t="shared" ca="1" si="95"/>
        <v>#REF!</v>
      </c>
      <c r="K519" s="118" t="e">
        <f t="shared" ca="1" si="96"/>
        <v>#REF!</v>
      </c>
      <c r="L519" s="118" t="e">
        <f t="shared" ca="1" si="97"/>
        <v>#REF!</v>
      </c>
      <c r="M519" s="118" t="e">
        <f t="shared" ca="1" si="98"/>
        <v>#REF!</v>
      </c>
    </row>
    <row r="520" spans="1:13" x14ac:dyDescent="0.25">
      <c r="A520" s="119">
        <v>44973</v>
      </c>
      <c r="B520" s="119">
        <v>44973</v>
      </c>
      <c r="C520" s="118" t="e">
        <f t="shared" ca="1" si="88"/>
        <v>#REF!</v>
      </c>
      <c r="D520" s="118" t="e">
        <f t="shared" ca="1" si="89"/>
        <v>#REF!</v>
      </c>
      <c r="E520" s="118" t="e">
        <f t="shared" ca="1" si="90"/>
        <v>#REF!</v>
      </c>
      <c r="F520" s="118" t="e">
        <f t="shared" ca="1" si="91"/>
        <v>#REF!</v>
      </c>
      <c r="G520" s="118" t="e">
        <f t="shared" ca="1" si="92"/>
        <v>#REF!</v>
      </c>
      <c r="H520" s="118" t="e">
        <f t="shared" ca="1" si="93"/>
        <v>#REF!</v>
      </c>
      <c r="I520" s="118" t="e">
        <f t="shared" ca="1" si="94"/>
        <v>#REF!</v>
      </c>
      <c r="J520" s="118" t="e">
        <f t="shared" ca="1" si="95"/>
        <v>#REF!</v>
      </c>
      <c r="K520" s="118" t="e">
        <f t="shared" ca="1" si="96"/>
        <v>#REF!</v>
      </c>
      <c r="L520" s="118" t="e">
        <f t="shared" ca="1" si="97"/>
        <v>#REF!</v>
      </c>
      <c r="M520" s="118" t="e">
        <f t="shared" ca="1" si="98"/>
        <v>#REF!</v>
      </c>
    </row>
    <row r="521" spans="1:13" x14ac:dyDescent="0.25">
      <c r="A521" s="119">
        <v>44974</v>
      </c>
      <c r="B521" s="119">
        <v>44974</v>
      </c>
      <c r="C521" s="118" t="e">
        <f t="shared" ca="1" si="88"/>
        <v>#REF!</v>
      </c>
      <c r="D521" s="118" t="e">
        <f t="shared" ca="1" si="89"/>
        <v>#REF!</v>
      </c>
      <c r="E521" s="118" t="e">
        <f t="shared" ca="1" si="90"/>
        <v>#REF!</v>
      </c>
      <c r="F521" s="118" t="e">
        <f t="shared" ca="1" si="91"/>
        <v>#REF!</v>
      </c>
      <c r="G521" s="118" t="e">
        <f t="shared" ca="1" si="92"/>
        <v>#REF!</v>
      </c>
      <c r="H521" s="118" t="e">
        <f t="shared" ca="1" si="93"/>
        <v>#REF!</v>
      </c>
      <c r="I521" s="118" t="e">
        <f t="shared" ca="1" si="94"/>
        <v>#REF!</v>
      </c>
      <c r="J521" s="118" t="e">
        <f t="shared" ca="1" si="95"/>
        <v>#REF!</v>
      </c>
      <c r="K521" s="118" t="e">
        <f t="shared" ca="1" si="96"/>
        <v>#REF!</v>
      </c>
      <c r="L521" s="118" t="e">
        <f t="shared" ca="1" si="97"/>
        <v>#REF!</v>
      </c>
      <c r="M521" s="118" t="e">
        <f t="shared" ca="1" si="98"/>
        <v>#REF!</v>
      </c>
    </row>
    <row r="522" spans="1:13" x14ac:dyDescent="0.25">
      <c r="A522" s="119">
        <v>44975</v>
      </c>
      <c r="B522" s="119">
        <v>44975</v>
      </c>
      <c r="C522" s="118" t="e">
        <f t="shared" ca="1" si="88"/>
        <v>#REF!</v>
      </c>
      <c r="D522" s="118" t="e">
        <f t="shared" ca="1" si="89"/>
        <v>#REF!</v>
      </c>
      <c r="E522" s="118" t="e">
        <f t="shared" ca="1" si="90"/>
        <v>#REF!</v>
      </c>
      <c r="F522" s="118" t="e">
        <f t="shared" ca="1" si="91"/>
        <v>#REF!</v>
      </c>
      <c r="G522" s="118" t="e">
        <f t="shared" ca="1" si="92"/>
        <v>#REF!</v>
      </c>
      <c r="H522" s="118" t="e">
        <f t="shared" ca="1" si="93"/>
        <v>#REF!</v>
      </c>
      <c r="I522" s="118" t="e">
        <f t="shared" ca="1" si="94"/>
        <v>#REF!</v>
      </c>
      <c r="J522" s="118" t="e">
        <f t="shared" ca="1" si="95"/>
        <v>#REF!</v>
      </c>
      <c r="K522" s="118" t="e">
        <f t="shared" ca="1" si="96"/>
        <v>#REF!</v>
      </c>
      <c r="L522" s="118" t="e">
        <f t="shared" ca="1" si="97"/>
        <v>#REF!</v>
      </c>
      <c r="M522" s="118" t="e">
        <f t="shared" ca="1" si="98"/>
        <v>#REF!</v>
      </c>
    </row>
    <row r="523" spans="1:13" x14ac:dyDescent="0.25">
      <c r="A523" s="119">
        <v>44976</v>
      </c>
      <c r="B523" s="119">
        <v>44976</v>
      </c>
      <c r="C523" s="118" t="e">
        <f t="shared" ca="1" si="88"/>
        <v>#REF!</v>
      </c>
      <c r="D523" s="118" t="e">
        <f t="shared" ca="1" si="89"/>
        <v>#REF!</v>
      </c>
      <c r="E523" s="118" t="e">
        <f t="shared" ca="1" si="90"/>
        <v>#REF!</v>
      </c>
      <c r="F523" s="118" t="e">
        <f t="shared" ca="1" si="91"/>
        <v>#REF!</v>
      </c>
      <c r="G523" s="118" t="e">
        <f t="shared" ca="1" si="92"/>
        <v>#REF!</v>
      </c>
      <c r="H523" s="118" t="e">
        <f t="shared" ca="1" si="93"/>
        <v>#REF!</v>
      </c>
      <c r="I523" s="118" t="e">
        <f t="shared" ca="1" si="94"/>
        <v>#REF!</v>
      </c>
      <c r="J523" s="118" t="e">
        <f t="shared" ca="1" si="95"/>
        <v>#REF!</v>
      </c>
      <c r="K523" s="118" t="e">
        <f t="shared" ca="1" si="96"/>
        <v>#REF!</v>
      </c>
      <c r="L523" s="118" t="e">
        <f t="shared" ca="1" si="97"/>
        <v>#REF!</v>
      </c>
      <c r="M523" s="118" t="e">
        <f t="shared" ca="1" si="98"/>
        <v>#REF!</v>
      </c>
    </row>
    <row r="524" spans="1:13" x14ac:dyDescent="0.25">
      <c r="A524" s="119">
        <v>44977</v>
      </c>
      <c r="B524" s="119">
        <v>44977</v>
      </c>
      <c r="C524" s="118" t="e">
        <f t="shared" ca="1" si="88"/>
        <v>#REF!</v>
      </c>
      <c r="D524" s="118" t="e">
        <f t="shared" ca="1" si="89"/>
        <v>#REF!</v>
      </c>
      <c r="E524" s="118" t="e">
        <f t="shared" ca="1" si="90"/>
        <v>#REF!</v>
      </c>
      <c r="F524" s="118" t="e">
        <f t="shared" ca="1" si="91"/>
        <v>#REF!</v>
      </c>
      <c r="G524" s="118" t="e">
        <f t="shared" ca="1" si="92"/>
        <v>#REF!</v>
      </c>
      <c r="H524" s="118" t="e">
        <f t="shared" ca="1" si="93"/>
        <v>#REF!</v>
      </c>
      <c r="I524" s="118" t="e">
        <f t="shared" ca="1" si="94"/>
        <v>#REF!</v>
      </c>
      <c r="J524" s="118" t="e">
        <f t="shared" ca="1" si="95"/>
        <v>#REF!</v>
      </c>
      <c r="K524" s="118" t="e">
        <f t="shared" ca="1" si="96"/>
        <v>#REF!</v>
      </c>
      <c r="L524" s="118" t="e">
        <f t="shared" ca="1" si="97"/>
        <v>#REF!</v>
      </c>
      <c r="M524" s="118" t="e">
        <f t="shared" ca="1" si="98"/>
        <v>#REF!</v>
      </c>
    </row>
    <row r="525" spans="1:13" x14ac:dyDescent="0.25">
      <c r="A525" s="119">
        <v>44978</v>
      </c>
      <c r="B525" s="119">
        <v>44978</v>
      </c>
      <c r="C525" s="118" t="e">
        <f t="shared" ca="1" si="88"/>
        <v>#REF!</v>
      </c>
      <c r="D525" s="118" t="e">
        <f t="shared" ca="1" si="89"/>
        <v>#REF!</v>
      </c>
      <c r="E525" s="118" t="e">
        <f t="shared" ca="1" si="90"/>
        <v>#REF!</v>
      </c>
      <c r="F525" s="118" t="e">
        <f t="shared" ca="1" si="91"/>
        <v>#REF!</v>
      </c>
      <c r="G525" s="118" t="e">
        <f t="shared" ca="1" si="92"/>
        <v>#REF!</v>
      </c>
      <c r="H525" s="118" t="e">
        <f t="shared" ca="1" si="93"/>
        <v>#REF!</v>
      </c>
      <c r="I525" s="118" t="e">
        <f t="shared" ca="1" si="94"/>
        <v>#REF!</v>
      </c>
      <c r="J525" s="118" t="e">
        <f t="shared" ca="1" si="95"/>
        <v>#REF!</v>
      </c>
      <c r="K525" s="118" t="e">
        <f t="shared" ca="1" si="96"/>
        <v>#REF!</v>
      </c>
      <c r="L525" s="118" t="e">
        <f t="shared" ca="1" si="97"/>
        <v>#REF!</v>
      </c>
      <c r="M525" s="118" t="e">
        <f t="shared" ca="1" si="98"/>
        <v>#REF!</v>
      </c>
    </row>
    <row r="526" spans="1:13" x14ac:dyDescent="0.25">
      <c r="A526" s="119">
        <v>44979</v>
      </c>
      <c r="B526" s="119">
        <v>44979</v>
      </c>
      <c r="C526" s="118" t="e">
        <f t="shared" ca="1" si="88"/>
        <v>#REF!</v>
      </c>
      <c r="D526" s="118" t="e">
        <f t="shared" ca="1" si="89"/>
        <v>#REF!</v>
      </c>
      <c r="E526" s="118" t="e">
        <f t="shared" ca="1" si="90"/>
        <v>#REF!</v>
      </c>
      <c r="F526" s="118" t="e">
        <f t="shared" ca="1" si="91"/>
        <v>#REF!</v>
      </c>
      <c r="G526" s="118" t="e">
        <f t="shared" ca="1" si="92"/>
        <v>#REF!</v>
      </c>
      <c r="H526" s="118" t="e">
        <f t="shared" ca="1" si="93"/>
        <v>#REF!</v>
      </c>
      <c r="I526" s="118" t="e">
        <f t="shared" ca="1" si="94"/>
        <v>#REF!</v>
      </c>
      <c r="J526" s="118" t="e">
        <f t="shared" ca="1" si="95"/>
        <v>#REF!</v>
      </c>
      <c r="K526" s="118" t="e">
        <f t="shared" ca="1" si="96"/>
        <v>#REF!</v>
      </c>
      <c r="L526" s="118" t="e">
        <f t="shared" ca="1" si="97"/>
        <v>#REF!</v>
      </c>
      <c r="M526" s="118" t="e">
        <f t="shared" ca="1" si="98"/>
        <v>#REF!</v>
      </c>
    </row>
    <row r="527" spans="1:13" x14ac:dyDescent="0.25">
      <c r="A527" s="119">
        <v>44980</v>
      </c>
      <c r="B527" s="119">
        <v>44980</v>
      </c>
      <c r="C527" s="118" t="e">
        <f t="shared" ca="1" si="88"/>
        <v>#REF!</v>
      </c>
      <c r="D527" s="118" t="e">
        <f t="shared" ca="1" si="89"/>
        <v>#REF!</v>
      </c>
      <c r="E527" s="118" t="e">
        <f t="shared" ca="1" si="90"/>
        <v>#REF!</v>
      </c>
      <c r="F527" s="118" t="e">
        <f t="shared" ca="1" si="91"/>
        <v>#REF!</v>
      </c>
      <c r="G527" s="118" t="e">
        <f t="shared" ca="1" si="92"/>
        <v>#REF!</v>
      </c>
      <c r="H527" s="118" t="e">
        <f t="shared" ca="1" si="93"/>
        <v>#REF!</v>
      </c>
      <c r="I527" s="118" t="e">
        <f t="shared" ca="1" si="94"/>
        <v>#REF!</v>
      </c>
      <c r="J527" s="118" t="e">
        <f t="shared" ca="1" si="95"/>
        <v>#REF!</v>
      </c>
      <c r="K527" s="118" t="e">
        <f t="shared" ca="1" si="96"/>
        <v>#REF!</v>
      </c>
      <c r="L527" s="118" t="e">
        <f t="shared" ca="1" si="97"/>
        <v>#REF!</v>
      </c>
      <c r="M527" s="118" t="e">
        <f t="shared" ca="1" si="98"/>
        <v>#REF!</v>
      </c>
    </row>
    <row r="528" spans="1:13" x14ac:dyDescent="0.25">
      <c r="A528" s="119">
        <v>44981</v>
      </c>
      <c r="B528" s="119">
        <v>44981</v>
      </c>
      <c r="C528" s="118" t="e">
        <f t="shared" ca="1" si="88"/>
        <v>#REF!</v>
      </c>
      <c r="D528" s="118" t="e">
        <f t="shared" ca="1" si="89"/>
        <v>#REF!</v>
      </c>
      <c r="E528" s="118" t="e">
        <f t="shared" ca="1" si="90"/>
        <v>#REF!</v>
      </c>
      <c r="F528" s="118" t="e">
        <f t="shared" ca="1" si="91"/>
        <v>#REF!</v>
      </c>
      <c r="G528" s="118" t="e">
        <f t="shared" ca="1" si="92"/>
        <v>#REF!</v>
      </c>
      <c r="H528" s="118" t="e">
        <f t="shared" ca="1" si="93"/>
        <v>#REF!</v>
      </c>
      <c r="I528" s="118" t="e">
        <f t="shared" ca="1" si="94"/>
        <v>#REF!</v>
      </c>
      <c r="J528" s="118" t="e">
        <f t="shared" ca="1" si="95"/>
        <v>#REF!</v>
      </c>
      <c r="K528" s="118" t="e">
        <f t="shared" ca="1" si="96"/>
        <v>#REF!</v>
      </c>
      <c r="L528" s="118" t="e">
        <f t="shared" ca="1" si="97"/>
        <v>#REF!</v>
      </c>
      <c r="M528" s="118" t="e">
        <f t="shared" ca="1" si="98"/>
        <v>#REF!</v>
      </c>
    </row>
    <row r="529" spans="1:13" x14ac:dyDescent="0.25">
      <c r="A529" s="119">
        <v>44982</v>
      </c>
      <c r="B529" s="119">
        <v>44982</v>
      </c>
      <c r="C529" s="118" t="e">
        <f t="shared" ca="1" si="88"/>
        <v>#REF!</v>
      </c>
      <c r="D529" s="118" t="e">
        <f t="shared" ca="1" si="89"/>
        <v>#REF!</v>
      </c>
      <c r="E529" s="118" t="e">
        <f t="shared" ca="1" si="90"/>
        <v>#REF!</v>
      </c>
      <c r="F529" s="118" t="e">
        <f t="shared" ca="1" si="91"/>
        <v>#REF!</v>
      </c>
      <c r="G529" s="118" t="e">
        <f t="shared" ca="1" si="92"/>
        <v>#REF!</v>
      </c>
      <c r="H529" s="118" t="e">
        <f t="shared" ca="1" si="93"/>
        <v>#REF!</v>
      </c>
      <c r="I529" s="118" t="e">
        <f t="shared" ca="1" si="94"/>
        <v>#REF!</v>
      </c>
      <c r="J529" s="118" t="e">
        <f t="shared" ca="1" si="95"/>
        <v>#REF!</v>
      </c>
      <c r="K529" s="118" t="e">
        <f t="shared" ca="1" si="96"/>
        <v>#REF!</v>
      </c>
      <c r="L529" s="118" t="e">
        <f t="shared" ca="1" si="97"/>
        <v>#REF!</v>
      </c>
      <c r="M529" s="118" t="e">
        <f t="shared" ca="1" si="98"/>
        <v>#REF!</v>
      </c>
    </row>
    <row r="530" spans="1:13" x14ac:dyDescent="0.25">
      <c r="A530" s="119">
        <v>44983</v>
      </c>
      <c r="B530" s="119">
        <v>44983</v>
      </c>
      <c r="C530" s="118" t="e">
        <f t="shared" ca="1" si="88"/>
        <v>#REF!</v>
      </c>
      <c r="D530" s="118" t="e">
        <f t="shared" ca="1" si="89"/>
        <v>#REF!</v>
      </c>
      <c r="E530" s="118" t="e">
        <f t="shared" ca="1" si="90"/>
        <v>#REF!</v>
      </c>
      <c r="F530" s="118" t="e">
        <f t="shared" ca="1" si="91"/>
        <v>#REF!</v>
      </c>
      <c r="G530" s="118" t="e">
        <f t="shared" ca="1" si="92"/>
        <v>#REF!</v>
      </c>
      <c r="H530" s="118" t="e">
        <f t="shared" ca="1" si="93"/>
        <v>#REF!</v>
      </c>
      <c r="I530" s="118" t="e">
        <f t="shared" ca="1" si="94"/>
        <v>#REF!</v>
      </c>
      <c r="J530" s="118" t="e">
        <f t="shared" ca="1" si="95"/>
        <v>#REF!</v>
      </c>
      <c r="K530" s="118" t="e">
        <f t="shared" ca="1" si="96"/>
        <v>#REF!</v>
      </c>
      <c r="L530" s="118" t="e">
        <f t="shared" ca="1" si="97"/>
        <v>#REF!</v>
      </c>
      <c r="M530" s="118" t="e">
        <f t="shared" ca="1" si="98"/>
        <v>#REF!</v>
      </c>
    </row>
    <row r="531" spans="1:13" x14ac:dyDescent="0.25">
      <c r="A531" s="119">
        <v>44984</v>
      </c>
      <c r="B531" s="119">
        <v>44984</v>
      </c>
      <c r="C531" s="118" t="e">
        <f t="shared" ca="1" si="88"/>
        <v>#REF!</v>
      </c>
      <c r="D531" s="118" t="e">
        <f t="shared" ca="1" si="89"/>
        <v>#REF!</v>
      </c>
      <c r="E531" s="118" t="e">
        <f t="shared" ca="1" si="90"/>
        <v>#REF!</v>
      </c>
      <c r="F531" s="118" t="e">
        <f t="shared" ca="1" si="91"/>
        <v>#REF!</v>
      </c>
      <c r="G531" s="118" t="e">
        <f t="shared" ca="1" si="92"/>
        <v>#REF!</v>
      </c>
      <c r="H531" s="118" t="e">
        <f t="shared" ca="1" si="93"/>
        <v>#REF!</v>
      </c>
      <c r="I531" s="118" t="e">
        <f t="shared" ca="1" si="94"/>
        <v>#REF!</v>
      </c>
      <c r="J531" s="118" t="e">
        <f t="shared" ca="1" si="95"/>
        <v>#REF!</v>
      </c>
      <c r="K531" s="118" t="e">
        <f t="shared" ca="1" si="96"/>
        <v>#REF!</v>
      </c>
      <c r="L531" s="118" t="e">
        <f t="shared" ca="1" si="97"/>
        <v>#REF!</v>
      </c>
      <c r="M531" s="118" t="e">
        <f t="shared" ca="1" si="98"/>
        <v>#REF!</v>
      </c>
    </row>
    <row r="532" spans="1:13" x14ac:dyDescent="0.25">
      <c r="A532" s="119">
        <v>44985</v>
      </c>
      <c r="B532" s="119">
        <v>44985</v>
      </c>
      <c r="C532" s="118" t="e">
        <f t="shared" ca="1" si="88"/>
        <v>#REF!</v>
      </c>
      <c r="D532" s="118" t="e">
        <f t="shared" ca="1" si="89"/>
        <v>#REF!</v>
      </c>
      <c r="E532" s="118" t="e">
        <f t="shared" ca="1" si="90"/>
        <v>#REF!</v>
      </c>
      <c r="F532" s="118" t="e">
        <f t="shared" ca="1" si="91"/>
        <v>#REF!</v>
      </c>
      <c r="G532" s="118" t="e">
        <f t="shared" ca="1" si="92"/>
        <v>#REF!</v>
      </c>
      <c r="H532" s="118" t="e">
        <f t="shared" ca="1" si="93"/>
        <v>#REF!</v>
      </c>
      <c r="I532" s="118" t="e">
        <f t="shared" ca="1" si="94"/>
        <v>#REF!</v>
      </c>
      <c r="J532" s="118" t="e">
        <f t="shared" ca="1" si="95"/>
        <v>#REF!</v>
      </c>
      <c r="K532" s="118" t="e">
        <f t="shared" ca="1" si="96"/>
        <v>#REF!</v>
      </c>
      <c r="L532" s="118" t="e">
        <f t="shared" ca="1" si="97"/>
        <v>#REF!</v>
      </c>
      <c r="M532" s="118" t="e">
        <f t="shared" ca="1" si="98"/>
        <v>#REF!</v>
      </c>
    </row>
    <row r="533" spans="1:13" x14ac:dyDescent="0.25">
      <c r="A533" s="119">
        <v>44986</v>
      </c>
      <c r="B533" s="119">
        <v>44986</v>
      </c>
      <c r="C533" s="118" t="e">
        <f t="shared" ca="1" si="88"/>
        <v>#REF!</v>
      </c>
      <c r="D533" s="118" t="e">
        <f t="shared" ca="1" si="89"/>
        <v>#REF!</v>
      </c>
      <c r="E533" s="118" t="e">
        <f t="shared" ca="1" si="90"/>
        <v>#REF!</v>
      </c>
      <c r="F533" s="118" t="e">
        <f t="shared" ca="1" si="91"/>
        <v>#REF!</v>
      </c>
      <c r="G533" s="118" t="e">
        <f t="shared" ca="1" si="92"/>
        <v>#REF!</v>
      </c>
      <c r="H533" s="118" t="e">
        <f t="shared" ca="1" si="93"/>
        <v>#REF!</v>
      </c>
      <c r="I533" s="118" t="e">
        <f t="shared" ca="1" si="94"/>
        <v>#REF!</v>
      </c>
      <c r="J533" s="118" t="e">
        <f t="shared" ca="1" si="95"/>
        <v>#REF!</v>
      </c>
      <c r="K533" s="118" t="e">
        <f t="shared" ca="1" si="96"/>
        <v>#REF!</v>
      </c>
      <c r="L533" s="118" t="e">
        <f t="shared" ca="1" si="97"/>
        <v>#REF!</v>
      </c>
      <c r="M533" s="118" t="e">
        <f t="shared" ca="1" si="98"/>
        <v>#REF!</v>
      </c>
    </row>
    <row r="534" spans="1:13" x14ac:dyDescent="0.25">
      <c r="A534" s="119">
        <v>44987</v>
      </c>
      <c r="B534" s="119">
        <v>44987</v>
      </c>
      <c r="C534" s="118" t="e">
        <f t="shared" ca="1" si="88"/>
        <v>#REF!</v>
      </c>
      <c r="D534" s="118" t="e">
        <f t="shared" ca="1" si="89"/>
        <v>#REF!</v>
      </c>
      <c r="E534" s="118" t="e">
        <f t="shared" ca="1" si="90"/>
        <v>#REF!</v>
      </c>
      <c r="F534" s="118" t="e">
        <f t="shared" ca="1" si="91"/>
        <v>#REF!</v>
      </c>
      <c r="G534" s="118" t="e">
        <f t="shared" ca="1" si="92"/>
        <v>#REF!</v>
      </c>
      <c r="H534" s="118" t="e">
        <f t="shared" ca="1" si="93"/>
        <v>#REF!</v>
      </c>
      <c r="I534" s="118" t="e">
        <f t="shared" ca="1" si="94"/>
        <v>#REF!</v>
      </c>
      <c r="J534" s="118" t="e">
        <f t="shared" ca="1" si="95"/>
        <v>#REF!</v>
      </c>
      <c r="K534" s="118" t="e">
        <f t="shared" ca="1" si="96"/>
        <v>#REF!</v>
      </c>
      <c r="L534" s="118" t="e">
        <f t="shared" ca="1" si="97"/>
        <v>#REF!</v>
      </c>
      <c r="M534" s="118" t="e">
        <f t="shared" ca="1" si="98"/>
        <v>#REF!</v>
      </c>
    </row>
    <row r="535" spans="1:13" x14ac:dyDescent="0.25">
      <c r="A535" s="119">
        <v>44988</v>
      </c>
      <c r="B535" s="119">
        <v>44988</v>
      </c>
      <c r="C535" s="118" t="e">
        <f t="shared" ca="1" si="88"/>
        <v>#REF!</v>
      </c>
      <c r="D535" s="118" t="e">
        <f t="shared" ca="1" si="89"/>
        <v>#REF!</v>
      </c>
      <c r="E535" s="118" t="e">
        <f t="shared" ca="1" si="90"/>
        <v>#REF!</v>
      </c>
      <c r="F535" s="118" t="e">
        <f t="shared" ca="1" si="91"/>
        <v>#REF!</v>
      </c>
      <c r="G535" s="118" t="e">
        <f t="shared" ca="1" si="92"/>
        <v>#REF!</v>
      </c>
      <c r="H535" s="118" t="e">
        <f t="shared" ca="1" si="93"/>
        <v>#REF!</v>
      </c>
      <c r="I535" s="118" t="e">
        <f t="shared" ca="1" si="94"/>
        <v>#REF!</v>
      </c>
      <c r="J535" s="118" t="e">
        <f t="shared" ca="1" si="95"/>
        <v>#REF!</v>
      </c>
      <c r="K535" s="118" t="e">
        <f t="shared" ca="1" si="96"/>
        <v>#REF!</v>
      </c>
      <c r="L535" s="118" t="e">
        <f t="shared" ca="1" si="97"/>
        <v>#REF!</v>
      </c>
      <c r="M535" s="118" t="e">
        <f t="shared" ca="1" si="98"/>
        <v>#REF!</v>
      </c>
    </row>
    <row r="536" spans="1:13" x14ac:dyDescent="0.25">
      <c r="A536" s="119">
        <v>44989</v>
      </c>
      <c r="B536" s="119">
        <v>44989</v>
      </c>
      <c r="C536" s="118" t="e">
        <f t="shared" ca="1" si="88"/>
        <v>#REF!</v>
      </c>
      <c r="D536" s="118" t="e">
        <f t="shared" ca="1" si="89"/>
        <v>#REF!</v>
      </c>
      <c r="E536" s="118" t="e">
        <f t="shared" ca="1" si="90"/>
        <v>#REF!</v>
      </c>
      <c r="F536" s="118" t="e">
        <f t="shared" ca="1" si="91"/>
        <v>#REF!</v>
      </c>
      <c r="G536" s="118" t="e">
        <f t="shared" ca="1" si="92"/>
        <v>#REF!</v>
      </c>
      <c r="H536" s="118" t="e">
        <f t="shared" ca="1" si="93"/>
        <v>#REF!</v>
      </c>
      <c r="I536" s="118" t="e">
        <f t="shared" ca="1" si="94"/>
        <v>#REF!</v>
      </c>
      <c r="J536" s="118" t="e">
        <f t="shared" ca="1" si="95"/>
        <v>#REF!</v>
      </c>
      <c r="K536" s="118" t="e">
        <f t="shared" ca="1" si="96"/>
        <v>#REF!</v>
      </c>
      <c r="L536" s="118" t="e">
        <f t="shared" ca="1" si="97"/>
        <v>#REF!</v>
      </c>
      <c r="M536" s="118" t="e">
        <f t="shared" ca="1" si="98"/>
        <v>#REF!</v>
      </c>
    </row>
    <row r="537" spans="1:13" x14ac:dyDescent="0.25">
      <c r="A537" s="119">
        <v>44990</v>
      </c>
      <c r="B537" s="119">
        <v>44990</v>
      </c>
      <c r="C537" s="118" t="e">
        <f t="shared" ca="1" si="88"/>
        <v>#REF!</v>
      </c>
      <c r="D537" s="118" t="e">
        <f t="shared" ca="1" si="89"/>
        <v>#REF!</v>
      </c>
      <c r="E537" s="118" t="e">
        <f t="shared" ca="1" si="90"/>
        <v>#REF!</v>
      </c>
      <c r="F537" s="118" t="e">
        <f t="shared" ca="1" si="91"/>
        <v>#REF!</v>
      </c>
      <c r="G537" s="118" t="e">
        <f t="shared" ca="1" si="92"/>
        <v>#REF!</v>
      </c>
      <c r="H537" s="118" t="e">
        <f t="shared" ca="1" si="93"/>
        <v>#REF!</v>
      </c>
      <c r="I537" s="118" t="e">
        <f t="shared" ca="1" si="94"/>
        <v>#REF!</v>
      </c>
      <c r="J537" s="118" t="e">
        <f t="shared" ca="1" si="95"/>
        <v>#REF!</v>
      </c>
      <c r="K537" s="118" t="e">
        <f t="shared" ca="1" si="96"/>
        <v>#REF!</v>
      </c>
      <c r="L537" s="118" t="e">
        <f t="shared" ca="1" si="97"/>
        <v>#REF!</v>
      </c>
      <c r="M537" s="118" t="e">
        <f t="shared" ca="1" si="98"/>
        <v>#REF!</v>
      </c>
    </row>
    <row r="538" spans="1:13" x14ac:dyDescent="0.25">
      <c r="A538" s="119">
        <v>44991</v>
      </c>
      <c r="B538" s="119">
        <v>44991</v>
      </c>
      <c r="C538" s="118" t="e">
        <f t="shared" ca="1" si="88"/>
        <v>#REF!</v>
      </c>
      <c r="D538" s="118" t="e">
        <f t="shared" ca="1" si="89"/>
        <v>#REF!</v>
      </c>
      <c r="E538" s="118" t="e">
        <f t="shared" ca="1" si="90"/>
        <v>#REF!</v>
      </c>
      <c r="F538" s="118" t="e">
        <f t="shared" ca="1" si="91"/>
        <v>#REF!</v>
      </c>
      <c r="G538" s="118" t="e">
        <f t="shared" ca="1" si="92"/>
        <v>#REF!</v>
      </c>
      <c r="H538" s="118" t="e">
        <f t="shared" ca="1" si="93"/>
        <v>#REF!</v>
      </c>
      <c r="I538" s="118" t="e">
        <f t="shared" ca="1" si="94"/>
        <v>#REF!</v>
      </c>
      <c r="J538" s="118" t="e">
        <f t="shared" ca="1" si="95"/>
        <v>#REF!</v>
      </c>
      <c r="K538" s="118" t="e">
        <f t="shared" ca="1" si="96"/>
        <v>#REF!</v>
      </c>
      <c r="L538" s="118" t="e">
        <f t="shared" ca="1" si="97"/>
        <v>#REF!</v>
      </c>
      <c r="M538" s="118" t="e">
        <f t="shared" ca="1" si="98"/>
        <v>#REF!</v>
      </c>
    </row>
    <row r="539" spans="1:13" x14ac:dyDescent="0.25">
      <c r="A539" s="119">
        <v>44992</v>
      </c>
      <c r="B539" s="119">
        <v>44992</v>
      </c>
      <c r="C539" s="118" t="e">
        <f t="shared" ca="1" si="88"/>
        <v>#REF!</v>
      </c>
      <c r="D539" s="118" t="e">
        <f t="shared" ca="1" si="89"/>
        <v>#REF!</v>
      </c>
      <c r="E539" s="118" t="e">
        <f t="shared" ca="1" si="90"/>
        <v>#REF!</v>
      </c>
      <c r="F539" s="118" t="e">
        <f t="shared" ca="1" si="91"/>
        <v>#REF!</v>
      </c>
      <c r="G539" s="118" t="e">
        <f t="shared" ca="1" si="92"/>
        <v>#REF!</v>
      </c>
      <c r="H539" s="118" t="e">
        <f t="shared" ca="1" si="93"/>
        <v>#REF!</v>
      </c>
      <c r="I539" s="118" t="e">
        <f t="shared" ca="1" si="94"/>
        <v>#REF!</v>
      </c>
      <c r="J539" s="118" t="e">
        <f t="shared" ca="1" si="95"/>
        <v>#REF!</v>
      </c>
      <c r="K539" s="118" t="e">
        <f t="shared" ca="1" si="96"/>
        <v>#REF!</v>
      </c>
      <c r="L539" s="118" t="e">
        <f t="shared" ca="1" si="97"/>
        <v>#REF!</v>
      </c>
      <c r="M539" s="118" t="e">
        <f t="shared" ca="1" si="98"/>
        <v>#REF!</v>
      </c>
    </row>
    <row r="540" spans="1:13" x14ac:dyDescent="0.25">
      <c r="A540" s="119">
        <v>44993</v>
      </c>
      <c r="B540" s="119">
        <v>44993</v>
      </c>
      <c r="C540" s="118" t="e">
        <f t="shared" ca="1" si="88"/>
        <v>#REF!</v>
      </c>
      <c r="D540" s="118" t="e">
        <f t="shared" ca="1" si="89"/>
        <v>#REF!</v>
      </c>
      <c r="E540" s="118" t="e">
        <f t="shared" ca="1" si="90"/>
        <v>#REF!</v>
      </c>
      <c r="F540" s="118" t="e">
        <f t="shared" ca="1" si="91"/>
        <v>#REF!</v>
      </c>
      <c r="G540" s="118" t="e">
        <f t="shared" ca="1" si="92"/>
        <v>#REF!</v>
      </c>
      <c r="H540" s="118" t="e">
        <f t="shared" ca="1" si="93"/>
        <v>#REF!</v>
      </c>
      <c r="I540" s="118" t="e">
        <f t="shared" ca="1" si="94"/>
        <v>#REF!</v>
      </c>
      <c r="J540" s="118" t="e">
        <f t="shared" ca="1" si="95"/>
        <v>#REF!</v>
      </c>
      <c r="K540" s="118" t="e">
        <f t="shared" ca="1" si="96"/>
        <v>#REF!</v>
      </c>
      <c r="L540" s="118" t="e">
        <f t="shared" ca="1" si="97"/>
        <v>#REF!</v>
      </c>
      <c r="M540" s="118" t="e">
        <f t="shared" ca="1" si="98"/>
        <v>#REF!</v>
      </c>
    </row>
    <row r="541" spans="1:13" x14ac:dyDescent="0.25">
      <c r="A541" s="119" t="s">
        <v>217</v>
      </c>
      <c r="B541" s="119">
        <v>44994</v>
      </c>
      <c r="C541" s="118" t="e">
        <f t="shared" ca="1" si="88"/>
        <v>#REF!</v>
      </c>
      <c r="D541" s="118" t="e">
        <f t="shared" ca="1" si="89"/>
        <v>#REF!</v>
      </c>
      <c r="E541" s="118" t="e">
        <f t="shared" ca="1" si="90"/>
        <v>#REF!</v>
      </c>
      <c r="F541" s="118" t="e">
        <f t="shared" ca="1" si="91"/>
        <v>#REF!</v>
      </c>
      <c r="G541" s="118" t="e">
        <f t="shared" ca="1" si="92"/>
        <v>#REF!</v>
      </c>
      <c r="H541" s="118" t="e">
        <f t="shared" ca="1" si="93"/>
        <v>#REF!</v>
      </c>
      <c r="I541" s="118" t="e">
        <f t="shared" ca="1" si="94"/>
        <v>#REF!</v>
      </c>
      <c r="J541" s="118" t="e">
        <f t="shared" ca="1" si="95"/>
        <v>#REF!</v>
      </c>
      <c r="K541" s="118" t="e">
        <f t="shared" ca="1" si="96"/>
        <v>#REF!</v>
      </c>
      <c r="L541" s="118" t="e">
        <f t="shared" ca="1" si="97"/>
        <v>#REF!</v>
      </c>
      <c r="M541" s="118" t="e">
        <f t="shared" ca="1" si="98"/>
        <v>#REF!</v>
      </c>
    </row>
    <row r="542" spans="1:13" x14ac:dyDescent="0.25">
      <c r="A542" s="119">
        <v>44995</v>
      </c>
      <c r="B542" s="119">
        <v>44995</v>
      </c>
      <c r="C542" s="118" t="e">
        <f t="shared" ca="1" si="88"/>
        <v>#REF!</v>
      </c>
      <c r="D542" s="118" t="e">
        <f t="shared" ca="1" si="89"/>
        <v>#REF!</v>
      </c>
      <c r="E542" s="118" t="e">
        <f t="shared" ca="1" si="90"/>
        <v>#REF!</v>
      </c>
      <c r="F542" s="118" t="e">
        <f t="shared" ca="1" si="91"/>
        <v>#REF!</v>
      </c>
      <c r="G542" s="118" t="e">
        <f t="shared" ca="1" si="92"/>
        <v>#REF!</v>
      </c>
      <c r="H542" s="118" t="e">
        <f t="shared" ca="1" si="93"/>
        <v>#REF!</v>
      </c>
      <c r="I542" s="118" t="e">
        <f t="shared" ca="1" si="94"/>
        <v>#REF!</v>
      </c>
      <c r="J542" s="118" t="e">
        <f t="shared" ca="1" si="95"/>
        <v>#REF!</v>
      </c>
      <c r="K542" s="118" t="e">
        <f t="shared" ca="1" si="96"/>
        <v>#REF!</v>
      </c>
      <c r="L542" s="118" t="e">
        <f t="shared" ca="1" si="97"/>
        <v>#REF!</v>
      </c>
      <c r="M542" s="118" t="e">
        <f t="shared" ca="1" si="98"/>
        <v>#REF!</v>
      </c>
    </row>
    <row r="543" spans="1:13" x14ac:dyDescent="0.25">
      <c r="A543" s="119">
        <v>44996</v>
      </c>
      <c r="B543" s="119">
        <v>44996</v>
      </c>
      <c r="C543" s="118" t="e">
        <f t="shared" ca="1" si="88"/>
        <v>#REF!</v>
      </c>
      <c r="D543" s="118" t="e">
        <f t="shared" ca="1" si="89"/>
        <v>#REF!</v>
      </c>
      <c r="E543" s="118" t="e">
        <f t="shared" ca="1" si="90"/>
        <v>#REF!</v>
      </c>
      <c r="F543" s="118" t="e">
        <f t="shared" ca="1" si="91"/>
        <v>#REF!</v>
      </c>
      <c r="G543" s="118" t="e">
        <f t="shared" ca="1" si="92"/>
        <v>#REF!</v>
      </c>
      <c r="H543" s="118" t="e">
        <f t="shared" ca="1" si="93"/>
        <v>#REF!</v>
      </c>
      <c r="I543" s="118" t="e">
        <f t="shared" ca="1" si="94"/>
        <v>#REF!</v>
      </c>
      <c r="J543" s="118" t="e">
        <f t="shared" ca="1" si="95"/>
        <v>#REF!</v>
      </c>
      <c r="K543" s="118" t="e">
        <f t="shared" ca="1" si="96"/>
        <v>#REF!</v>
      </c>
      <c r="L543" s="118" t="e">
        <f t="shared" ca="1" si="97"/>
        <v>#REF!</v>
      </c>
      <c r="M543" s="118" t="e">
        <f t="shared" ca="1" si="98"/>
        <v>#REF!</v>
      </c>
    </row>
    <row r="544" spans="1:13" x14ac:dyDescent="0.25">
      <c r="A544" s="119">
        <v>44997</v>
      </c>
      <c r="B544" s="119">
        <v>44997</v>
      </c>
      <c r="C544" s="118" t="e">
        <f t="shared" ca="1" si="88"/>
        <v>#REF!</v>
      </c>
      <c r="D544" s="118" t="e">
        <f t="shared" ca="1" si="89"/>
        <v>#REF!</v>
      </c>
      <c r="E544" s="118" t="e">
        <f t="shared" ca="1" si="90"/>
        <v>#REF!</v>
      </c>
      <c r="F544" s="118" t="e">
        <f t="shared" ca="1" si="91"/>
        <v>#REF!</v>
      </c>
      <c r="G544" s="118" t="e">
        <f t="shared" ca="1" si="92"/>
        <v>#REF!</v>
      </c>
      <c r="H544" s="118" t="e">
        <f t="shared" ca="1" si="93"/>
        <v>#REF!</v>
      </c>
      <c r="I544" s="118" t="e">
        <f t="shared" ca="1" si="94"/>
        <v>#REF!</v>
      </c>
      <c r="J544" s="118" t="e">
        <f t="shared" ca="1" si="95"/>
        <v>#REF!</v>
      </c>
      <c r="K544" s="118" t="e">
        <f t="shared" ca="1" si="96"/>
        <v>#REF!</v>
      </c>
      <c r="L544" s="118" t="e">
        <f t="shared" ca="1" si="97"/>
        <v>#REF!</v>
      </c>
      <c r="M544" s="118" t="e">
        <f t="shared" ca="1" si="98"/>
        <v>#REF!</v>
      </c>
    </row>
    <row r="545" spans="1:13" x14ac:dyDescent="0.25">
      <c r="A545" s="119">
        <v>44998</v>
      </c>
      <c r="B545" s="119">
        <v>44998</v>
      </c>
      <c r="C545" s="118" t="e">
        <f t="shared" ca="1" si="88"/>
        <v>#REF!</v>
      </c>
      <c r="D545" s="118" t="e">
        <f t="shared" ca="1" si="89"/>
        <v>#REF!</v>
      </c>
      <c r="E545" s="118" t="e">
        <f t="shared" ca="1" si="90"/>
        <v>#REF!</v>
      </c>
      <c r="F545" s="118" t="e">
        <f t="shared" ca="1" si="91"/>
        <v>#REF!</v>
      </c>
      <c r="G545" s="118" t="e">
        <f t="shared" ca="1" si="92"/>
        <v>#REF!</v>
      </c>
      <c r="H545" s="118" t="e">
        <f t="shared" ca="1" si="93"/>
        <v>#REF!</v>
      </c>
      <c r="I545" s="118" t="e">
        <f t="shared" ca="1" si="94"/>
        <v>#REF!</v>
      </c>
      <c r="J545" s="118" t="e">
        <f t="shared" ca="1" si="95"/>
        <v>#REF!</v>
      </c>
      <c r="K545" s="118" t="e">
        <f t="shared" ca="1" si="96"/>
        <v>#REF!</v>
      </c>
      <c r="L545" s="118" t="e">
        <f t="shared" ca="1" si="97"/>
        <v>#REF!</v>
      </c>
      <c r="M545" s="118" t="e">
        <f t="shared" ca="1" si="98"/>
        <v>#REF!</v>
      </c>
    </row>
    <row r="546" spans="1:13" x14ac:dyDescent="0.25">
      <c r="A546" s="119">
        <v>44999</v>
      </c>
      <c r="B546" s="119">
        <v>44999</v>
      </c>
      <c r="C546" s="118" t="e">
        <f t="shared" ca="1" si="88"/>
        <v>#REF!</v>
      </c>
      <c r="D546" s="118" t="e">
        <f t="shared" ca="1" si="89"/>
        <v>#REF!</v>
      </c>
      <c r="E546" s="118" t="e">
        <f t="shared" ca="1" si="90"/>
        <v>#REF!</v>
      </c>
      <c r="F546" s="118" t="e">
        <f t="shared" ca="1" si="91"/>
        <v>#REF!</v>
      </c>
      <c r="G546" s="118" t="e">
        <f t="shared" ca="1" si="92"/>
        <v>#REF!</v>
      </c>
      <c r="H546" s="118" t="e">
        <f t="shared" ca="1" si="93"/>
        <v>#REF!</v>
      </c>
      <c r="I546" s="118" t="e">
        <f t="shared" ca="1" si="94"/>
        <v>#REF!</v>
      </c>
      <c r="J546" s="118" t="e">
        <f t="shared" ca="1" si="95"/>
        <v>#REF!</v>
      </c>
      <c r="K546" s="118" t="e">
        <f t="shared" ca="1" si="96"/>
        <v>#REF!</v>
      </c>
      <c r="L546" s="118" t="e">
        <f t="shared" ca="1" si="97"/>
        <v>#REF!</v>
      </c>
      <c r="M546" s="118" t="e">
        <f t="shared" ca="1" si="98"/>
        <v>#REF!</v>
      </c>
    </row>
    <row r="547" spans="1:13" x14ac:dyDescent="0.25">
      <c r="A547" s="119">
        <v>45000</v>
      </c>
      <c r="B547" s="119">
        <v>45000</v>
      </c>
      <c r="C547" s="118" t="e">
        <f t="shared" ca="1" si="88"/>
        <v>#REF!</v>
      </c>
      <c r="D547" s="118" t="e">
        <f t="shared" ca="1" si="89"/>
        <v>#REF!</v>
      </c>
      <c r="E547" s="118" t="e">
        <f t="shared" ca="1" si="90"/>
        <v>#REF!</v>
      </c>
      <c r="F547" s="118" t="e">
        <f t="shared" ca="1" si="91"/>
        <v>#REF!</v>
      </c>
      <c r="G547" s="118" t="e">
        <f t="shared" ca="1" si="92"/>
        <v>#REF!</v>
      </c>
      <c r="H547" s="118" t="e">
        <f t="shared" ca="1" si="93"/>
        <v>#REF!</v>
      </c>
      <c r="I547" s="118" t="e">
        <f t="shared" ca="1" si="94"/>
        <v>#REF!</v>
      </c>
      <c r="J547" s="118" t="e">
        <f t="shared" ca="1" si="95"/>
        <v>#REF!</v>
      </c>
      <c r="K547" s="118" t="e">
        <f t="shared" ca="1" si="96"/>
        <v>#REF!</v>
      </c>
      <c r="L547" s="118" t="e">
        <f t="shared" ca="1" si="97"/>
        <v>#REF!</v>
      </c>
      <c r="M547" s="118" t="e">
        <f t="shared" ca="1" si="98"/>
        <v>#REF!</v>
      </c>
    </row>
    <row r="548" spans="1:13" x14ac:dyDescent="0.25">
      <c r="A548" s="119" t="s">
        <v>218</v>
      </c>
      <c r="B548" s="119">
        <v>45001</v>
      </c>
      <c r="C548" s="118" t="e">
        <f t="shared" ca="1" si="88"/>
        <v>#REF!</v>
      </c>
      <c r="D548" s="118" t="e">
        <f t="shared" ca="1" si="89"/>
        <v>#REF!</v>
      </c>
      <c r="E548" s="118" t="e">
        <f t="shared" ca="1" si="90"/>
        <v>#REF!</v>
      </c>
      <c r="F548" s="118" t="e">
        <f t="shared" ca="1" si="91"/>
        <v>#REF!</v>
      </c>
      <c r="G548" s="118" t="e">
        <f t="shared" ca="1" si="92"/>
        <v>#REF!</v>
      </c>
      <c r="H548" s="118" t="e">
        <f t="shared" ca="1" si="93"/>
        <v>#REF!</v>
      </c>
      <c r="I548" s="118" t="e">
        <f t="shared" ca="1" si="94"/>
        <v>#REF!</v>
      </c>
      <c r="J548" s="118" t="e">
        <f t="shared" ca="1" si="95"/>
        <v>#REF!</v>
      </c>
      <c r="K548" s="118" t="e">
        <f t="shared" ca="1" si="96"/>
        <v>#REF!</v>
      </c>
      <c r="L548" s="118" t="e">
        <f t="shared" ca="1" si="97"/>
        <v>#REF!</v>
      </c>
      <c r="M548" s="118" t="e">
        <f t="shared" ca="1" si="98"/>
        <v>#REF!</v>
      </c>
    </row>
    <row r="549" spans="1:13" x14ac:dyDescent="0.25">
      <c r="A549" s="119">
        <v>45002</v>
      </c>
      <c r="B549" s="119">
        <v>45002</v>
      </c>
      <c r="C549" s="118" t="e">
        <f t="shared" ca="1" si="88"/>
        <v>#REF!</v>
      </c>
      <c r="D549" s="118" t="e">
        <f t="shared" ca="1" si="89"/>
        <v>#REF!</v>
      </c>
      <c r="E549" s="118" t="e">
        <f t="shared" ca="1" si="90"/>
        <v>#REF!</v>
      </c>
      <c r="F549" s="118" t="e">
        <f t="shared" ca="1" si="91"/>
        <v>#REF!</v>
      </c>
      <c r="G549" s="118" t="e">
        <f t="shared" ca="1" si="92"/>
        <v>#REF!</v>
      </c>
      <c r="H549" s="118" t="e">
        <f t="shared" ca="1" si="93"/>
        <v>#REF!</v>
      </c>
      <c r="I549" s="118" t="e">
        <f t="shared" ca="1" si="94"/>
        <v>#REF!</v>
      </c>
      <c r="J549" s="118" t="e">
        <f t="shared" ca="1" si="95"/>
        <v>#REF!</v>
      </c>
      <c r="K549" s="118" t="e">
        <f t="shared" ca="1" si="96"/>
        <v>#REF!</v>
      </c>
      <c r="L549" s="118" t="e">
        <f t="shared" ca="1" si="97"/>
        <v>#REF!</v>
      </c>
      <c r="M549" s="118" t="e">
        <f t="shared" ca="1" si="98"/>
        <v>#REF!</v>
      </c>
    </row>
    <row r="550" spans="1:13" x14ac:dyDescent="0.25">
      <c r="A550" s="119">
        <v>45003</v>
      </c>
      <c r="B550" s="119">
        <v>45003</v>
      </c>
      <c r="C550" s="118" t="e">
        <f t="shared" ca="1" si="88"/>
        <v>#REF!</v>
      </c>
      <c r="D550" s="118" t="e">
        <f t="shared" ca="1" si="89"/>
        <v>#REF!</v>
      </c>
      <c r="E550" s="118" t="e">
        <f t="shared" ca="1" si="90"/>
        <v>#REF!</v>
      </c>
      <c r="F550" s="118" t="e">
        <f t="shared" ca="1" si="91"/>
        <v>#REF!</v>
      </c>
      <c r="G550" s="118" t="e">
        <f t="shared" ca="1" si="92"/>
        <v>#REF!</v>
      </c>
      <c r="H550" s="118" t="e">
        <f t="shared" ca="1" si="93"/>
        <v>#REF!</v>
      </c>
      <c r="I550" s="118" t="e">
        <f t="shared" ca="1" si="94"/>
        <v>#REF!</v>
      </c>
      <c r="J550" s="118" t="e">
        <f t="shared" ca="1" si="95"/>
        <v>#REF!</v>
      </c>
      <c r="K550" s="118" t="e">
        <f t="shared" ca="1" si="96"/>
        <v>#REF!</v>
      </c>
      <c r="L550" s="118" t="e">
        <f t="shared" ca="1" si="97"/>
        <v>#REF!</v>
      </c>
      <c r="M550" s="118" t="e">
        <f t="shared" ca="1" si="98"/>
        <v>#REF!</v>
      </c>
    </row>
    <row r="551" spans="1:13" x14ac:dyDescent="0.25">
      <c r="A551" s="119">
        <v>45004</v>
      </c>
      <c r="B551" s="119">
        <v>45004</v>
      </c>
      <c r="C551" s="118" t="e">
        <f t="shared" ca="1" si="88"/>
        <v>#REF!</v>
      </c>
      <c r="D551" s="118" t="e">
        <f t="shared" ca="1" si="89"/>
        <v>#REF!</v>
      </c>
      <c r="E551" s="118" t="e">
        <f t="shared" ca="1" si="90"/>
        <v>#REF!</v>
      </c>
      <c r="F551" s="118" t="e">
        <f t="shared" ca="1" si="91"/>
        <v>#REF!</v>
      </c>
      <c r="G551" s="118" t="e">
        <f t="shared" ca="1" si="92"/>
        <v>#REF!</v>
      </c>
      <c r="H551" s="118" t="e">
        <f t="shared" ca="1" si="93"/>
        <v>#REF!</v>
      </c>
      <c r="I551" s="118" t="e">
        <f t="shared" ca="1" si="94"/>
        <v>#REF!</v>
      </c>
      <c r="J551" s="118" t="e">
        <f t="shared" ca="1" si="95"/>
        <v>#REF!</v>
      </c>
      <c r="K551" s="118" t="e">
        <f t="shared" ca="1" si="96"/>
        <v>#REF!</v>
      </c>
      <c r="L551" s="118" t="e">
        <f t="shared" ca="1" si="97"/>
        <v>#REF!</v>
      </c>
      <c r="M551" s="118" t="e">
        <f t="shared" ca="1" si="98"/>
        <v>#REF!</v>
      </c>
    </row>
    <row r="552" spans="1:13" x14ac:dyDescent="0.25">
      <c r="A552" s="119">
        <v>45005</v>
      </c>
      <c r="B552" s="119">
        <v>45005</v>
      </c>
      <c r="C552" s="118" t="e">
        <f t="shared" ca="1" si="88"/>
        <v>#REF!</v>
      </c>
      <c r="D552" s="118" t="e">
        <f t="shared" ca="1" si="89"/>
        <v>#REF!</v>
      </c>
      <c r="E552" s="118" t="e">
        <f t="shared" ca="1" si="90"/>
        <v>#REF!</v>
      </c>
      <c r="F552" s="118" t="e">
        <f t="shared" ca="1" si="91"/>
        <v>#REF!</v>
      </c>
      <c r="G552" s="118" t="e">
        <f t="shared" ca="1" si="92"/>
        <v>#REF!</v>
      </c>
      <c r="H552" s="118" t="e">
        <f t="shared" ca="1" si="93"/>
        <v>#REF!</v>
      </c>
      <c r="I552" s="118" t="e">
        <f t="shared" ca="1" si="94"/>
        <v>#REF!</v>
      </c>
      <c r="J552" s="118" t="e">
        <f t="shared" ca="1" si="95"/>
        <v>#REF!</v>
      </c>
      <c r="K552" s="118" t="e">
        <f t="shared" ca="1" si="96"/>
        <v>#REF!</v>
      </c>
      <c r="L552" s="118" t="e">
        <f t="shared" ca="1" si="97"/>
        <v>#REF!</v>
      </c>
      <c r="M552" s="118" t="e">
        <f t="shared" ca="1" si="98"/>
        <v>#REF!</v>
      </c>
    </row>
    <row r="553" spans="1:13" x14ac:dyDescent="0.25">
      <c r="A553" s="119">
        <v>45006</v>
      </c>
      <c r="B553" s="119">
        <v>45006</v>
      </c>
      <c r="C553" s="118" t="e">
        <f t="shared" ca="1" si="88"/>
        <v>#REF!</v>
      </c>
      <c r="D553" s="118" t="e">
        <f t="shared" ca="1" si="89"/>
        <v>#REF!</v>
      </c>
      <c r="E553" s="118" t="e">
        <f t="shared" ca="1" si="90"/>
        <v>#REF!</v>
      </c>
      <c r="F553" s="118" t="e">
        <f t="shared" ca="1" si="91"/>
        <v>#REF!</v>
      </c>
      <c r="G553" s="118" t="e">
        <f t="shared" ca="1" si="92"/>
        <v>#REF!</v>
      </c>
      <c r="H553" s="118" t="e">
        <f t="shared" ca="1" si="93"/>
        <v>#REF!</v>
      </c>
      <c r="I553" s="118" t="e">
        <f t="shared" ca="1" si="94"/>
        <v>#REF!</v>
      </c>
      <c r="J553" s="118" t="e">
        <f t="shared" ca="1" si="95"/>
        <v>#REF!</v>
      </c>
      <c r="K553" s="118" t="e">
        <f t="shared" ca="1" si="96"/>
        <v>#REF!</v>
      </c>
      <c r="L553" s="118" t="e">
        <f t="shared" ca="1" si="97"/>
        <v>#REF!</v>
      </c>
      <c r="M553" s="118" t="e">
        <f t="shared" ca="1" si="98"/>
        <v>#REF!</v>
      </c>
    </row>
    <row r="554" spans="1:13" x14ac:dyDescent="0.25">
      <c r="A554" s="119">
        <v>45007</v>
      </c>
      <c r="B554" s="119">
        <v>45007</v>
      </c>
      <c r="C554" s="118" t="e">
        <f t="shared" ca="1" si="88"/>
        <v>#REF!</v>
      </c>
      <c r="D554" s="118" t="e">
        <f t="shared" ca="1" si="89"/>
        <v>#REF!</v>
      </c>
      <c r="E554" s="118" t="e">
        <f t="shared" ca="1" si="90"/>
        <v>#REF!</v>
      </c>
      <c r="F554" s="118" t="e">
        <f t="shared" ca="1" si="91"/>
        <v>#REF!</v>
      </c>
      <c r="G554" s="118" t="e">
        <f t="shared" ca="1" si="92"/>
        <v>#REF!</v>
      </c>
      <c r="H554" s="118" t="e">
        <f t="shared" ca="1" si="93"/>
        <v>#REF!</v>
      </c>
      <c r="I554" s="118" t="e">
        <f t="shared" ca="1" si="94"/>
        <v>#REF!</v>
      </c>
      <c r="J554" s="118" t="e">
        <f t="shared" ca="1" si="95"/>
        <v>#REF!</v>
      </c>
      <c r="K554" s="118" t="e">
        <f t="shared" ca="1" si="96"/>
        <v>#REF!</v>
      </c>
      <c r="L554" s="118" t="e">
        <f t="shared" ca="1" si="97"/>
        <v>#REF!</v>
      </c>
      <c r="M554" s="118" t="e">
        <f t="shared" ca="1" si="98"/>
        <v>#REF!</v>
      </c>
    </row>
    <row r="555" spans="1:13" x14ac:dyDescent="0.25">
      <c r="A555" s="119" t="s">
        <v>219</v>
      </c>
      <c r="B555" s="119">
        <v>45008</v>
      </c>
      <c r="C555" s="118" t="e">
        <f t="shared" ca="1" si="88"/>
        <v>#REF!</v>
      </c>
      <c r="D555" s="118" t="e">
        <f t="shared" ca="1" si="89"/>
        <v>#REF!</v>
      </c>
      <c r="E555" s="118" t="e">
        <f t="shared" ca="1" si="90"/>
        <v>#REF!</v>
      </c>
      <c r="F555" s="118" t="e">
        <f t="shared" ca="1" si="91"/>
        <v>#REF!</v>
      </c>
      <c r="G555" s="118" t="e">
        <f t="shared" ca="1" si="92"/>
        <v>#REF!</v>
      </c>
      <c r="H555" s="118" t="e">
        <f t="shared" ca="1" si="93"/>
        <v>#REF!</v>
      </c>
      <c r="I555" s="118" t="e">
        <f t="shared" ca="1" si="94"/>
        <v>#REF!</v>
      </c>
      <c r="J555" s="118" t="e">
        <f t="shared" ca="1" si="95"/>
        <v>#REF!</v>
      </c>
      <c r="K555" s="118" t="e">
        <f t="shared" ca="1" si="96"/>
        <v>#REF!</v>
      </c>
      <c r="L555" s="118" t="e">
        <f t="shared" ca="1" si="97"/>
        <v>#REF!</v>
      </c>
      <c r="M555" s="118" t="e">
        <f t="shared" ca="1" si="98"/>
        <v>#REF!</v>
      </c>
    </row>
    <row r="556" spans="1:13" x14ac:dyDescent="0.25">
      <c r="A556" s="119">
        <v>45009</v>
      </c>
      <c r="B556" s="119">
        <v>45009</v>
      </c>
      <c r="C556" s="118" t="e">
        <f t="shared" ca="1" si="88"/>
        <v>#REF!</v>
      </c>
      <c r="D556" s="118" t="e">
        <f t="shared" ca="1" si="89"/>
        <v>#REF!</v>
      </c>
      <c r="E556" s="118" t="e">
        <f t="shared" ca="1" si="90"/>
        <v>#REF!</v>
      </c>
      <c r="F556" s="118" t="e">
        <f t="shared" ca="1" si="91"/>
        <v>#REF!</v>
      </c>
      <c r="G556" s="118" t="e">
        <f t="shared" ca="1" si="92"/>
        <v>#REF!</v>
      </c>
      <c r="H556" s="118" t="e">
        <f t="shared" ca="1" si="93"/>
        <v>#REF!</v>
      </c>
      <c r="I556" s="118" t="e">
        <f t="shared" ca="1" si="94"/>
        <v>#REF!</v>
      </c>
      <c r="J556" s="118" t="e">
        <f t="shared" ca="1" si="95"/>
        <v>#REF!</v>
      </c>
      <c r="K556" s="118" t="e">
        <f t="shared" ca="1" si="96"/>
        <v>#REF!</v>
      </c>
      <c r="L556" s="118" t="e">
        <f t="shared" ca="1" si="97"/>
        <v>#REF!</v>
      </c>
      <c r="M556" s="118" t="e">
        <f t="shared" ca="1" si="98"/>
        <v>#REF!</v>
      </c>
    </row>
    <row r="557" spans="1:13" x14ac:dyDescent="0.25">
      <c r="A557" s="119">
        <v>45010</v>
      </c>
      <c r="B557" s="119">
        <v>45010</v>
      </c>
      <c r="C557" s="118" t="e">
        <f t="shared" ca="1" si="88"/>
        <v>#REF!</v>
      </c>
      <c r="D557" s="118" t="e">
        <f t="shared" ca="1" si="89"/>
        <v>#REF!</v>
      </c>
      <c r="E557" s="118" t="e">
        <f t="shared" ca="1" si="90"/>
        <v>#REF!</v>
      </c>
      <c r="F557" s="118" t="e">
        <f t="shared" ca="1" si="91"/>
        <v>#REF!</v>
      </c>
      <c r="G557" s="118" t="e">
        <f t="shared" ca="1" si="92"/>
        <v>#REF!</v>
      </c>
      <c r="H557" s="118" t="e">
        <f t="shared" ca="1" si="93"/>
        <v>#REF!</v>
      </c>
      <c r="I557" s="118" t="e">
        <f t="shared" ca="1" si="94"/>
        <v>#REF!</v>
      </c>
      <c r="J557" s="118" t="e">
        <f t="shared" ca="1" si="95"/>
        <v>#REF!</v>
      </c>
      <c r="K557" s="118" t="e">
        <f t="shared" ca="1" si="96"/>
        <v>#REF!</v>
      </c>
      <c r="L557" s="118" t="e">
        <f t="shared" ca="1" si="97"/>
        <v>#REF!</v>
      </c>
      <c r="M557" s="118" t="e">
        <f t="shared" ca="1" si="98"/>
        <v>#REF!</v>
      </c>
    </row>
    <row r="558" spans="1:13" x14ac:dyDescent="0.25">
      <c r="A558" s="119">
        <v>45011</v>
      </c>
      <c r="B558" s="119">
        <v>45011</v>
      </c>
      <c r="C558" s="118" t="e">
        <f t="shared" ca="1" si="88"/>
        <v>#REF!</v>
      </c>
      <c r="D558" s="118" t="e">
        <f t="shared" ca="1" si="89"/>
        <v>#REF!</v>
      </c>
      <c r="E558" s="118" t="e">
        <f t="shared" ca="1" si="90"/>
        <v>#REF!</v>
      </c>
      <c r="F558" s="118" t="e">
        <f t="shared" ca="1" si="91"/>
        <v>#REF!</v>
      </c>
      <c r="G558" s="118" t="e">
        <f t="shared" ca="1" si="92"/>
        <v>#REF!</v>
      </c>
      <c r="H558" s="118" t="e">
        <f t="shared" ca="1" si="93"/>
        <v>#REF!</v>
      </c>
      <c r="I558" s="118" t="e">
        <f t="shared" ca="1" si="94"/>
        <v>#REF!</v>
      </c>
      <c r="J558" s="118" t="e">
        <f t="shared" ca="1" si="95"/>
        <v>#REF!</v>
      </c>
      <c r="K558" s="118" t="e">
        <f t="shared" ca="1" si="96"/>
        <v>#REF!</v>
      </c>
      <c r="L558" s="118" t="e">
        <f t="shared" ca="1" si="97"/>
        <v>#REF!</v>
      </c>
      <c r="M558" s="118" t="e">
        <f t="shared" ca="1" si="98"/>
        <v>#REF!</v>
      </c>
    </row>
    <row r="559" spans="1:13" x14ac:dyDescent="0.25">
      <c r="A559" s="119">
        <v>45012</v>
      </c>
      <c r="B559" s="119">
        <v>45012</v>
      </c>
      <c r="C559" s="118" t="e">
        <f t="shared" ca="1" si="88"/>
        <v>#REF!</v>
      </c>
      <c r="D559" s="118" t="e">
        <f t="shared" ca="1" si="89"/>
        <v>#REF!</v>
      </c>
      <c r="E559" s="118" t="e">
        <f t="shared" ca="1" si="90"/>
        <v>#REF!</v>
      </c>
      <c r="F559" s="118" t="e">
        <f t="shared" ca="1" si="91"/>
        <v>#REF!</v>
      </c>
      <c r="G559" s="118" t="e">
        <f t="shared" ca="1" si="92"/>
        <v>#REF!</v>
      </c>
      <c r="H559" s="118" t="e">
        <f t="shared" ca="1" si="93"/>
        <v>#REF!</v>
      </c>
      <c r="I559" s="118" t="e">
        <f t="shared" ca="1" si="94"/>
        <v>#REF!</v>
      </c>
      <c r="J559" s="118" t="e">
        <f t="shared" ca="1" si="95"/>
        <v>#REF!</v>
      </c>
      <c r="K559" s="118" t="e">
        <f t="shared" ca="1" si="96"/>
        <v>#REF!</v>
      </c>
      <c r="L559" s="118" t="e">
        <f t="shared" ca="1" si="97"/>
        <v>#REF!</v>
      </c>
      <c r="M559" s="118" t="e">
        <f t="shared" ca="1" si="98"/>
        <v>#REF!</v>
      </c>
    </row>
    <row r="560" spans="1:13" x14ac:dyDescent="0.25">
      <c r="A560" s="119">
        <v>45013</v>
      </c>
      <c r="B560" s="119">
        <v>45013</v>
      </c>
      <c r="C560" s="118" t="e">
        <f t="shared" ca="1" si="88"/>
        <v>#REF!</v>
      </c>
      <c r="D560" s="118" t="e">
        <f t="shared" ca="1" si="89"/>
        <v>#REF!</v>
      </c>
      <c r="E560" s="118" t="e">
        <f t="shared" ca="1" si="90"/>
        <v>#REF!</v>
      </c>
      <c r="F560" s="118" t="e">
        <f t="shared" ca="1" si="91"/>
        <v>#REF!</v>
      </c>
      <c r="G560" s="118" t="e">
        <f t="shared" ca="1" si="92"/>
        <v>#REF!</v>
      </c>
      <c r="H560" s="118" t="e">
        <f t="shared" ca="1" si="93"/>
        <v>#REF!</v>
      </c>
      <c r="I560" s="118" t="e">
        <f t="shared" ca="1" si="94"/>
        <v>#REF!</v>
      </c>
      <c r="J560" s="118" t="e">
        <f t="shared" ca="1" si="95"/>
        <v>#REF!</v>
      </c>
      <c r="K560" s="118" t="e">
        <f t="shared" ca="1" si="96"/>
        <v>#REF!</v>
      </c>
      <c r="L560" s="118" t="e">
        <f t="shared" ca="1" si="97"/>
        <v>#REF!</v>
      </c>
      <c r="M560" s="118" t="e">
        <f t="shared" ca="1" si="98"/>
        <v>#REF!</v>
      </c>
    </row>
    <row r="561" spans="1:13" x14ac:dyDescent="0.25">
      <c r="A561" s="119">
        <v>45014</v>
      </c>
      <c r="B561" s="119">
        <v>45014</v>
      </c>
      <c r="C561" s="118" t="e">
        <f t="shared" ca="1" si="88"/>
        <v>#REF!</v>
      </c>
      <c r="D561" s="118" t="e">
        <f t="shared" ca="1" si="89"/>
        <v>#REF!</v>
      </c>
      <c r="E561" s="118" t="e">
        <f t="shared" ca="1" si="90"/>
        <v>#REF!</v>
      </c>
      <c r="F561" s="118" t="e">
        <f t="shared" ca="1" si="91"/>
        <v>#REF!</v>
      </c>
      <c r="G561" s="118" t="e">
        <f t="shared" ca="1" si="92"/>
        <v>#REF!</v>
      </c>
      <c r="H561" s="118" t="e">
        <f t="shared" ca="1" si="93"/>
        <v>#REF!</v>
      </c>
      <c r="I561" s="118" t="e">
        <f t="shared" ca="1" si="94"/>
        <v>#REF!</v>
      </c>
      <c r="J561" s="118" t="e">
        <f t="shared" ca="1" si="95"/>
        <v>#REF!</v>
      </c>
      <c r="K561" s="118" t="e">
        <f t="shared" ca="1" si="96"/>
        <v>#REF!</v>
      </c>
      <c r="L561" s="118" t="e">
        <f t="shared" ca="1" si="97"/>
        <v>#REF!</v>
      </c>
      <c r="M561" s="118" t="e">
        <f t="shared" ca="1" si="98"/>
        <v>#REF!</v>
      </c>
    </row>
    <row r="562" spans="1:13" x14ac:dyDescent="0.25">
      <c r="A562" s="119" t="s">
        <v>277</v>
      </c>
      <c r="B562" s="119">
        <v>45015</v>
      </c>
      <c r="C562" s="118" t="e">
        <f t="shared" ca="1" si="88"/>
        <v>#REF!</v>
      </c>
      <c r="D562" s="118" t="e">
        <f t="shared" ca="1" si="89"/>
        <v>#REF!</v>
      </c>
      <c r="E562" s="118" t="e">
        <f t="shared" ca="1" si="90"/>
        <v>#REF!</v>
      </c>
      <c r="F562" s="118" t="e">
        <f t="shared" ca="1" si="91"/>
        <v>#REF!</v>
      </c>
      <c r="G562" s="118" t="e">
        <f t="shared" ca="1" si="92"/>
        <v>#REF!</v>
      </c>
      <c r="H562" s="118" t="e">
        <f t="shared" ca="1" si="93"/>
        <v>#REF!</v>
      </c>
      <c r="I562" s="118" t="e">
        <f t="shared" ca="1" si="94"/>
        <v>#REF!</v>
      </c>
      <c r="J562" s="118" t="e">
        <f t="shared" ca="1" si="95"/>
        <v>#REF!</v>
      </c>
      <c r="K562" s="118" t="e">
        <f t="shared" ca="1" si="96"/>
        <v>#REF!</v>
      </c>
      <c r="L562" s="118" t="e">
        <f t="shared" ca="1" si="97"/>
        <v>#REF!</v>
      </c>
      <c r="M562" s="118" t="e">
        <f t="shared" ca="1" si="98"/>
        <v>#REF!</v>
      </c>
    </row>
    <row r="563" spans="1:13" x14ac:dyDescent="0.25">
      <c r="A563" s="119">
        <v>45016</v>
      </c>
      <c r="B563" s="119">
        <v>45016</v>
      </c>
      <c r="C563" s="118" t="e">
        <f t="shared" ca="1" si="88"/>
        <v>#REF!</v>
      </c>
      <c r="D563" s="118" t="e">
        <f t="shared" ca="1" si="89"/>
        <v>#REF!</v>
      </c>
      <c r="E563" s="118" t="e">
        <f t="shared" ca="1" si="90"/>
        <v>#REF!</v>
      </c>
      <c r="F563" s="118" t="e">
        <f t="shared" ca="1" si="91"/>
        <v>#REF!</v>
      </c>
      <c r="G563" s="118" t="e">
        <f t="shared" ca="1" si="92"/>
        <v>#REF!</v>
      </c>
      <c r="H563" s="118" t="e">
        <f t="shared" ca="1" si="93"/>
        <v>#REF!</v>
      </c>
      <c r="I563" s="118" t="e">
        <f t="shared" ca="1" si="94"/>
        <v>#REF!</v>
      </c>
      <c r="J563" s="118" t="e">
        <f t="shared" ca="1" si="95"/>
        <v>#REF!</v>
      </c>
      <c r="K563" s="118" t="e">
        <f t="shared" ca="1" si="96"/>
        <v>#REF!</v>
      </c>
      <c r="L563" s="118" t="e">
        <f t="shared" ca="1" si="97"/>
        <v>#REF!</v>
      </c>
      <c r="M563" s="118" t="e">
        <f t="shared" ca="1" si="98"/>
        <v>#REF!</v>
      </c>
    </row>
    <row r="564" spans="1:13" x14ac:dyDescent="0.25">
      <c r="A564" s="119">
        <v>45017</v>
      </c>
      <c r="B564" s="119">
        <v>45017</v>
      </c>
      <c r="C564" s="118" t="e">
        <f t="shared" ca="1" si="88"/>
        <v>#REF!</v>
      </c>
      <c r="D564" s="118" t="e">
        <f t="shared" ca="1" si="89"/>
        <v>#REF!</v>
      </c>
      <c r="E564" s="118" t="e">
        <f t="shared" ca="1" si="90"/>
        <v>#REF!</v>
      </c>
      <c r="F564" s="118" t="e">
        <f t="shared" ca="1" si="91"/>
        <v>#REF!</v>
      </c>
      <c r="G564" s="118" t="e">
        <f t="shared" ca="1" si="92"/>
        <v>#REF!</v>
      </c>
      <c r="H564" s="118" t="e">
        <f t="shared" ca="1" si="93"/>
        <v>#REF!</v>
      </c>
      <c r="I564" s="118" t="e">
        <f t="shared" ca="1" si="94"/>
        <v>#REF!</v>
      </c>
      <c r="J564" s="118" t="e">
        <f t="shared" ca="1" si="95"/>
        <v>#REF!</v>
      </c>
      <c r="K564" s="118" t="e">
        <f t="shared" ca="1" si="96"/>
        <v>#REF!</v>
      </c>
      <c r="L564" s="118" t="e">
        <f t="shared" ca="1" si="97"/>
        <v>#REF!</v>
      </c>
      <c r="M564" s="118" t="e">
        <f t="shared" ca="1" si="98"/>
        <v>#REF!</v>
      </c>
    </row>
    <row r="565" spans="1:13" x14ac:dyDescent="0.25">
      <c r="A565" s="119">
        <v>45018</v>
      </c>
      <c r="B565" s="119">
        <v>45018</v>
      </c>
      <c r="C565" s="118" t="e">
        <f t="shared" ca="1" si="88"/>
        <v>#REF!</v>
      </c>
      <c r="D565" s="118" t="e">
        <f t="shared" ca="1" si="89"/>
        <v>#REF!</v>
      </c>
      <c r="E565" s="118" t="e">
        <f t="shared" ca="1" si="90"/>
        <v>#REF!</v>
      </c>
      <c r="F565" s="118" t="e">
        <f t="shared" ca="1" si="91"/>
        <v>#REF!</v>
      </c>
      <c r="G565" s="118" t="e">
        <f t="shared" ca="1" si="92"/>
        <v>#REF!</v>
      </c>
      <c r="H565" s="118" t="e">
        <f t="shared" ca="1" si="93"/>
        <v>#REF!</v>
      </c>
      <c r="I565" s="118" t="e">
        <f t="shared" ca="1" si="94"/>
        <v>#REF!</v>
      </c>
      <c r="J565" s="118" t="e">
        <f t="shared" ca="1" si="95"/>
        <v>#REF!</v>
      </c>
      <c r="K565" s="118" t="e">
        <f t="shared" ca="1" si="96"/>
        <v>#REF!</v>
      </c>
      <c r="L565" s="118" t="e">
        <f t="shared" ca="1" si="97"/>
        <v>#REF!</v>
      </c>
      <c r="M565" s="118" t="e">
        <f t="shared" ca="1" si="98"/>
        <v>#REF!</v>
      </c>
    </row>
    <row r="566" spans="1:13" x14ac:dyDescent="0.25">
      <c r="A566" s="119">
        <v>45019</v>
      </c>
      <c r="B566" s="119">
        <v>45019</v>
      </c>
      <c r="C566" s="118" t="e">
        <f t="shared" ca="1" si="88"/>
        <v>#REF!</v>
      </c>
      <c r="D566" s="118" t="e">
        <f t="shared" ca="1" si="89"/>
        <v>#REF!</v>
      </c>
      <c r="E566" s="118" t="e">
        <f t="shared" ca="1" si="90"/>
        <v>#REF!</v>
      </c>
      <c r="F566" s="118" t="e">
        <f t="shared" ca="1" si="91"/>
        <v>#REF!</v>
      </c>
      <c r="G566" s="118" t="e">
        <f t="shared" ca="1" si="92"/>
        <v>#REF!</v>
      </c>
      <c r="H566" s="118" t="e">
        <f t="shared" ca="1" si="93"/>
        <v>#REF!</v>
      </c>
      <c r="I566" s="118" t="e">
        <f t="shared" ca="1" si="94"/>
        <v>#REF!</v>
      </c>
      <c r="J566" s="118" t="e">
        <f t="shared" ca="1" si="95"/>
        <v>#REF!</v>
      </c>
      <c r="K566" s="118" t="e">
        <f t="shared" ca="1" si="96"/>
        <v>#REF!</v>
      </c>
      <c r="L566" s="118" t="e">
        <f t="shared" ca="1" si="97"/>
        <v>#REF!</v>
      </c>
      <c r="M566" s="118" t="e">
        <f t="shared" ca="1" si="98"/>
        <v>#REF!</v>
      </c>
    </row>
    <row r="567" spans="1:13" x14ac:dyDescent="0.25">
      <c r="A567" s="119" t="s">
        <v>220</v>
      </c>
      <c r="B567" s="119">
        <v>45020</v>
      </c>
      <c r="C567" s="118" t="e">
        <f t="shared" ca="1" si="88"/>
        <v>#REF!</v>
      </c>
      <c r="D567" s="118" t="e">
        <f t="shared" ca="1" si="89"/>
        <v>#REF!</v>
      </c>
      <c r="E567" s="118" t="e">
        <f t="shared" ca="1" si="90"/>
        <v>#REF!</v>
      </c>
      <c r="F567" s="118" t="e">
        <f t="shared" ca="1" si="91"/>
        <v>#REF!</v>
      </c>
      <c r="G567" s="118" t="e">
        <f t="shared" ca="1" si="92"/>
        <v>#REF!</v>
      </c>
      <c r="H567" s="118" t="e">
        <f t="shared" ca="1" si="93"/>
        <v>#REF!</v>
      </c>
      <c r="I567" s="118" t="e">
        <f t="shared" ca="1" si="94"/>
        <v>#REF!</v>
      </c>
      <c r="J567" s="118" t="e">
        <f t="shared" ca="1" si="95"/>
        <v>#REF!</v>
      </c>
      <c r="K567" s="118" t="e">
        <f t="shared" ca="1" si="96"/>
        <v>#REF!</v>
      </c>
      <c r="L567" s="118" t="e">
        <f t="shared" ca="1" si="97"/>
        <v>#REF!</v>
      </c>
      <c r="M567" s="118" t="e">
        <f t="shared" ca="1" si="98"/>
        <v>#REF!</v>
      </c>
    </row>
    <row r="568" spans="1:13" x14ac:dyDescent="0.25">
      <c r="A568" s="119">
        <v>45021</v>
      </c>
      <c r="B568" s="119">
        <v>45021</v>
      </c>
      <c r="C568" s="118" t="e">
        <f t="shared" ca="1" si="88"/>
        <v>#REF!</v>
      </c>
      <c r="D568" s="118" t="e">
        <f t="shared" ca="1" si="89"/>
        <v>#REF!</v>
      </c>
      <c r="E568" s="118" t="e">
        <f t="shared" ca="1" si="90"/>
        <v>#REF!</v>
      </c>
      <c r="F568" s="118" t="e">
        <f t="shared" ca="1" si="91"/>
        <v>#REF!</v>
      </c>
      <c r="G568" s="118" t="e">
        <f t="shared" ca="1" si="92"/>
        <v>#REF!</v>
      </c>
      <c r="H568" s="118" t="e">
        <f t="shared" ca="1" si="93"/>
        <v>#REF!</v>
      </c>
      <c r="I568" s="118" t="e">
        <f t="shared" ca="1" si="94"/>
        <v>#REF!</v>
      </c>
      <c r="J568" s="118" t="e">
        <f t="shared" ca="1" si="95"/>
        <v>#REF!</v>
      </c>
      <c r="K568" s="118" t="e">
        <f t="shared" ca="1" si="96"/>
        <v>#REF!</v>
      </c>
      <c r="L568" s="118" t="e">
        <f t="shared" ca="1" si="97"/>
        <v>#REF!</v>
      </c>
      <c r="M568" s="118" t="e">
        <f t="shared" ca="1" si="98"/>
        <v>#REF!</v>
      </c>
    </row>
    <row r="569" spans="1:13" x14ac:dyDescent="0.25">
      <c r="A569" s="119">
        <v>45022</v>
      </c>
      <c r="B569" s="119">
        <v>45022</v>
      </c>
      <c r="C569" s="118" t="e">
        <f t="shared" ca="1" si="88"/>
        <v>#REF!</v>
      </c>
      <c r="D569" s="118" t="e">
        <f t="shared" ca="1" si="89"/>
        <v>#REF!</v>
      </c>
      <c r="E569" s="118" t="e">
        <f t="shared" ca="1" si="90"/>
        <v>#REF!</v>
      </c>
      <c r="F569" s="118" t="e">
        <f t="shared" ca="1" si="91"/>
        <v>#REF!</v>
      </c>
      <c r="G569" s="118" t="e">
        <f t="shared" ca="1" si="92"/>
        <v>#REF!</v>
      </c>
      <c r="H569" s="118" t="e">
        <f t="shared" ca="1" si="93"/>
        <v>#REF!</v>
      </c>
      <c r="I569" s="118" t="e">
        <f t="shared" ca="1" si="94"/>
        <v>#REF!</v>
      </c>
      <c r="J569" s="118" t="e">
        <f t="shared" ca="1" si="95"/>
        <v>#REF!</v>
      </c>
      <c r="K569" s="118" t="e">
        <f t="shared" ca="1" si="96"/>
        <v>#REF!</v>
      </c>
      <c r="L569" s="118" t="e">
        <f t="shared" ca="1" si="97"/>
        <v>#REF!</v>
      </c>
      <c r="M569" s="118" t="e">
        <f t="shared" ca="1" si="98"/>
        <v>#REF!</v>
      </c>
    </row>
    <row r="570" spans="1:13" x14ac:dyDescent="0.25">
      <c r="A570" s="119">
        <v>45023</v>
      </c>
      <c r="B570" s="119">
        <v>45023</v>
      </c>
      <c r="C570" s="118" t="e">
        <f t="shared" ca="1" si="88"/>
        <v>#REF!</v>
      </c>
      <c r="D570" s="118" t="e">
        <f t="shared" ca="1" si="89"/>
        <v>#REF!</v>
      </c>
      <c r="E570" s="118" t="e">
        <f t="shared" ca="1" si="90"/>
        <v>#REF!</v>
      </c>
      <c r="F570" s="118" t="e">
        <f t="shared" ca="1" si="91"/>
        <v>#REF!</v>
      </c>
      <c r="G570" s="118" t="e">
        <f t="shared" ca="1" si="92"/>
        <v>#REF!</v>
      </c>
      <c r="H570" s="118" t="e">
        <f t="shared" ca="1" si="93"/>
        <v>#REF!</v>
      </c>
      <c r="I570" s="118" t="e">
        <f t="shared" ca="1" si="94"/>
        <v>#REF!</v>
      </c>
      <c r="J570" s="118" t="e">
        <f t="shared" ca="1" si="95"/>
        <v>#REF!</v>
      </c>
      <c r="K570" s="118" t="e">
        <f t="shared" ca="1" si="96"/>
        <v>#REF!</v>
      </c>
      <c r="L570" s="118" t="e">
        <f t="shared" ca="1" si="97"/>
        <v>#REF!</v>
      </c>
      <c r="M570" s="118" t="e">
        <f t="shared" ca="1" si="98"/>
        <v>#REF!</v>
      </c>
    </row>
    <row r="571" spans="1:13" x14ac:dyDescent="0.25">
      <c r="A571" s="119">
        <v>45024</v>
      </c>
      <c r="B571" s="119">
        <v>45024</v>
      </c>
      <c r="C571" s="118" t="e">
        <f t="shared" ca="1" si="88"/>
        <v>#REF!</v>
      </c>
      <c r="D571" s="118" t="e">
        <f t="shared" ca="1" si="89"/>
        <v>#REF!</v>
      </c>
      <c r="E571" s="118" t="e">
        <f t="shared" ca="1" si="90"/>
        <v>#REF!</v>
      </c>
      <c r="F571" s="118" t="e">
        <f t="shared" ca="1" si="91"/>
        <v>#REF!</v>
      </c>
      <c r="G571" s="118" t="e">
        <f t="shared" ca="1" si="92"/>
        <v>#REF!</v>
      </c>
      <c r="H571" s="118" t="e">
        <f t="shared" ca="1" si="93"/>
        <v>#REF!</v>
      </c>
      <c r="I571" s="118" t="e">
        <f t="shared" ca="1" si="94"/>
        <v>#REF!</v>
      </c>
      <c r="J571" s="118" t="e">
        <f t="shared" ca="1" si="95"/>
        <v>#REF!</v>
      </c>
      <c r="K571" s="118" t="e">
        <f t="shared" ca="1" si="96"/>
        <v>#REF!</v>
      </c>
      <c r="L571" s="118" t="e">
        <f t="shared" ca="1" si="97"/>
        <v>#REF!</v>
      </c>
      <c r="M571" s="118" t="e">
        <f t="shared" ca="1" si="98"/>
        <v>#REF!</v>
      </c>
    </row>
    <row r="572" spans="1:13" x14ac:dyDescent="0.25">
      <c r="A572" s="119">
        <v>45025</v>
      </c>
      <c r="B572" s="119">
        <v>45025</v>
      </c>
      <c r="C572" s="118" t="e">
        <f t="shared" ca="1" si="88"/>
        <v>#REF!</v>
      </c>
      <c r="D572" s="118" t="e">
        <f t="shared" ca="1" si="89"/>
        <v>#REF!</v>
      </c>
      <c r="E572" s="118" t="e">
        <f t="shared" ca="1" si="90"/>
        <v>#REF!</v>
      </c>
      <c r="F572" s="118" t="e">
        <f t="shared" ca="1" si="91"/>
        <v>#REF!</v>
      </c>
      <c r="G572" s="118" t="e">
        <f t="shared" ca="1" si="92"/>
        <v>#REF!</v>
      </c>
      <c r="H572" s="118" t="e">
        <f t="shared" ca="1" si="93"/>
        <v>#REF!</v>
      </c>
      <c r="I572" s="118" t="e">
        <f t="shared" ca="1" si="94"/>
        <v>#REF!</v>
      </c>
      <c r="J572" s="118" t="e">
        <f t="shared" ca="1" si="95"/>
        <v>#REF!</v>
      </c>
      <c r="K572" s="118" t="e">
        <f t="shared" ca="1" si="96"/>
        <v>#REF!</v>
      </c>
      <c r="L572" s="118" t="e">
        <f t="shared" ca="1" si="97"/>
        <v>#REF!</v>
      </c>
      <c r="M572" s="118" t="e">
        <f t="shared" ca="1" si="98"/>
        <v>#REF!</v>
      </c>
    </row>
    <row r="573" spans="1:13" x14ac:dyDescent="0.25">
      <c r="A573" s="119">
        <v>45026</v>
      </c>
      <c r="B573" s="119">
        <v>45026</v>
      </c>
      <c r="C573" s="118" t="e">
        <f t="shared" ca="1" si="88"/>
        <v>#REF!</v>
      </c>
      <c r="D573" s="118" t="e">
        <f t="shared" ca="1" si="89"/>
        <v>#REF!</v>
      </c>
      <c r="E573" s="118" t="e">
        <f t="shared" ca="1" si="90"/>
        <v>#REF!</v>
      </c>
      <c r="F573" s="118" t="e">
        <f t="shared" ca="1" si="91"/>
        <v>#REF!</v>
      </c>
      <c r="G573" s="118" t="e">
        <f t="shared" ca="1" si="92"/>
        <v>#REF!</v>
      </c>
      <c r="H573" s="118" t="e">
        <f t="shared" ca="1" si="93"/>
        <v>#REF!</v>
      </c>
      <c r="I573" s="118" t="e">
        <f t="shared" ca="1" si="94"/>
        <v>#REF!</v>
      </c>
      <c r="J573" s="118" t="e">
        <f t="shared" ca="1" si="95"/>
        <v>#REF!</v>
      </c>
      <c r="K573" s="118" t="e">
        <f t="shared" ca="1" si="96"/>
        <v>#REF!</v>
      </c>
      <c r="L573" s="118" t="e">
        <f t="shared" ca="1" si="97"/>
        <v>#REF!</v>
      </c>
      <c r="M573" s="118" t="e">
        <f t="shared" ca="1" si="98"/>
        <v>#REF!</v>
      </c>
    </row>
    <row r="574" spans="1:13" x14ac:dyDescent="0.25">
      <c r="A574" s="119">
        <v>45027</v>
      </c>
      <c r="B574" s="119">
        <v>45027</v>
      </c>
      <c r="C574" s="118" t="e">
        <f t="shared" ca="1" si="88"/>
        <v>#REF!</v>
      </c>
      <c r="D574" s="118" t="e">
        <f t="shared" ca="1" si="89"/>
        <v>#REF!</v>
      </c>
      <c r="E574" s="118" t="e">
        <f t="shared" ca="1" si="90"/>
        <v>#REF!</v>
      </c>
      <c r="F574" s="118" t="e">
        <f t="shared" ca="1" si="91"/>
        <v>#REF!</v>
      </c>
      <c r="G574" s="118" t="e">
        <f t="shared" ca="1" si="92"/>
        <v>#REF!</v>
      </c>
      <c r="H574" s="118" t="e">
        <f t="shared" ca="1" si="93"/>
        <v>#REF!</v>
      </c>
      <c r="I574" s="118" t="e">
        <f t="shared" ca="1" si="94"/>
        <v>#REF!</v>
      </c>
      <c r="J574" s="118" t="e">
        <f t="shared" ca="1" si="95"/>
        <v>#REF!</v>
      </c>
      <c r="K574" s="118" t="e">
        <f t="shared" ca="1" si="96"/>
        <v>#REF!</v>
      </c>
      <c r="L574" s="118" t="e">
        <f t="shared" ca="1" si="97"/>
        <v>#REF!</v>
      </c>
      <c r="M574" s="118" t="e">
        <f t="shared" ca="1" si="98"/>
        <v>#REF!</v>
      </c>
    </row>
    <row r="575" spans="1:13" x14ac:dyDescent="0.25">
      <c r="A575" s="119">
        <v>45028</v>
      </c>
      <c r="B575" s="119">
        <v>45028</v>
      </c>
      <c r="C575" s="118" t="e">
        <f t="shared" ca="1" si="88"/>
        <v>#REF!</v>
      </c>
      <c r="D575" s="118" t="e">
        <f t="shared" ca="1" si="89"/>
        <v>#REF!</v>
      </c>
      <c r="E575" s="118" t="e">
        <f t="shared" ca="1" si="90"/>
        <v>#REF!</v>
      </c>
      <c r="F575" s="118" t="e">
        <f t="shared" ca="1" si="91"/>
        <v>#REF!</v>
      </c>
      <c r="G575" s="118" t="e">
        <f t="shared" ca="1" si="92"/>
        <v>#REF!</v>
      </c>
      <c r="H575" s="118" t="e">
        <f t="shared" ca="1" si="93"/>
        <v>#REF!</v>
      </c>
      <c r="I575" s="118" t="e">
        <f t="shared" ca="1" si="94"/>
        <v>#REF!</v>
      </c>
      <c r="J575" s="118" t="e">
        <f t="shared" ca="1" si="95"/>
        <v>#REF!</v>
      </c>
      <c r="K575" s="118" t="e">
        <f t="shared" ca="1" si="96"/>
        <v>#REF!</v>
      </c>
      <c r="L575" s="118" t="e">
        <f t="shared" ca="1" si="97"/>
        <v>#REF!</v>
      </c>
      <c r="M575" s="118" t="e">
        <f t="shared" ca="1" si="98"/>
        <v>#REF!</v>
      </c>
    </row>
    <row r="576" spans="1:13" x14ac:dyDescent="0.25">
      <c r="A576" s="119">
        <v>45029</v>
      </c>
      <c r="B576" s="119">
        <v>45029</v>
      </c>
      <c r="C576" s="118" t="e">
        <f t="shared" ca="1" si="88"/>
        <v>#REF!</v>
      </c>
      <c r="D576" s="118" t="e">
        <f t="shared" ca="1" si="89"/>
        <v>#REF!</v>
      </c>
      <c r="E576" s="118" t="e">
        <f t="shared" ca="1" si="90"/>
        <v>#REF!</v>
      </c>
      <c r="F576" s="118" t="e">
        <f t="shared" ca="1" si="91"/>
        <v>#REF!</v>
      </c>
      <c r="G576" s="118" t="e">
        <f t="shared" ca="1" si="92"/>
        <v>#REF!</v>
      </c>
      <c r="H576" s="118" t="e">
        <f t="shared" ca="1" si="93"/>
        <v>#REF!</v>
      </c>
      <c r="I576" s="118" t="e">
        <f t="shared" ca="1" si="94"/>
        <v>#REF!</v>
      </c>
      <c r="J576" s="118" t="e">
        <f t="shared" ca="1" si="95"/>
        <v>#REF!</v>
      </c>
      <c r="K576" s="118" t="e">
        <f t="shared" ca="1" si="96"/>
        <v>#REF!</v>
      </c>
      <c r="L576" s="118" t="e">
        <f t="shared" ca="1" si="97"/>
        <v>#REF!</v>
      </c>
      <c r="M576" s="118" t="e">
        <f t="shared" ca="1" si="98"/>
        <v>#REF!</v>
      </c>
    </row>
    <row r="577" spans="1:13" x14ac:dyDescent="0.25">
      <c r="A577" s="119">
        <v>45030</v>
      </c>
      <c r="B577" s="119">
        <v>45030</v>
      </c>
      <c r="C577" s="118" t="e">
        <f t="shared" ca="1" si="88"/>
        <v>#REF!</v>
      </c>
      <c r="D577" s="118" t="e">
        <f t="shared" ca="1" si="89"/>
        <v>#REF!</v>
      </c>
      <c r="E577" s="118" t="e">
        <f t="shared" ca="1" si="90"/>
        <v>#REF!</v>
      </c>
      <c r="F577" s="118" t="e">
        <f t="shared" ca="1" si="91"/>
        <v>#REF!</v>
      </c>
      <c r="G577" s="118" t="e">
        <f t="shared" ca="1" si="92"/>
        <v>#REF!</v>
      </c>
      <c r="H577" s="118" t="e">
        <f t="shared" ca="1" si="93"/>
        <v>#REF!</v>
      </c>
      <c r="I577" s="118" t="e">
        <f t="shared" ca="1" si="94"/>
        <v>#REF!</v>
      </c>
      <c r="J577" s="118" t="e">
        <f t="shared" ca="1" si="95"/>
        <v>#REF!</v>
      </c>
      <c r="K577" s="118" t="e">
        <f t="shared" ca="1" si="96"/>
        <v>#REF!</v>
      </c>
      <c r="L577" s="118" t="e">
        <f t="shared" ca="1" si="97"/>
        <v>#REF!</v>
      </c>
      <c r="M577" s="118" t="e">
        <f t="shared" ca="1" si="98"/>
        <v>#REF!</v>
      </c>
    </row>
    <row r="578" spans="1:13" x14ac:dyDescent="0.25">
      <c r="A578" s="119">
        <v>45031</v>
      </c>
      <c r="B578" s="119">
        <v>45031</v>
      </c>
      <c r="C578" s="118" t="e">
        <f t="shared" ca="1" si="88"/>
        <v>#REF!</v>
      </c>
      <c r="D578" s="118" t="e">
        <f t="shared" ca="1" si="89"/>
        <v>#REF!</v>
      </c>
      <c r="E578" s="118" t="e">
        <f t="shared" ca="1" si="90"/>
        <v>#REF!</v>
      </c>
      <c r="F578" s="118" t="e">
        <f t="shared" ca="1" si="91"/>
        <v>#REF!</v>
      </c>
      <c r="G578" s="118" t="e">
        <f t="shared" ca="1" si="92"/>
        <v>#REF!</v>
      </c>
      <c r="H578" s="118" t="e">
        <f t="shared" ca="1" si="93"/>
        <v>#REF!</v>
      </c>
      <c r="I578" s="118" t="e">
        <f t="shared" ca="1" si="94"/>
        <v>#REF!</v>
      </c>
      <c r="J578" s="118" t="e">
        <f t="shared" ca="1" si="95"/>
        <v>#REF!</v>
      </c>
      <c r="K578" s="118" t="e">
        <f t="shared" ca="1" si="96"/>
        <v>#REF!</v>
      </c>
      <c r="L578" s="118" t="e">
        <f t="shared" ca="1" si="97"/>
        <v>#REF!</v>
      </c>
      <c r="M578" s="118" t="e">
        <f t="shared" ca="1" si="98"/>
        <v>#REF!</v>
      </c>
    </row>
    <row r="579" spans="1:13" x14ac:dyDescent="0.25">
      <c r="A579" s="119">
        <v>45032</v>
      </c>
      <c r="B579" s="119">
        <v>45032</v>
      </c>
      <c r="C579" s="118" t="e">
        <f t="shared" ref="C579:C642" ca="1" si="99">INDIRECT(CONCATENATE("",$A579,"!H10"))</f>
        <v>#REF!</v>
      </c>
      <c r="D579" s="118" t="e">
        <f t="shared" ref="D579:D642" ca="1" si="100">INDIRECT(CONCATENATE("",$A579,"!H11"))</f>
        <v>#REF!</v>
      </c>
      <c r="E579" s="118" t="e">
        <f t="shared" ref="E579:E642" ca="1" si="101">INDIRECT(CONCATENATE("",$A579,"!H12"))</f>
        <v>#REF!</v>
      </c>
      <c r="F579" s="118" t="e">
        <f t="shared" ref="F579:F642" ca="1" si="102">INDIRECT(CONCATENATE("",$A579,"!H13"))</f>
        <v>#REF!</v>
      </c>
      <c r="G579" s="118" t="e">
        <f t="shared" ref="G579:G642" ca="1" si="103">INDIRECT(CONCATENATE("",$A579,"!H14"))</f>
        <v>#REF!</v>
      </c>
      <c r="H579" s="118" t="e">
        <f t="shared" ref="H579:H642" ca="1" si="104">INDIRECT(CONCATENATE("",$A579,"!i12"))</f>
        <v>#REF!</v>
      </c>
      <c r="I579" s="118" t="e">
        <f t="shared" ref="I579:I642" ca="1" si="105">INDIRECT(CONCATENATE("",$A579,"!i13"))</f>
        <v>#REF!</v>
      </c>
      <c r="J579" s="118" t="e">
        <f t="shared" ref="J579:J642" ca="1" si="106">INDIRECT(CONCATENATE("",$A579,"!i14"))</f>
        <v>#REF!</v>
      </c>
      <c r="K579" s="118" t="e">
        <f t="shared" ref="K579:K642" ca="1" si="107">INDIRECT(CONCATENATE("",$A579,"!J12"))</f>
        <v>#REF!</v>
      </c>
      <c r="L579" s="118" t="e">
        <f t="shared" ref="L579:L642" ca="1" si="108">INDIRECT(CONCATENATE("",$A579,"!J13"))</f>
        <v>#REF!</v>
      </c>
      <c r="M579" s="118" t="e">
        <f t="shared" ref="M579:M642" ca="1" si="109">INDIRECT(CONCATENATE("",$A579,"!J14"))</f>
        <v>#REF!</v>
      </c>
    </row>
    <row r="580" spans="1:13" x14ac:dyDescent="0.25">
      <c r="A580" s="119" t="s">
        <v>278</v>
      </c>
      <c r="B580" s="119">
        <v>45033</v>
      </c>
      <c r="C580" s="118" t="e">
        <f t="shared" ca="1" si="99"/>
        <v>#REF!</v>
      </c>
      <c r="D580" s="118" t="e">
        <f t="shared" ca="1" si="100"/>
        <v>#REF!</v>
      </c>
      <c r="E580" s="118" t="e">
        <f t="shared" ca="1" si="101"/>
        <v>#REF!</v>
      </c>
      <c r="F580" s="118" t="e">
        <f t="shared" ca="1" si="102"/>
        <v>#REF!</v>
      </c>
      <c r="G580" s="118" t="e">
        <f t="shared" ca="1" si="103"/>
        <v>#REF!</v>
      </c>
      <c r="H580" s="118" t="e">
        <f t="shared" ca="1" si="104"/>
        <v>#REF!</v>
      </c>
      <c r="I580" s="118" t="e">
        <f t="shared" ca="1" si="105"/>
        <v>#REF!</v>
      </c>
      <c r="J580" s="118" t="e">
        <f t="shared" ca="1" si="106"/>
        <v>#REF!</v>
      </c>
      <c r="K580" s="118" t="e">
        <f t="shared" ca="1" si="107"/>
        <v>#REF!</v>
      </c>
      <c r="L580" s="118" t="e">
        <f t="shared" ca="1" si="108"/>
        <v>#REF!</v>
      </c>
      <c r="M580" s="118" t="e">
        <f t="shared" ca="1" si="109"/>
        <v>#REF!</v>
      </c>
    </row>
    <row r="581" spans="1:13" x14ac:dyDescent="0.25">
      <c r="A581" s="119">
        <v>45034</v>
      </c>
      <c r="B581" s="119">
        <v>45034</v>
      </c>
      <c r="C581" s="118" t="e">
        <f t="shared" ca="1" si="99"/>
        <v>#REF!</v>
      </c>
      <c r="D581" s="118" t="e">
        <f t="shared" ca="1" si="100"/>
        <v>#REF!</v>
      </c>
      <c r="E581" s="118" t="e">
        <f t="shared" ca="1" si="101"/>
        <v>#REF!</v>
      </c>
      <c r="F581" s="118" t="e">
        <f t="shared" ca="1" si="102"/>
        <v>#REF!</v>
      </c>
      <c r="G581" s="118" t="e">
        <f t="shared" ca="1" si="103"/>
        <v>#REF!</v>
      </c>
      <c r="H581" s="118" t="e">
        <f t="shared" ca="1" si="104"/>
        <v>#REF!</v>
      </c>
      <c r="I581" s="118" t="e">
        <f t="shared" ca="1" si="105"/>
        <v>#REF!</v>
      </c>
      <c r="J581" s="118" t="e">
        <f t="shared" ca="1" si="106"/>
        <v>#REF!</v>
      </c>
      <c r="K581" s="118" t="e">
        <f t="shared" ca="1" si="107"/>
        <v>#REF!</v>
      </c>
      <c r="L581" s="118" t="e">
        <f t="shared" ca="1" si="108"/>
        <v>#REF!</v>
      </c>
      <c r="M581" s="118" t="e">
        <f t="shared" ca="1" si="109"/>
        <v>#REF!</v>
      </c>
    </row>
    <row r="582" spans="1:13" x14ac:dyDescent="0.25">
      <c r="A582" s="119">
        <v>45035</v>
      </c>
      <c r="B582" s="119">
        <v>45035</v>
      </c>
      <c r="C582" s="118" t="e">
        <f t="shared" ca="1" si="99"/>
        <v>#REF!</v>
      </c>
      <c r="D582" s="118" t="e">
        <f t="shared" ca="1" si="100"/>
        <v>#REF!</v>
      </c>
      <c r="E582" s="118" t="e">
        <f t="shared" ca="1" si="101"/>
        <v>#REF!</v>
      </c>
      <c r="F582" s="118" t="e">
        <f t="shared" ca="1" si="102"/>
        <v>#REF!</v>
      </c>
      <c r="G582" s="118" t="e">
        <f t="shared" ca="1" si="103"/>
        <v>#REF!</v>
      </c>
      <c r="H582" s="118" t="e">
        <f t="shared" ca="1" si="104"/>
        <v>#REF!</v>
      </c>
      <c r="I582" s="118" t="e">
        <f t="shared" ca="1" si="105"/>
        <v>#REF!</v>
      </c>
      <c r="J582" s="118" t="e">
        <f t="shared" ca="1" si="106"/>
        <v>#REF!</v>
      </c>
      <c r="K582" s="118" t="e">
        <f t="shared" ca="1" si="107"/>
        <v>#REF!</v>
      </c>
      <c r="L582" s="118" t="e">
        <f t="shared" ca="1" si="108"/>
        <v>#REF!</v>
      </c>
      <c r="M582" s="118" t="e">
        <f t="shared" ca="1" si="109"/>
        <v>#REF!</v>
      </c>
    </row>
    <row r="583" spans="1:13" x14ac:dyDescent="0.25">
      <c r="A583" s="119">
        <v>45036</v>
      </c>
      <c r="B583" s="119">
        <v>45036</v>
      </c>
      <c r="C583" s="118" t="e">
        <f t="shared" ca="1" si="99"/>
        <v>#REF!</v>
      </c>
      <c r="D583" s="118" t="e">
        <f t="shared" ca="1" si="100"/>
        <v>#REF!</v>
      </c>
      <c r="E583" s="118" t="e">
        <f t="shared" ca="1" si="101"/>
        <v>#REF!</v>
      </c>
      <c r="F583" s="118" t="e">
        <f t="shared" ca="1" si="102"/>
        <v>#REF!</v>
      </c>
      <c r="G583" s="118" t="e">
        <f t="shared" ca="1" si="103"/>
        <v>#REF!</v>
      </c>
      <c r="H583" s="118" t="e">
        <f t="shared" ca="1" si="104"/>
        <v>#REF!</v>
      </c>
      <c r="I583" s="118" t="e">
        <f t="shared" ca="1" si="105"/>
        <v>#REF!</v>
      </c>
      <c r="J583" s="118" t="e">
        <f t="shared" ca="1" si="106"/>
        <v>#REF!</v>
      </c>
      <c r="K583" s="118" t="e">
        <f t="shared" ca="1" si="107"/>
        <v>#REF!</v>
      </c>
      <c r="L583" s="118" t="e">
        <f t="shared" ca="1" si="108"/>
        <v>#REF!</v>
      </c>
      <c r="M583" s="118" t="e">
        <f t="shared" ca="1" si="109"/>
        <v>#REF!</v>
      </c>
    </row>
    <row r="584" spans="1:13" x14ac:dyDescent="0.25">
      <c r="A584" s="119">
        <v>45037</v>
      </c>
      <c r="B584" s="119">
        <v>45037</v>
      </c>
      <c r="C584" s="118" t="e">
        <f t="shared" ca="1" si="99"/>
        <v>#REF!</v>
      </c>
      <c r="D584" s="118" t="e">
        <f t="shared" ca="1" si="100"/>
        <v>#REF!</v>
      </c>
      <c r="E584" s="118" t="e">
        <f t="shared" ca="1" si="101"/>
        <v>#REF!</v>
      </c>
      <c r="F584" s="118" t="e">
        <f t="shared" ca="1" si="102"/>
        <v>#REF!</v>
      </c>
      <c r="G584" s="118" t="e">
        <f t="shared" ca="1" si="103"/>
        <v>#REF!</v>
      </c>
      <c r="H584" s="118" t="e">
        <f t="shared" ca="1" si="104"/>
        <v>#REF!</v>
      </c>
      <c r="I584" s="118" t="e">
        <f t="shared" ca="1" si="105"/>
        <v>#REF!</v>
      </c>
      <c r="J584" s="118" t="e">
        <f t="shared" ca="1" si="106"/>
        <v>#REF!</v>
      </c>
      <c r="K584" s="118" t="e">
        <f t="shared" ca="1" si="107"/>
        <v>#REF!</v>
      </c>
      <c r="L584" s="118" t="e">
        <f t="shared" ca="1" si="108"/>
        <v>#REF!</v>
      </c>
      <c r="M584" s="118" t="e">
        <f t="shared" ca="1" si="109"/>
        <v>#REF!</v>
      </c>
    </row>
    <row r="585" spans="1:13" x14ac:dyDescent="0.25">
      <c r="A585" s="119">
        <v>45038</v>
      </c>
      <c r="B585" s="119">
        <v>45038</v>
      </c>
      <c r="C585" s="118" t="e">
        <f t="shared" ca="1" si="99"/>
        <v>#REF!</v>
      </c>
      <c r="D585" s="118" t="e">
        <f t="shared" ca="1" si="100"/>
        <v>#REF!</v>
      </c>
      <c r="E585" s="118" t="e">
        <f t="shared" ca="1" si="101"/>
        <v>#REF!</v>
      </c>
      <c r="F585" s="118" t="e">
        <f t="shared" ca="1" si="102"/>
        <v>#REF!</v>
      </c>
      <c r="G585" s="118" t="e">
        <f t="shared" ca="1" si="103"/>
        <v>#REF!</v>
      </c>
      <c r="H585" s="118" t="e">
        <f t="shared" ca="1" si="104"/>
        <v>#REF!</v>
      </c>
      <c r="I585" s="118" t="e">
        <f t="shared" ca="1" si="105"/>
        <v>#REF!</v>
      </c>
      <c r="J585" s="118" t="e">
        <f t="shared" ca="1" si="106"/>
        <v>#REF!</v>
      </c>
      <c r="K585" s="118" t="e">
        <f t="shared" ca="1" si="107"/>
        <v>#REF!</v>
      </c>
      <c r="L585" s="118" t="e">
        <f t="shared" ca="1" si="108"/>
        <v>#REF!</v>
      </c>
      <c r="M585" s="118" t="e">
        <f t="shared" ca="1" si="109"/>
        <v>#REF!</v>
      </c>
    </row>
    <row r="586" spans="1:13" x14ac:dyDescent="0.25">
      <c r="A586" s="119">
        <v>45039</v>
      </c>
      <c r="B586" s="119">
        <v>45039</v>
      </c>
      <c r="C586" s="118" t="e">
        <f t="shared" ca="1" si="99"/>
        <v>#REF!</v>
      </c>
      <c r="D586" s="118" t="e">
        <f t="shared" ca="1" si="100"/>
        <v>#REF!</v>
      </c>
      <c r="E586" s="118" t="e">
        <f t="shared" ca="1" si="101"/>
        <v>#REF!</v>
      </c>
      <c r="F586" s="118" t="e">
        <f t="shared" ca="1" si="102"/>
        <v>#REF!</v>
      </c>
      <c r="G586" s="118" t="e">
        <f t="shared" ca="1" si="103"/>
        <v>#REF!</v>
      </c>
      <c r="H586" s="118" t="e">
        <f t="shared" ca="1" si="104"/>
        <v>#REF!</v>
      </c>
      <c r="I586" s="118" t="e">
        <f t="shared" ca="1" si="105"/>
        <v>#REF!</v>
      </c>
      <c r="J586" s="118" t="e">
        <f t="shared" ca="1" si="106"/>
        <v>#REF!</v>
      </c>
      <c r="K586" s="118" t="e">
        <f t="shared" ca="1" si="107"/>
        <v>#REF!</v>
      </c>
      <c r="L586" s="118" t="e">
        <f t="shared" ca="1" si="108"/>
        <v>#REF!</v>
      </c>
      <c r="M586" s="118" t="e">
        <f t="shared" ca="1" si="109"/>
        <v>#REF!</v>
      </c>
    </row>
    <row r="587" spans="1:13" x14ac:dyDescent="0.25">
      <c r="A587" s="119">
        <v>45040</v>
      </c>
      <c r="B587" s="119">
        <v>45040</v>
      </c>
      <c r="C587" s="118" t="e">
        <f t="shared" ca="1" si="99"/>
        <v>#REF!</v>
      </c>
      <c r="D587" s="118" t="e">
        <f t="shared" ca="1" si="100"/>
        <v>#REF!</v>
      </c>
      <c r="E587" s="118" t="e">
        <f t="shared" ca="1" si="101"/>
        <v>#REF!</v>
      </c>
      <c r="F587" s="118" t="e">
        <f t="shared" ca="1" si="102"/>
        <v>#REF!</v>
      </c>
      <c r="G587" s="118" t="e">
        <f t="shared" ca="1" si="103"/>
        <v>#REF!</v>
      </c>
      <c r="H587" s="118" t="e">
        <f t="shared" ca="1" si="104"/>
        <v>#REF!</v>
      </c>
      <c r="I587" s="118" t="e">
        <f t="shared" ca="1" si="105"/>
        <v>#REF!</v>
      </c>
      <c r="J587" s="118" t="e">
        <f t="shared" ca="1" si="106"/>
        <v>#REF!</v>
      </c>
      <c r="K587" s="118" t="e">
        <f t="shared" ca="1" si="107"/>
        <v>#REF!</v>
      </c>
      <c r="L587" s="118" t="e">
        <f t="shared" ca="1" si="108"/>
        <v>#REF!</v>
      </c>
      <c r="M587" s="118" t="e">
        <f t="shared" ca="1" si="109"/>
        <v>#REF!</v>
      </c>
    </row>
    <row r="588" spans="1:13" x14ac:dyDescent="0.25">
      <c r="A588" s="119">
        <v>45041</v>
      </c>
      <c r="B588" s="119">
        <v>45041</v>
      </c>
      <c r="C588" s="118" t="e">
        <f t="shared" ca="1" si="99"/>
        <v>#REF!</v>
      </c>
      <c r="D588" s="118" t="e">
        <f t="shared" ca="1" si="100"/>
        <v>#REF!</v>
      </c>
      <c r="E588" s="118" t="e">
        <f t="shared" ca="1" si="101"/>
        <v>#REF!</v>
      </c>
      <c r="F588" s="118" t="e">
        <f t="shared" ca="1" si="102"/>
        <v>#REF!</v>
      </c>
      <c r="G588" s="118" t="e">
        <f t="shared" ca="1" si="103"/>
        <v>#REF!</v>
      </c>
      <c r="H588" s="118" t="e">
        <f t="shared" ca="1" si="104"/>
        <v>#REF!</v>
      </c>
      <c r="I588" s="118" t="e">
        <f t="shared" ca="1" si="105"/>
        <v>#REF!</v>
      </c>
      <c r="J588" s="118" t="e">
        <f t="shared" ca="1" si="106"/>
        <v>#REF!</v>
      </c>
      <c r="K588" s="118" t="e">
        <f t="shared" ca="1" si="107"/>
        <v>#REF!</v>
      </c>
      <c r="L588" s="118" t="e">
        <f t="shared" ca="1" si="108"/>
        <v>#REF!</v>
      </c>
      <c r="M588" s="118" t="e">
        <f t="shared" ca="1" si="109"/>
        <v>#REF!</v>
      </c>
    </row>
    <row r="589" spans="1:13" x14ac:dyDescent="0.25">
      <c r="A589" s="119">
        <v>45042</v>
      </c>
      <c r="B589" s="119">
        <v>45042</v>
      </c>
      <c r="C589" s="118" t="e">
        <f t="shared" ca="1" si="99"/>
        <v>#REF!</v>
      </c>
      <c r="D589" s="118" t="e">
        <f t="shared" ca="1" si="100"/>
        <v>#REF!</v>
      </c>
      <c r="E589" s="118" t="e">
        <f t="shared" ca="1" si="101"/>
        <v>#REF!</v>
      </c>
      <c r="F589" s="118" t="e">
        <f t="shared" ca="1" si="102"/>
        <v>#REF!</v>
      </c>
      <c r="G589" s="118" t="e">
        <f t="shared" ca="1" si="103"/>
        <v>#REF!</v>
      </c>
      <c r="H589" s="118" t="e">
        <f t="shared" ca="1" si="104"/>
        <v>#REF!</v>
      </c>
      <c r="I589" s="118" t="e">
        <f t="shared" ca="1" si="105"/>
        <v>#REF!</v>
      </c>
      <c r="J589" s="118" t="e">
        <f t="shared" ca="1" si="106"/>
        <v>#REF!</v>
      </c>
      <c r="K589" s="118" t="e">
        <f t="shared" ca="1" si="107"/>
        <v>#REF!</v>
      </c>
      <c r="L589" s="118" t="e">
        <f t="shared" ca="1" si="108"/>
        <v>#REF!</v>
      </c>
      <c r="M589" s="118" t="e">
        <f t="shared" ca="1" si="109"/>
        <v>#REF!</v>
      </c>
    </row>
    <row r="590" spans="1:13" x14ac:dyDescent="0.25">
      <c r="A590" s="119">
        <v>45043</v>
      </c>
      <c r="B590" s="119">
        <v>45043</v>
      </c>
      <c r="C590" s="118" t="e">
        <f t="shared" ca="1" si="99"/>
        <v>#REF!</v>
      </c>
      <c r="D590" s="118" t="e">
        <f t="shared" ca="1" si="100"/>
        <v>#REF!</v>
      </c>
      <c r="E590" s="118" t="e">
        <f t="shared" ca="1" si="101"/>
        <v>#REF!</v>
      </c>
      <c r="F590" s="118" t="e">
        <f t="shared" ca="1" si="102"/>
        <v>#REF!</v>
      </c>
      <c r="G590" s="118" t="e">
        <f t="shared" ca="1" si="103"/>
        <v>#REF!</v>
      </c>
      <c r="H590" s="118" t="e">
        <f t="shared" ca="1" si="104"/>
        <v>#REF!</v>
      </c>
      <c r="I590" s="118" t="e">
        <f t="shared" ca="1" si="105"/>
        <v>#REF!</v>
      </c>
      <c r="J590" s="118" t="e">
        <f t="shared" ca="1" si="106"/>
        <v>#REF!</v>
      </c>
      <c r="K590" s="118" t="e">
        <f t="shared" ca="1" si="107"/>
        <v>#REF!</v>
      </c>
      <c r="L590" s="118" t="e">
        <f t="shared" ca="1" si="108"/>
        <v>#REF!</v>
      </c>
      <c r="M590" s="118" t="e">
        <f t="shared" ca="1" si="109"/>
        <v>#REF!</v>
      </c>
    </row>
    <row r="591" spans="1:13" x14ac:dyDescent="0.25">
      <c r="A591" s="119">
        <v>45044</v>
      </c>
      <c r="B591" s="119">
        <v>45044</v>
      </c>
      <c r="C591" s="118" t="e">
        <f t="shared" ca="1" si="99"/>
        <v>#REF!</v>
      </c>
      <c r="D591" s="118" t="e">
        <f t="shared" ca="1" si="100"/>
        <v>#REF!</v>
      </c>
      <c r="E591" s="118" t="e">
        <f t="shared" ca="1" si="101"/>
        <v>#REF!</v>
      </c>
      <c r="F591" s="118" t="e">
        <f t="shared" ca="1" si="102"/>
        <v>#REF!</v>
      </c>
      <c r="G591" s="118" t="e">
        <f t="shared" ca="1" si="103"/>
        <v>#REF!</v>
      </c>
      <c r="H591" s="118" t="e">
        <f t="shared" ca="1" si="104"/>
        <v>#REF!</v>
      </c>
      <c r="I591" s="118" t="e">
        <f t="shared" ca="1" si="105"/>
        <v>#REF!</v>
      </c>
      <c r="J591" s="118" t="e">
        <f t="shared" ca="1" si="106"/>
        <v>#REF!</v>
      </c>
      <c r="K591" s="118" t="e">
        <f t="shared" ca="1" si="107"/>
        <v>#REF!</v>
      </c>
      <c r="L591" s="118" t="e">
        <f t="shared" ca="1" si="108"/>
        <v>#REF!</v>
      </c>
      <c r="M591" s="118" t="e">
        <f t="shared" ca="1" si="109"/>
        <v>#REF!</v>
      </c>
    </row>
    <row r="592" spans="1:13" x14ac:dyDescent="0.25">
      <c r="A592" s="119">
        <v>45045</v>
      </c>
      <c r="B592" s="119">
        <v>45045</v>
      </c>
      <c r="C592" s="118" t="e">
        <f t="shared" ca="1" si="99"/>
        <v>#REF!</v>
      </c>
      <c r="D592" s="118" t="e">
        <f t="shared" ca="1" si="100"/>
        <v>#REF!</v>
      </c>
      <c r="E592" s="118" t="e">
        <f t="shared" ca="1" si="101"/>
        <v>#REF!</v>
      </c>
      <c r="F592" s="118" t="e">
        <f t="shared" ca="1" si="102"/>
        <v>#REF!</v>
      </c>
      <c r="G592" s="118" t="e">
        <f t="shared" ca="1" si="103"/>
        <v>#REF!</v>
      </c>
      <c r="H592" s="118" t="e">
        <f t="shared" ca="1" si="104"/>
        <v>#REF!</v>
      </c>
      <c r="I592" s="118" t="e">
        <f t="shared" ca="1" si="105"/>
        <v>#REF!</v>
      </c>
      <c r="J592" s="118" t="e">
        <f t="shared" ca="1" si="106"/>
        <v>#REF!</v>
      </c>
      <c r="K592" s="118" t="e">
        <f t="shared" ca="1" si="107"/>
        <v>#REF!</v>
      </c>
      <c r="L592" s="118" t="e">
        <f t="shared" ca="1" si="108"/>
        <v>#REF!</v>
      </c>
      <c r="M592" s="118" t="e">
        <f t="shared" ca="1" si="109"/>
        <v>#REF!</v>
      </c>
    </row>
    <row r="593" spans="1:13" x14ac:dyDescent="0.25">
      <c r="A593" s="119">
        <v>45046</v>
      </c>
      <c r="B593" s="119">
        <v>45046</v>
      </c>
      <c r="C593" s="118" t="e">
        <f t="shared" ca="1" si="99"/>
        <v>#REF!</v>
      </c>
      <c r="D593" s="118" t="e">
        <f t="shared" ca="1" si="100"/>
        <v>#REF!</v>
      </c>
      <c r="E593" s="118" t="e">
        <f t="shared" ca="1" si="101"/>
        <v>#REF!</v>
      </c>
      <c r="F593" s="118" t="e">
        <f t="shared" ca="1" si="102"/>
        <v>#REF!</v>
      </c>
      <c r="G593" s="118" t="e">
        <f t="shared" ca="1" si="103"/>
        <v>#REF!</v>
      </c>
      <c r="H593" s="118" t="e">
        <f t="shared" ca="1" si="104"/>
        <v>#REF!</v>
      </c>
      <c r="I593" s="118" t="e">
        <f t="shared" ca="1" si="105"/>
        <v>#REF!</v>
      </c>
      <c r="J593" s="118" t="e">
        <f t="shared" ca="1" si="106"/>
        <v>#REF!</v>
      </c>
      <c r="K593" s="118" t="e">
        <f t="shared" ca="1" si="107"/>
        <v>#REF!</v>
      </c>
      <c r="L593" s="118" t="e">
        <f t="shared" ca="1" si="108"/>
        <v>#REF!</v>
      </c>
      <c r="M593" s="118" t="e">
        <f t="shared" ca="1" si="109"/>
        <v>#REF!</v>
      </c>
    </row>
    <row r="594" spans="1:13" x14ac:dyDescent="0.25">
      <c r="A594" s="119">
        <v>45047</v>
      </c>
      <c r="B594" s="119">
        <v>45047</v>
      </c>
      <c r="C594" s="118" t="e">
        <f t="shared" ca="1" si="99"/>
        <v>#REF!</v>
      </c>
      <c r="D594" s="118" t="e">
        <f t="shared" ca="1" si="100"/>
        <v>#REF!</v>
      </c>
      <c r="E594" s="118" t="e">
        <f t="shared" ca="1" si="101"/>
        <v>#REF!</v>
      </c>
      <c r="F594" s="118" t="e">
        <f t="shared" ca="1" si="102"/>
        <v>#REF!</v>
      </c>
      <c r="G594" s="118" t="e">
        <f t="shared" ca="1" si="103"/>
        <v>#REF!</v>
      </c>
      <c r="H594" s="118" t="e">
        <f t="shared" ca="1" si="104"/>
        <v>#REF!</v>
      </c>
      <c r="I594" s="118" t="e">
        <f t="shared" ca="1" si="105"/>
        <v>#REF!</v>
      </c>
      <c r="J594" s="118" t="e">
        <f t="shared" ca="1" si="106"/>
        <v>#REF!</v>
      </c>
      <c r="K594" s="118" t="e">
        <f t="shared" ca="1" si="107"/>
        <v>#REF!</v>
      </c>
      <c r="L594" s="118" t="e">
        <f t="shared" ca="1" si="108"/>
        <v>#REF!</v>
      </c>
      <c r="M594" s="118" t="e">
        <f t="shared" ca="1" si="109"/>
        <v>#REF!</v>
      </c>
    </row>
    <row r="595" spans="1:13" x14ac:dyDescent="0.25">
      <c r="A595" s="119">
        <v>45048</v>
      </c>
      <c r="B595" s="119">
        <v>45048</v>
      </c>
      <c r="C595" s="118" t="e">
        <f t="shared" ca="1" si="99"/>
        <v>#REF!</v>
      </c>
      <c r="D595" s="118" t="e">
        <f t="shared" ca="1" si="100"/>
        <v>#REF!</v>
      </c>
      <c r="E595" s="118" t="e">
        <f t="shared" ca="1" si="101"/>
        <v>#REF!</v>
      </c>
      <c r="F595" s="118" t="e">
        <f t="shared" ca="1" si="102"/>
        <v>#REF!</v>
      </c>
      <c r="G595" s="118" t="e">
        <f t="shared" ca="1" si="103"/>
        <v>#REF!</v>
      </c>
      <c r="H595" s="118" t="e">
        <f t="shared" ca="1" si="104"/>
        <v>#REF!</v>
      </c>
      <c r="I595" s="118" t="e">
        <f t="shared" ca="1" si="105"/>
        <v>#REF!</v>
      </c>
      <c r="J595" s="118" t="e">
        <f t="shared" ca="1" si="106"/>
        <v>#REF!</v>
      </c>
      <c r="K595" s="118" t="e">
        <f t="shared" ca="1" si="107"/>
        <v>#REF!</v>
      </c>
      <c r="L595" s="118" t="e">
        <f t="shared" ca="1" si="108"/>
        <v>#REF!</v>
      </c>
      <c r="M595" s="118" t="e">
        <f t="shared" ca="1" si="109"/>
        <v>#REF!</v>
      </c>
    </row>
    <row r="596" spans="1:13" x14ac:dyDescent="0.25">
      <c r="A596" s="119">
        <v>45049</v>
      </c>
      <c r="B596" s="119">
        <v>45049</v>
      </c>
      <c r="C596" s="118" t="e">
        <f t="shared" ca="1" si="99"/>
        <v>#REF!</v>
      </c>
      <c r="D596" s="118" t="e">
        <f t="shared" ca="1" si="100"/>
        <v>#REF!</v>
      </c>
      <c r="E596" s="118" t="e">
        <f t="shared" ca="1" si="101"/>
        <v>#REF!</v>
      </c>
      <c r="F596" s="118" t="e">
        <f t="shared" ca="1" si="102"/>
        <v>#REF!</v>
      </c>
      <c r="G596" s="118" t="e">
        <f t="shared" ca="1" si="103"/>
        <v>#REF!</v>
      </c>
      <c r="H596" s="118" t="e">
        <f t="shared" ca="1" si="104"/>
        <v>#REF!</v>
      </c>
      <c r="I596" s="118" t="e">
        <f t="shared" ca="1" si="105"/>
        <v>#REF!</v>
      </c>
      <c r="J596" s="118" t="e">
        <f t="shared" ca="1" si="106"/>
        <v>#REF!</v>
      </c>
      <c r="K596" s="118" t="e">
        <f t="shared" ca="1" si="107"/>
        <v>#REF!</v>
      </c>
      <c r="L596" s="118" t="e">
        <f t="shared" ca="1" si="108"/>
        <v>#REF!</v>
      </c>
      <c r="M596" s="118" t="e">
        <f t="shared" ca="1" si="109"/>
        <v>#REF!</v>
      </c>
    </row>
    <row r="597" spans="1:13" x14ac:dyDescent="0.25">
      <c r="A597" s="119">
        <v>45050</v>
      </c>
      <c r="B597" s="119">
        <v>45050</v>
      </c>
      <c r="C597" s="118" t="e">
        <f t="shared" ca="1" si="99"/>
        <v>#REF!</v>
      </c>
      <c r="D597" s="118" t="e">
        <f t="shared" ca="1" si="100"/>
        <v>#REF!</v>
      </c>
      <c r="E597" s="118" t="e">
        <f t="shared" ca="1" si="101"/>
        <v>#REF!</v>
      </c>
      <c r="F597" s="118" t="e">
        <f t="shared" ca="1" si="102"/>
        <v>#REF!</v>
      </c>
      <c r="G597" s="118" t="e">
        <f t="shared" ca="1" si="103"/>
        <v>#REF!</v>
      </c>
      <c r="H597" s="118" t="e">
        <f t="shared" ca="1" si="104"/>
        <v>#REF!</v>
      </c>
      <c r="I597" s="118" t="e">
        <f t="shared" ca="1" si="105"/>
        <v>#REF!</v>
      </c>
      <c r="J597" s="118" t="e">
        <f t="shared" ca="1" si="106"/>
        <v>#REF!</v>
      </c>
      <c r="K597" s="118" t="e">
        <f t="shared" ca="1" si="107"/>
        <v>#REF!</v>
      </c>
      <c r="L597" s="118" t="e">
        <f t="shared" ca="1" si="108"/>
        <v>#REF!</v>
      </c>
      <c r="M597" s="118" t="e">
        <f t="shared" ca="1" si="109"/>
        <v>#REF!</v>
      </c>
    </row>
    <row r="598" spans="1:13" x14ac:dyDescent="0.25">
      <c r="A598" s="119">
        <v>45051</v>
      </c>
      <c r="B598" s="119">
        <v>45051</v>
      </c>
      <c r="C598" s="118" t="e">
        <f t="shared" ca="1" si="99"/>
        <v>#REF!</v>
      </c>
      <c r="D598" s="118" t="e">
        <f t="shared" ca="1" si="100"/>
        <v>#REF!</v>
      </c>
      <c r="E598" s="118" t="e">
        <f t="shared" ca="1" si="101"/>
        <v>#REF!</v>
      </c>
      <c r="F598" s="118" t="e">
        <f t="shared" ca="1" si="102"/>
        <v>#REF!</v>
      </c>
      <c r="G598" s="118" t="e">
        <f t="shared" ca="1" si="103"/>
        <v>#REF!</v>
      </c>
      <c r="H598" s="118" t="e">
        <f t="shared" ca="1" si="104"/>
        <v>#REF!</v>
      </c>
      <c r="I598" s="118" t="e">
        <f t="shared" ca="1" si="105"/>
        <v>#REF!</v>
      </c>
      <c r="J598" s="118" t="e">
        <f t="shared" ca="1" si="106"/>
        <v>#REF!</v>
      </c>
      <c r="K598" s="118" t="e">
        <f t="shared" ca="1" si="107"/>
        <v>#REF!</v>
      </c>
      <c r="L598" s="118" t="e">
        <f t="shared" ca="1" si="108"/>
        <v>#REF!</v>
      </c>
      <c r="M598" s="118" t="e">
        <f t="shared" ca="1" si="109"/>
        <v>#REF!</v>
      </c>
    </row>
    <row r="599" spans="1:13" x14ac:dyDescent="0.25">
      <c r="A599" s="119">
        <v>45052</v>
      </c>
      <c r="B599" s="119">
        <v>45052</v>
      </c>
      <c r="C599" s="118" t="e">
        <f t="shared" ca="1" si="99"/>
        <v>#REF!</v>
      </c>
      <c r="D599" s="118" t="e">
        <f t="shared" ca="1" si="100"/>
        <v>#REF!</v>
      </c>
      <c r="E599" s="118" t="e">
        <f t="shared" ca="1" si="101"/>
        <v>#REF!</v>
      </c>
      <c r="F599" s="118" t="e">
        <f t="shared" ca="1" si="102"/>
        <v>#REF!</v>
      </c>
      <c r="G599" s="118" t="e">
        <f t="shared" ca="1" si="103"/>
        <v>#REF!</v>
      </c>
      <c r="H599" s="118" t="e">
        <f t="shared" ca="1" si="104"/>
        <v>#REF!</v>
      </c>
      <c r="I599" s="118" t="e">
        <f t="shared" ca="1" si="105"/>
        <v>#REF!</v>
      </c>
      <c r="J599" s="118" t="e">
        <f t="shared" ca="1" si="106"/>
        <v>#REF!</v>
      </c>
      <c r="K599" s="118" t="e">
        <f t="shared" ca="1" si="107"/>
        <v>#REF!</v>
      </c>
      <c r="L599" s="118" t="e">
        <f t="shared" ca="1" si="108"/>
        <v>#REF!</v>
      </c>
      <c r="M599" s="118" t="e">
        <f t="shared" ca="1" si="109"/>
        <v>#REF!</v>
      </c>
    </row>
    <row r="600" spans="1:13" x14ac:dyDescent="0.25">
      <c r="A600" s="119">
        <v>45053</v>
      </c>
      <c r="B600" s="119">
        <v>45053</v>
      </c>
      <c r="C600" s="118" t="e">
        <f t="shared" ca="1" si="99"/>
        <v>#REF!</v>
      </c>
      <c r="D600" s="118" t="e">
        <f t="shared" ca="1" si="100"/>
        <v>#REF!</v>
      </c>
      <c r="E600" s="118" t="e">
        <f t="shared" ca="1" si="101"/>
        <v>#REF!</v>
      </c>
      <c r="F600" s="118" t="e">
        <f t="shared" ca="1" si="102"/>
        <v>#REF!</v>
      </c>
      <c r="G600" s="118" t="e">
        <f t="shared" ca="1" si="103"/>
        <v>#REF!</v>
      </c>
      <c r="H600" s="118" t="e">
        <f t="shared" ca="1" si="104"/>
        <v>#REF!</v>
      </c>
      <c r="I600" s="118" t="e">
        <f t="shared" ca="1" si="105"/>
        <v>#REF!</v>
      </c>
      <c r="J600" s="118" t="e">
        <f t="shared" ca="1" si="106"/>
        <v>#REF!</v>
      </c>
      <c r="K600" s="118" t="e">
        <f t="shared" ca="1" si="107"/>
        <v>#REF!</v>
      </c>
      <c r="L600" s="118" t="e">
        <f t="shared" ca="1" si="108"/>
        <v>#REF!</v>
      </c>
      <c r="M600" s="118" t="e">
        <f t="shared" ca="1" si="109"/>
        <v>#REF!</v>
      </c>
    </row>
    <row r="601" spans="1:13" x14ac:dyDescent="0.25">
      <c r="A601" s="119">
        <v>45054</v>
      </c>
      <c r="B601" s="119">
        <v>45054</v>
      </c>
      <c r="C601" s="118" t="e">
        <f t="shared" ca="1" si="99"/>
        <v>#REF!</v>
      </c>
      <c r="D601" s="118" t="e">
        <f t="shared" ca="1" si="100"/>
        <v>#REF!</v>
      </c>
      <c r="E601" s="118" t="e">
        <f t="shared" ca="1" si="101"/>
        <v>#REF!</v>
      </c>
      <c r="F601" s="118" t="e">
        <f t="shared" ca="1" si="102"/>
        <v>#REF!</v>
      </c>
      <c r="G601" s="118" t="e">
        <f t="shared" ca="1" si="103"/>
        <v>#REF!</v>
      </c>
      <c r="H601" s="118" t="e">
        <f t="shared" ca="1" si="104"/>
        <v>#REF!</v>
      </c>
      <c r="I601" s="118" t="e">
        <f t="shared" ca="1" si="105"/>
        <v>#REF!</v>
      </c>
      <c r="J601" s="118" t="e">
        <f t="shared" ca="1" si="106"/>
        <v>#REF!</v>
      </c>
      <c r="K601" s="118" t="e">
        <f t="shared" ca="1" si="107"/>
        <v>#REF!</v>
      </c>
      <c r="L601" s="118" t="e">
        <f t="shared" ca="1" si="108"/>
        <v>#REF!</v>
      </c>
      <c r="M601" s="118" t="e">
        <f t="shared" ca="1" si="109"/>
        <v>#REF!</v>
      </c>
    </row>
    <row r="602" spans="1:13" x14ac:dyDescent="0.25">
      <c r="A602" s="119">
        <v>45055</v>
      </c>
      <c r="B602" s="119">
        <v>45055</v>
      </c>
      <c r="C602" s="118" t="e">
        <f t="shared" ca="1" si="99"/>
        <v>#REF!</v>
      </c>
      <c r="D602" s="118" t="e">
        <f t="shared" ca="1" si="100"/>
        <v>#REF!</v>
      </c>
      <c r="E602" s="118" t="e">
        <f t="shared" ca="1" si="101"/>
        <v>#REF!</v>
      </c>
      <c r="F602" s="118" t="e">
        <f t="shared" ca="1" si="102"/>
        <v>#REF!</v>
      </c>
      <c r="G602" s="118" t="e">
        <f t="shared" ca="1" si="103"/>
        <v>#REF!</v>
      </c>
      <c r="H602" s="118" t="e">
        <f t="shared" ca="1" si="104"/>
        <v>#REF!</v>
      </c>
      <c r="I602" s="118" t="e">
        <f t="shared" ca="1" si="105"/>
        <v>#REF!</v>
      </c>
      <c r="J602" s="118" t="e">
        <f t="shared" ca="1" si="106"/>
        <v>#REF!</v>
      </c>
      <c r="K602" s="118" t="e">
        <f t="shared" ca="1" si="107"/>
        <v>#REF!</v>
      </c>
      <c r="L602" s="118" t="e">
        <f t="shared" ca="1" si="108"/>
        <v>#REF!</v>
      </c>
      <c r="M602" s="118" t="e">
        <f t="shared" ca="1" si="109"/>
        <v>#REF!</v>
      </c>
    </row>
    <row r="603" spans="1:13" x14ac:dyDescent="0.25">
      <c r="A603" s="119">
        <v>45056</v>
      </c>
      <c r="B603" s="119">
        <v>45056</v>
      </c>
      <c r="C603" s="118" t="e">
        <f t="shared" ca="1" si="99"/>
        <v>#REF!</v>
      </c>
      <c r="D603" s="118" t="e">
        <f t="shared" ca="1" si="100"/>
        <v>#REF!</v>
      </c>
      <c r="E603" s="118" t="e">
        <f t="shared" ca="1" si="101"/>
        <v>#REF!</v>
      </c>
      <c r="F603" s="118" t="e">
        <f t="shared" ca="1" si="102"/>
        <v>#REF!</v>
      </c>
      <c r="G603" s="118" t="e">
        <f t="shared" ca="1" si="103"/>
        <v>#REF!</v>
      </c>
      <c r="H603" s="118" t="e">
        <f t="shared" ca="1" si="104"/>
        <v>#REF!</v>
      </c>
      <c r="I603" s="118" t="e">
        <f t="shared" ca="1" si="105"/>
        <v>#REF!</v>
      </c>
      <c r="J603" s="118" t="e">
        <f t="shared" ca="1" si="106"/>
        <v>#REF!</v>
      </c>
      <c r="K603" s="118" t="e">
        <f t="shared" ca="1" si="107"/>
        <v>#REF!</v>
      </c>
      <c r="L603" s="118" t="e">
        <f t="shared" ca="1" si="108"/>
        <v>#REF!</v>
      </c>
      <c r="M603" s="118" t="e">
        <f t="shared" ca="1" si="109"/>
        <v>#REF!</v>
      </c>
    </row>
    <row r="604" spans="1:13" x14ac:dyDescent="0.25">
      <c r="A604" s="119">
        <v>45057</v>
      </c>
      <c r="B604" s="119">
        <v>45057</v>
      </c>
      <c r="C604" s="118" t="e">
        <f t="shared" ca="1" si="99"/>
        <v>#REF!</v>
      </c>
      <c r="D604" s="118" t="e">
        <f t="shared" ca="1" si="100"/>
        <v>#REF!</v>
      </c>
      <c r="E604" s="118" t="e">
        <f t="shared" ca="1" si="101"/>
        <v>#REF!</v>
      </c>
      <c r="F604" s="118" t="e">
        <f t="shared" ca="1" si="102"/>
        <v>#REF!</v>
      </c>
      <c r="G604" s="118" t="e">
        <f t="shared" ca="1" si="103"/>
        <v>#REF!</v>
      </c>
      <c r="H604" s="118" t="e">
        <f t="shared" ca="1" si="104"/>
        <v>#REF!</v>
      </c>
      <c r="I604" s="118" t="e">
        <f t="shared" ca="1" si="105"/>
        <v>#REF!</v>
      </c>
      <c r="J604" s="118" t="e">
        <f t="shared" ca="1" si="106"/>
        <v>#REF!</v>
      </c>
      <c r="K604" s="118" t="e">
        <f t="shared" ca="1" si="107"/>
        <v>#REF!</v>
      </c>
      <c r="L604" s="118" t="e">
        <f t="shared" ca="1" si="108"/>
        <v>#REF!</v>
      </c>
      <c r="M604" s="118" t="e">
        <f t="shared" ca="1" si="109"/>
        <v>#REF!</v>
      </c>
    </row>
    <row r="605" spans="1:13" x14ac:dyDescent="0.25">
      <c r="A605" s="119">
        <v>45058</v>
      </c>
      <c r="B605" s="119">
        <v>45058</v>
      </c>
      <c r="C605" s="118" t="e">
        <f t="shared" ca="1" si="99"/>
        <v>#REF!</v>
      </c>
      <c r="D605" s="118" t="e">
        <f t="shared" ca="1" si="100"/>
        <v>#REF!</v>
      </c>
      <c r="E605" s="118" t="e">
        <f t="shared" ca="1" si="101"/>
        <v>#REF!</v>
      </c>
      <c r="F605" s="118" t="e">
        <f t="shared" ca="1" si="102"/>
        <v>#REF!</v>
      </c>
      <c r="G605" s="118" t="e">
        <f t="shared" ca="1" si="103"/>
        <v>#REF!</v>
      </c>
      <c r="H605" s="118" t="e">
        <f t="shared" ca="1" si="104"/>
        <v>#REF!</v>
      </c>
      <c r="I605" s="118" t="e">
        <f t="shared" ca="1" si="105"/>
        <v>#REF!</v>
      </c>
      <c r="J605" s="118" t="e">
        <f t="shared" ca="1" si="106"/>
        <v>#REF!</v>
      </c>
      <c r="K605" s="118" t="e">
        <f t="shared" ca="1" si="107"/>
        <v>#REF!</v>
      </c>
      <c r="L605" s="118" t="e">
        <f t="shared" ca="1" si="108"/>
        <v>#REF!</v>
      </c>
      <c r="M605" s="118" t="e">
        <f t="shared" ca="1" si="109"/>
        <v>#REF!</v>
      </c>
    </row>
    <row r="606" spans="1:13" x14ac:dyDescent="0.25">
      <c r="A606" s="119">
        <v>45059</v>
      </c>
      <c r="B606" s="119">
        <v>45059</v>
      </c>
      <c r="C606" s="118" t="e">
        <f t="shared" ca="1" si="99"/>
        <v>#REF!</v>
      </c>
      <c r="D606" s="118" t="e">
        <f t="shared" ca="1" si="100"/>
        <v>#REF!</v>
      </c>
      <c r="E606" s="118" t="e">
        <f t="shared" ca="1" si="101"/>
        <v>#REF!</v>
      </c>
      <c r="F606" s="118" t="e">
        <f t="shared" ca="1" si="102"/>
        <v>#REF!</v>
      </c>
      <c r="G606" s="118" t="e">
        <f t="shared" ca="1" si="103"/>
        <v>#REF!</v>
      </c>
      <c r="H606" s="118" t="e">
        <f t="shared" ca="1" si="104"/>
        <v>#REF!</v>
      </c>
      <c r="I606" s="118" t="e">
        <f t="shared" ca="1" si="105"/>
        <v>#REF!</v>
      </c>
      <c r="J606" s="118" t="e">
        <f t="shared" ca="1" si="106"/>
        <v>#REF!</v>
      </c>
      <c r="K606" s="118" t="e">
        <f t="shared" ca="1" si="107"/>
        <v>#REF!</v>
      </c>
      <c r="L606" s="118" t="e">
        <f t="shared" ca="1" si="108"/>
        <v>#REF!</v>
      </c>
      <c r="M606" s="118" t="e">
        <f t="shared" ca="1" si="109"/>
        <v>#REF!</v>
      </c>
    </row>
    <row r="607" spans="1:13" x14ac:dyDescent="0.25">
      <c r="A607" s="119">
        <v>45060</v>
      </c>
      <c r="B607" s="119">
        <v>45060</v>
      </c>
      <c r="C607" s="118" t="e">
        <f t="shared" ca="1" si="99"/>
        <v>#REF!</v>
      </c>
      <c r="D607" s="118" t="e">
        <f t="shared" ca="1" si="100"/>
        <v>#REF!</v>
      </c>
      <c r="E607" s="118" t="e">
        <f t="shared" ca="1" si="101"/>
        <v>#REF!</v>
      </c>
      <c r="F607" s="118" t="e">
        <f t="shared" ca="1" si="102"/>
        <v>#REF!</v>
      </c>
      <c r="G607" s="118" t="e">
        <f t="shared" ca="1" si="103"/>
        <v>#REF!</v>
      </c>
      <c r="H607" s="118" t="e">
        <f t="shared" ca="1" si="104"/>
        <v>#REF!</v>
      </c>
      <c r="I607" s="118" t="e">
        <f t="shared" ca="1" si="105"/>
        <v>#REF!</v>
      </c>
      <c r="J607" s="118" t="e">
        <f t="shared" ca="1" si="106"/>
        <v>#REF!</v>
      </c>
      <c r="K607" s="118" t="e">
        <f t="shared" ca="1" si="107"/>
        <v>#REF!</v>
      </c>
      <c r="L607" s="118" t="e">
        <f t="shared" ca="1" si="108"/>
        <v>#REF!</v>
      </c>
      <c r="M607" s="118" t="e">
        <f t="shared" ca="1" si="109"/>
        <v>#REF!</v>
      </c>
    </row>
    <row r="608" spans="1:13" x14ac:dyDescent="0.25">
      <c r="A608" s="119">
        <v>45061</v>
      </c>
      <c r="B608" s="119">
        <v>45061</v>
      </c>
      <c r="C608" s="118" t="e">
        <f t="shared" ca="1" si="99"/>
        <v>#REF!</v>
      </c>
      <c r="D608" s="118" t="e">
        <f t="shared" ca="1" si="100"/>
        <v>#REF!</v>
      </c>
      <c r="E608" s="118" t="e">
        <f t="shared" ca="1" si="101"/>
        <v>#REF!</v>
      </c>
      <c r="F608" s="118" t="e">
        <f t="shared" ca="1" si="102"/>
        <v>#REF!</v>
      </c>
      <c r="G608" s="118" t="e">
        <f t="shared" ca="1" si="103"/>
        <v>#REF!</v>
      </c>
      <c r="H608" s="118" t="e">
        <f t="shared" ca="1" si="104"/>
        <v>#REF!</v>
      </c>
      <c r="I608" s="118" t="e">
        <f t="shared" ca="1" si="105"/>
        <v>#REF!</v>
      </c>
      <c r="J608" s="118" t="e">
        <f t="shared" ca="1" si="106"/>
        <v>#REF!</v>
      </c>
      <c r="K608" s="118" t="e">
        <f t="shared" ca="1" si="107"/>
        <v>#REF!</v>
      </c>
      <c r="L608" s="118" t="e">
        <f t="shared" ca="1" si="108"/>
        <v>#REF!</v>
      </c>
      <c r="M608" s="118" t="e">
        <f t="shared" ca="1" si="109"/>
        <v>#REF!</v>
      </c>
    </row>
    <row r="609" spans="1:13" x14ac:dyDescent="0.25">
      <c r="A609" s="119">
        <v>45062</v>
      </c>
      <c r="B609" s="119">
        <v>45062</v>
      </c>
      <c r="C609" s="118" t="e">
        <f t="shared" ca="1" si="99"/>
        <v>#REF!</v>
      </c>
      <c r="D609" s="118" t="e">
        <f t="shared" ca="1" si="100"/>
        <v>#REF!</v>
      </c>
      <c r="E609" s="118" t="e">
        <f t="shared" ca="1" si="101"/>
        <v>#REF!</v>
      </c>
      <c r="F609" s="118" t="e">
        <f t="shared" ca="1" si="102"/>
        <v>#REF!</v>
      </c>
      <c r="G609" s="118" t="e">
        <f t="shared" ca="1" si="103"/>
        <v>#REF!</v>
      </c>
      <c r="H609" s="118" t="e">
        <f t="shared" ca="1" si="104"/>
        <v>#REF!</v>
      </c>
      <c r="I609" s="118" t="e">
        <f t="shared" ca="1" si="105"/>
        <v>#REF!</v>
      </c>
      <c r="J609" s="118" t="e">
        <f t="shared" ca="1" si="106"/>
        <v>#REF!</v>
      </c>
      <c r="K609" s="118" t="e">
        <f t="shared" ca="1" si="107"/>
        <v>#REF!</v>
      </c>
      <c r="L609" s="118" t="e">
        <f t="shared" ca="1" si="108"/>
        <v>#REF!</v>
      </c>
      <c r="M609" s="118" t="e">
        <f t="shared" ca="1" si="109"/>
        <v>#REF!</v>
      </c>
    </row>
    <row r="610" spans="1:13" x14ac:dyDescent="0.25">
      <c r="A610" s="119" t="s">
        <v>221</v>
      </c>
      <c r="B610" s="119">
        <v>45063</v>
      </c>
      <c r="C610" s="118" t="e">
        <f t="shared" ca="1" si="99"/>
        <v>#REF!</v>
      </c>
      <c r="D610" s="118" t="e">
        <f t="shared" ca="1" si="100"/>
        <v>#REF!</v>
      </c>
      <c r="E610" s="118" t="e">
        <f t="shared" ca="1" si="101"/>
        <v>#REF!</v>
      </c>
      <c r="F610" s="118" t="e">
        <f t="shared" ca="1" si="102"/>
        <v>#REF!</v>
      </c>
      <c r="G610" s="118" t="e">
        <f t="shared" ca="1" si="103"/>
        <v>#REF!</v>
      </c>
      <c r="H610" s="118" t="e">
        <f t="shared" ca="1" si="104"/>
        <v>#REF!</v>
      </c>
      <c r="I610" s="118" t="e">
        <f t="shared" ca="1" si="105"/>
        <v>#REF!</v>
      </c>
      <c r="J610" s="118" t="e">
        <f t="shared" ca="1" si="106"/>
        <v>#REF!</v>
      </c>
      <c r="K610" s="118" t="e">
        <f t="shared" ca="1" si="107"/>
        <v>#REF!</v>
      </c>
      <c r="L610" s="118" t="e">
        <f t="shared" ca="1" si="108"/>
        <v>#REF!</v>
      </c>
      <c r="M610" s="118" t="e">
        <f t="shared" ca="1" si="109"/>
        <v>#REF!</v>
      </c>
    </row>
    <row r="611" spans="1:13" x14ac:dyDescent="0.25">
      <c r="A611" s="119">
        <v>45064</v>
      </c>
      <c r="B611" s="119">
        <v>45064</v>
      </c>
      <c r="C611" s="118" t="e">
        <f t="shared" ca="1" si="99"/>
        <v>#REF!</v>
      </c>
      <c r="D611" s="118" t="e">
        <f t="shared" ca="1" si="100"/>
        <v>#REF!</v>
      </c>
      <c r="E611" s="118" t="e">
        <f t="shared" ca="1" si="101"/>
        <v>#REF!</v>
      </c>
      <c r="F611" s="118" t="e">
        <f t="shared" ca="1" si="102"/>
        <v>#REF!</v>
      </c>
      <c r="G611" s="118" t="e">
        <f t="shared" ca="1" si="103"/>
        <v>#REF!</v>
      </c>
      <c r="H611" s="118" t="e">
        <f t="shared" ca="1" si="104"/>
        <v>#REF!</v>
      </c>
      <c r="I611" s="118" t="e">
        <f t="shared" ca="1" si="105"/>
        <v>#REF!</v>
      </c>
      <c r="J611" s="118" t="e">
        <f t="shared" ca="1" si="106"/>
        <v>#REF!</v>
      </c>
      <c r="K611" s="118" t="e">
        <f t="shared" ca="1" si="107"/>
        <v>#REF!</v>
      </c>
      <c r="L611" s="118" t="e">
        <f t="shared" ca="1" si="108"/>
        <v>#REF!</v>
      </c>
      <c r="M611" s="118" t="e">
        <f t="shared" ca="1" si="109"/>
        <v>#REF!</v>
      </c>
    </row>
    <row r="612" spans="1:13" x14ac:dyDescent="0.25">
      <c r="A612" s="119">
        <v>45065</v>
      </c>
      <c r="B612" s="119">
        <v>45065</v>
      </c>
      <c r="C612" s="118" t="e">
        <f t="shared" ca="1" si="99"/>
        <v>#REF!</v>
      </c>
      <c r="D612" s="118" t="e">
        <f t="shared" ca="1" si="100"/>
        <v>#REF!</v>
      </c>
      <c r="E612" s="118" t="e">
        <f t="shared" ca="1" si="101"/>
        <v>#REF!</v>
      </c>
      <c r="F612" s="118" t="e">
        <f t="shared" ca="1" si="102"/>
        <v>#REF!</v>
      </c>
      <c r="G612" s="118" t="e">
        <f t="shared" ca="1" si="103"/>
        <v>#REF!</v>
      </c>
      <c r="H612" s="118" t="e">
        <f t="shared" ca="1" si="104"/>
        <v>#REF!</v>
      </c>
      <c r="I612" s="118" t="e">
        <f t="shared" ca="1" si="105"/>
        <v>#REF!</v>
      </c>
      <c r="J612" s="118" t="e">
        <f t="shared" ca="1" si="106"/>
        <v>#REF!</v>
      </c>
      <c r="K612" s="118" t="e">
        <f t="shared" ca="1" si="107"/>
        <v>#REF!</v>
      </c>
      <c r="L612" s="118" t="e">
        <f t="shared" ca="1" si="108"/>
        <v>#REF!</v>
      </c>
      <c r="M612" s="118" t="e">
        <f t="shared" ca="1" si="109"/>
        <v>#REF!</v>
      </c>
    </row>
    <row r="613" spans="1:13" x14ac:dyDescent="0.25">
      <c r="A613" s="119">
        <v>45066</v>
      </c>
      <c r="B613" s="119">
        <v>45066</v>
      </c>
      <c r="C613" s="118" t="e">
        <f t="shared" ca="1" si="99"/>
        <v>#REF!</v>
      </c>
      <c r="D613" s="118" t="e">
        <f t="shared" ca="1" si="100"/>
        <v>#REF!</v>
      </c>
      <c r="E613" s="118" t="e">
        <f t="shared" ca="1" si="101"/>
        <v>#REF!</v>
      </c>
      <c r="F613" s="118" t="e">
        <f t="shared" ca="1" si="102"/>
        <v>#REF!</v>
      </c>
      <c r="G613" s="118" t="e">
        <f t="shared" ca="1" si="103"/>
        <v>#REF!</v>
      </c>
      <c r="H613" s="118" t="e">
        <f t="shared" ca="1" si="104"/>
        <v>#REF!</v>
      </c>
      <c r="I613" s="118" t="e">
        <f t="shared" ca="1" si="105"/>
        <v>#REF!</v>
      </c>
      <c r="J613" s="118" t="e">
        <f t="shared" ca="1" si="106"/>
        <v>#REF!</v>
      </c>
      <c r="K613" s="118" t="e">
        <f t="shared" ca="1" si="107"/>
        <v>#REF!</v>
      </c>
      <c r="L613" s="118" t="e">
        <f t="shared" ca="1" si="108"/>
        <v>#REF!</v>
      </c>
      <c r="M613" s="118" t="e">
        <f t="shared" ca="1" si="109"/>
        <v>#REF!</v>
      </c>
    </row>
    <row r="614" spans="1:13" x14ac:dyDescent="0.25">
      <c r="A614" s="119">
        <v>45067</v>
      </c>
      <c r="B614" s="119">
        <v>45067</v>
      </c>
      <c r="C614" s="118" t="e">
        <f t="shared" ca="1" si="99"/>
        <v>#REF!</v>
      </c>
      <c r="D614" s="118" t="e">
        <f t="shared" ca="1" si="100"/>
        <v>#REF!</v>
      </c>
      <c r="E614" s="118" t="e">
        <f t="shared" ca="1" si="101"/>
        <v>#REF!</v>
      </c>
      <c r="F614" s="118" t="e">
        <f t="shared" ca="1" si="102"/>
        <v>#REF!</v>
      </c>
      <c r="G614" s="118" t="e">
        <f t="shared" ca="1" si="103"/>
        <v>#REF!</v>
      </c>
      <c r="H614" s="118" t="e">
        <f t="shared" ca="1" si="104"/>
        <v>#REF!</v>
      </c>
      <c r="I614" s="118" t="e">
        <f t="shared" ca="1" si="105"/>
        <v>#REF!</v>
      </c>
      <c r="J614" s="118" t="e">
        <f t="shared" ca="1" si="106"/>
        <v>#REF!</v>
      </c>
      <c r="K614" s="118" t="e">
        <f t="shared" ca="1" si="107"/>
        <v>#REF!</v>
      </c>
      <c r="L614" s="118" t="e">
        <f t="shared" ca="1" si="108"/>
        <v>#REF!</v>
      </c>
      <c r="M614" s="118" t="e">
        <f t="shared" ca="1" si="109"/>
        <v>#REF!</v>
      </c>
    </row>
    <row r="615" spans="1:13" x14ac:dyDescent="0.25">
      <c r="A615" s="119">
        <v>45068</v>
      </c>
      <c r="B615" s="119">
        <v>45068</v>
      </c>
      <c r="C615" s="118" t="e">
        <f t="shared" ca="1" si="99"/>
        <v>#REF!</v>
      </c>
      <c r="D615" s="118" t="e">
        <f t="shared" ca="1" si="100"/>
        <v>#REF!</v>
      </c>
      <c r="E615" s="118" t="e">
        <f t="shared" ca="1" si="101"/>
        <v>#REF!</v>
      </c>
      <c r="F615" s="118" t="e">
        <f t="shared" ca="1" si="102"/>
        <v>#REF!</v>
      </c>
      <c r="G615" s="118" t="e">
        <f t="shared" ca="1" si="103"/>
        <v>#REF!</v>
      </c>
      <c r="H615" s="118" t="e">
        <f t="shared" ca="1" si="104"/>
        <v>#REF!</v>
      </c>
      <c r="I615" s="118" t="e">
        <f t="shared" ca="1" si="105"/>
        <v>#REF!</v>
      </c>
      <c r="J615" s="118" t="e">
        <f t="shared" ca="1" si="106"/>
        <v>#REF!</v>
      </c>
      <c r="K615" s="118" t="e">
        <f t="shared" ca="1" si="107"/>
        <v>#REF!</v>
      </c>
      <c r="L615" s="118" t="e">
        <f t="shared" ca="1" si="108"/>
        <v>#REF!</v>
      </c>
      <c r="M615" s="118" t="e">
        <f t="shared" ca="1" si="109"/>
        <v>#REF!</v>
      </c>
    </row>
    <row r="616" spans="1:13" x14ac:dyDescent="0.25">
      <c r="A616" s="119">
        <v>45069</v>
      </c>
      <c r="B616" s="119">
        <v>45069</v>
      </c>
      <c r="C616" s="118" t="e">
        <f t="shared" ca="1" si="99"/>
        <v>#REF!</v>
      </c>
      <c r="D616" s="118" t="e">
        <f t="shared" ca="1" si="100"/>
        <v>#REF!</v>
      </c>
      <c r="E616" s="118" t="e">
        <f t="shared" ca="1" si="101"/>
        <v>#REF!</v>
      </c>
      <c r="F616" s="118" t="e">
        <f t="shared" ca="1" si="102"/>
        <v>#REF!</v>
      </c>
      <c r="G616" s="118" t="e">
        <f t="shared" ca="1" si="103"/>
        <v>#REF!</v>
      </c>
      <c r="H616" s="118" t="e">
        <f t="shared" ca="1" si="104"/>
        <v>#REF!</v>
      </c>
      <c r="I616" s="118" t="e">
        <f t="shared" ca="1" si="105"/>
        <v>#REF!</v>
      </c>
      <c r="J616" s="118" t="e">
        <f t="shared" ca="1" si="106"/>
        <v>#REF!</v>
      </c>
      <c r="K616" s="118" t="e">
        <f t="shared" ca="1" si="107"/>
        <v>#REF!</v>
      </c>
      <c r="L616" s="118" t="e">
        <f t="shared" ca="1" si="108"/>
        <v>#REF!</v>
      </c>
      <c r="M616" s="118" t="e">
        <f t="shared" ca="1" si="109"/>
        <v>#REF!</v>
      </c>
    </row>
    <row r="617" spans="1:13" x14ac:dyDescent="0.25">
      <c r="A617" s="119">
        <v>45070</v>
      </c>
      <c r="B617" s="119">
        <v>45070</v>
      </c>
      <c r="C617" s="118" t="e">
        <f t="shared" ca="1" si="99"/>
        <v>#REF!</v>
      </c>
      <c r="D617" s="118" t="e">
        <f t="shared" ca="1" si="100"/>
        <v>#REF!</v>
      </c>
      <c r="E617" s="118" t="e">
        <f t="shared" ca="1" si="101"/>
        <v>#REF!</v>
      </c>
      <c r="F617" s="118" t="e">
        <f t="shared" ca="1" si="102"/>
        <v>#REF!</v>
      </c>
      <c r="G617" s="118" t="e">
        <f t="shared" ca="1" si="103"/>
        <v>#REF!</v>
      </c>
      <c r="H617" s="118" t="e">
        <f t="shared" ca="1" si="104"/>
        <v>#REF!</v>
      </c>
      <c r="I617" s="118" t="e">
        <f t="shared" ca="1" si="105"/>
        <v>#REF!</v>
      </c>
      <c r="J617" s="118" t="e">
        <f t="shared" ca="1" si="106"/>
        <v>#REF!</v>
      </c>
      <c r="K617" s="118" t="e">
        <f t="shared" ca="1" si="107"/>
        <v>#REF!</v>
      </c>
      <c r="L617" s="118" t="e">
        <f t="shared" ca="1" si="108"/>
        <v>#REF!</v>
      </c>
      <c r="M617" s="118" t="e">
        <f t="shared" ca="1" si="109"/>
        <v>#REF!</v>
      </c>
    </row>
    <row r="618" spans="1:13" x14ac:dyDescent="0.25">
      <c r="A618" s="119" t="s">
        <v>222</v>
      </c>
      <c r="B618" s="119">
        <v>45071</v>
      </c>
      <c r="C618" s="118" t="e">
        <f t="shared" ca="1" si="99"/>
        <v>#REF!</v>
      </c>
      <c r="D618" s="118" t="e">
        <f t="shared" ca="1" si="100"/>
        <v>#REF!</v>
      </c>
      <c r="E618" s="118" t="e">
        <f t="shared" ca="1" si="101"/>
        <v>#REF!</v>
      </c>
      <c r="F618" s="118" t="e">
        <f t="shared" ca="1" si="102"/>
        <v>#REF!</v>
      </c>
      <c r="G618" s="118" t="e">
        <f t="shared" ca="1" si="103"/>
        <v>#REF!</v>
      </c>
      <c r="H618" s="118" t="e">
        <f t="shared" ca="1" si="104"/>
        <v>#REF!</v>
      </c>
      <c r="I618" s="118" t="e">
        <f t="shared" ca="1" si="105"/>
        <v>#REF!</v>
      </c>
      <c r="J618" s="118" t="e">
        <f t="shared" ca="1" si="106"/>
        <v>#REF!</v>
      </c>
      <c r="K618" s="118" t="e">
        <f t="shared" ca="1" si="107"/>
        <v>#REF!</v>
      </c>
      <c r="L618" s="118" t="e">
        <f t="shared" ca="1" si="108"/>
        <v>#REF!</v>
      </c>
      <c r="M618" s="118" t="e">
        <f t="shared" ca="1" si="109"/>
        <v>#REF!</v>
      </c>
    </row>
    <row r="619" spans="1:13" x14ac:dyDescent="0.25">
      <c r="A619" s="119" t="s">
        <v>223</v>
      </c>
      <c r="B619" s="119">
        <v>45072</v>
      </c>
      <c r="C619" s="118" t="e">
        <f t="shared" ca="1" si="99"/>
        <v>#REF!</v>
      </c>
      <c r="D619" s="118" t="e">
        <f t="shared" ca="1" si="100"/>
        <v>#REF!</v>
      </c>
      <c r="E619" s="118" t="e">
        <f t="shared" ca="1" si="101"/>
        <v>#REF!</v>
      </c>
      <c r="F619" s="118" t="e">
        <f t="shared" ca="1" si="102"/>
        <v>#REF!</v>
      </c>
      <c r="G619" s="118" t="e">
        <f t="shared" ca="1" si="103"/>
        <v>#REF!</v>
      </c>
      <c r="H619" s="118" t="e">
        <f t="shared" ca="1" si="104"/>
        <v>#REF!</v>
      </c>
      <c r="I619" s="118" t="e">
        <f t="shared" ca="1" si="105"/>
        <v>#REF!</v>
      </c>
      <c r="J619" s="118" t="e">
        <f t="shared" ca="1" si="106"/>
        <v>#REF!</v>
      </c>
      <c r="K619" s="118" t="e">
        <f t="shared" ca="1" si="107"/>
        <v>#REF!</v>
      </c>
      <c r="L619" s="118" t="e">
        <f t="shared" ca="1" si="108"/>
        <v>#REF!</v>
      </c>
      <c r="M619" s="118" t="e">
        <f t="shared" ca="1" si="109"/>
        <v>#REF!</v>
      </c>
    </row>
    <row r="620" spans="1:13" x14ac:dyDescent="0.25">
      <c r="A620" s="119">
        <v>45073</v>
      </c>
      <c r="B620" s="119">
        <v>45073</v>
      </c>
      <c r="C620" s="118" t="e">
        <f t="shared" ca="1" si="99"/>
        <v>#REF!</v>
      </c>
      <c r="D620" s="118" t="e">
        <f t="shared" ca="1" si="100"/>
        <v>#REF!</v>
      </c>
      <c r="E620" s="118" t="e">
        <f t="shared" ca="1" si="101"/>
        <v>#REF!</v>
      </c>
      <c r="F620" s="118" t="e">
        <f t="shared" ca="1" si="102"/>
        <v>#REF!</v>
      </c>
      <c r="G620" s="118" t="e">
        <f t="shared" ca="1" si="103"/>
        <v>#REF!</v>
      </c>
      <c r="H620" s="118" t="e">
        <f t="shared" ca="1" si="104"/>
        <v>#REF!</v>
      </c>
      <c r="I620" s="118" t="e">
        <f t="shared" ca="1" si="105"/>
        <v>#REF!</v>
      </c>
      <c r="J620" s="118" t="e">
        <f t="shared" ca="1" si="106"/>
        <v>#REF!</v>
      </c>
      <c r="K620" s="118" t="e">
        <f t="shared" ca="1" si="107"/>
        <v>#REF!</v>
      </c>
      <c r="L620" s="118" t="e">
        <f t="shared" ca="1" si="108"/>
        <v>#REF!</v>
      </c>
      <c r="M620" s="118" t="e">
        <f t="shared" ca="1" si="109"/>
        <v>#REF!</v>
      </c>
    </row>
    <row r="621" spans="1:13" x14ac:dyDescent="0.25">
      <c r="A621" s="119">
        <v>45074</v>
      </c>
      <c r="B621" s="119">
        <v>45074</v>
      </c>
      <c r="C621" s="118" t="e">
        <f t="shared" ca="1" si="99"/>
        <v>#REF!</v>
      </c>
      <c r="D621" s="118" t="e">
        <f t="shared" ca="1" si="100"/>
        <v>#REF!</v>
      </c>
      <c r="E621" s="118" t="e">
        <f t="shared" ca="1" si="101"/>
        <v>#REF!</v>
      </c>
      <c r="F621" s="118" t="e">
        <f t="shared" ca="1" si="102"/>
        <v>#REF!</v>
      </c>
      <c r="G621" s="118" t="e">
        <f t="shared" ca="1" si="103"/>
        <v>#REF!</v>
      </c>
      <c r="H621" s="118" t="e">
        <f t="shared" ca="1" si="104"/>
        <v>#REF!</v>
      </c>
      <c r="I621" s="118" t="e">
        <f t="shared" ca="1" si="105"/>
        <v>#REF!</v>
      </c>
      <c r="J621" s="118" t="e">
        <f t="shared" ca="1" si="106"/>
        <v>#REF!</v>
      </c>
      <c r="K621" s="118" t="e">
        <f t="shared" ca="1" si="107"/>
        <v>#REF!</v>
      </c>
      <c r="L621" s="118" t="e">
        <f t="shared" ca="1" si="108"/>
        <v>#REF!</v>
      </c>
      <c r="M621" s="118" t="e">
        <f t="shared" ca="1" si="109"/>
        <v>#REF!</v>
      </c>
    </row>
    <row r="622" spans="1:13" x14ac:dyDescent="0.25">
      <c r="A622" s="119">
        <v>45075</v>
      </c>
      <c r="B622" s="119">
        <v>45075</v>
      </c>
      <c r="C622" s="118" t="e">
        <f t="shared" ca="1" si="99"/>
        <v>#REF!</v>
      </c>
      <c r="D622" s="118" t="e">
        <f t="shared" ca="1" si="100"/>
        <v>#REF!</v>
      </c>
      <c r="E622" s="118" t="e">
        <f t="shared" ca="1" si="101"/>
        <v>#REF!</v>
      </c>
      <c r="F622" s="118" t="e">
        <f t="shared" ca="1" si="102"/>
        <v>#REF!</v>
      </c>
      <c r="G622" s="118" t="e">
        <f t="shared" ca="1" si="103"/>
        <v>#REF!</v>
      </c>
      <c r="H622" s="118" t="e">
        <f t="shared" ca="1" si="104"/>
        <v>#REF!</v>
      </c>
      <c r="I622" s="118" t="e">
        <f t="shared" ca="1" si="105"/>
        <v>#REF!</v>
      </c>
      <c r="J622" s="118" t="e">
        <f t="shared" ca="1" si="106"/>
        <v>#REF!</v>
      </c>
      <c r="K622" s="118" t="e">
        <f t="shared" ca="1" si="107"/>
        <v>#REF!</v>
      </c>
      <c r="L622" s="118" t="e">
        <f t="shared" ca="1" si="108"/>
        <v>#REF!</v>
      </c>
      <c r="M622" s="118" t="e">
        <f t="shared" ca="1" si="109"/>
        <v>#REF!</v>
      </c>
    </row>
    <row r="623" spans="1:13" x14ac:dyDescent="0.25">
      <c r="A623" s="119">
        <v>45076</v>
      </c>
      <c r="B623" s="119">
        <v>45076</v>
      </c>
      <c r="C623" s="118" t="e">
        <f t="shared" ca="1" si="99"/>
        <v>#REF!</v>
      </c>
      <c r="D623" s="118" t="e">
        <f t="shared" ca="1" si="100"/>
        <v>#REF!</v>
      </c>
      <c r="E623" s="118" t="e">
        <f t="shared" ca="1" si="101"/>
        <v>#REF!</v>
      </c>
      <c r="F623" s="118" t="e">
        <f t="shared" ca="1" si="102"/>
        <v>#REF!</v>
      </c>
      <c r="G623" s="118" t="e">
        <f t="shared" ca="1" si="103"/>
        <v>#REF!</v>
      </c>
      <c r="H623" s="118" t="e">
        <f t="shared" ca="1" si="104"/>
        <v>#REF!</v>
      </c>
      <c r="I623" s="118" t="e">
        <f t="shared" ca="1" si="105"/>
        <v>#REF!</v>
      </c>
      <c r="J623" s="118" t="e">
        <f t="shared" ca="1" si="106"/>
        <v>#REF!</v>
      </c>
      <c r="K623" s="118" t="e">
        <f t="shared" ca="1" si="107"/>
        <v>#REF!</v>
      </c>
      <c r="L623" s="118" t="e">
        <f t="shared" ca="1" si="108"/>
        <v>#REF!</v>
      </c>
      <c r="M623" s="118" t="e">
        <f t="shared" ca="1" si="109"/>
        <v>#REF!</v>
      </c>
    </row>
    <row r="624" spans="1:13" x14ac:dyDescent="0.25">
      <c r="A624" s="119">
        <v>45077</v>
      </c>
      <c r="B624" s="119">
        <v>45077</v>
      </c>
      <c r="C624" s="118" t="e">
        <f t="shared" ca="1" si="99"/>
        <v>#REF!</v>
      </c>
      <c r="D624" s="118" t="e">
        <f t="shared" ca="1" si="100"/>
        <v>#REF!</v>
      </c>
      <c r="E624" s="118" t="e">
        <f t="shared" ca="1" si="101"/>
        <v>#REF!</v>
      </c>
      <c r="F624" s="118" t="e">
        <f t="shared" ca="1" si="102"/>
        <v>#REF!</v>
      </c>
      <c r="G624" s="118" t="e">
        <f t="shared" ca="1" si="103"/>
        <v>#REF!</v>
      </c>
      <c r="H624" s="118" t="e">
        <f t="shared" ca="1" si="104"/>
        <v>#REF!</v>
      </c>
      <c r="I624" s="118" t="e">
        <f t="shared" ca="1" si="105"/>
        <v>#REF!</v>
      </c>
      <c r="J624" s="118" t="e">
        <f t="shared" ca="1" si="106"/>
        <v>#REF!</v>
      </c>
      <c r="K624" s="118" t="e">
        <f t="shared" ca="1" si="107"/>
        <v>#REF!</v>
      </c>
      <c r="L624" s="118" t="e">
        <f t="shared" ca="1" si="108"/>
        <v>#REF!</v>
      </c>
      <c r="M624" s="118" t="e">
        <f t="shared" ca="1" si="109"/>
        <v>#REF!</v>
      </c>
    </row>
    <row r="625" spans="1:13" x14ac:dyDescent="0.25">
      <c r="A625" s="119" t="s">
        <v>224</v>
      </c>
      <c r="B625" s="119">
        <v>45078</v>
      </c>
      <c r="C625" s="118" t="e">
        <f t="shared" ca="1" si="99"/>
        <v>#REF!</v>
      </c>
      <c r="D625" s="118" t="e">
        <f t="shared" ca="1" si="100"/>
        <v>#REF!</v>
      </c>
      <c r="E625" s="118" t="e">
        <f t="shared" ca="1" si="101"/>
        <v>#REF!</v>
      </c>
      <c r="F625" s="118" t="e">
        <f t="shared" ca="1" si="102"/>
        <v>#REF!</v>
      </c>
      <c r="G625" s="118" t="e">
        <f t="shared" ca="1" si="103"/>
        <v>#REF!</v>
      </c>
      <c r="H625" s="118" t="e">
        <f t="shared" ca="1" si="104"/>
        <v>#REF!</v>
      </c>
      <c r="I625" s="118" t="e">
        <f t="shared" ca="1" si="105"/>
        <v>#REF!</v>
      </c>
      <c r="J625" s="118" t="e">
        <f t="shared" ca="1" si="106"/>
        <v>#REF!</v>
      </c>
      <c r="K625" s="118" t="e">
        <f t="shared" ca="1" si="107"/>
        <v>#REF!</v>
      </c>
      <c r="L625" s="118" t="e">
        <f t="shared" ca="1" si="108"/>
        <v>#REF!</v>
      </c>
      <c r="M625" s="118" t="e">
        <f t="shared" ca="1" si="109"/>
        <v>#REF!</v>
      </c>
    </row>
    <row r="626" spans="1:13" x14ac:dyDescent="0.25">
      <c r="A626" s="119">
        <v>45079</v>
      </c>
      <c r="B626" s="119">
        <v>45079</v>
      </c>
      <c r="C626" s="118" t="e">
        <f t="shared" ca="1" si="99"/>
        <v>#REF!</v>
      </c>
      <c r="D626" s="118" t="e">
        <f t="shared" ca="1" si="100"/>
        <v>#REF!</v>
      </c>
      <c r="E626" s="118" t="e">
        <f t="shared" ca="1" si="101"/>
        <v>#REF!</v>
      </c>
      <c r="F626" s="118" t="e">
        <f t="shared" ca="1" si="102"/>
        <v>#REF!</v>
      </c>
      <c r="G626" s="118" t="e">
        <f t="shared" ca="1" si="103"/>
        <v>#REF!</v>
      </c>
      <c r="H626" s="118" t="e">
        <f t="shared" ca="1" si="104"/>
        <v>#REF!</v>
      </c>
      <c r="I626" s="118" t="e">
        <f t="shared" ca="1" si="105"/>
        <v>#REF!</v>
      </c>
      <c r="J626" s="118" t="e">
        <f t="shared" ca="1" si="106"/>
        <v>#REF!</v>
      </c>
      <c r="K626" s="118" t="e">
        <f t="shared" ca="1" si="107"/>
        <v>#REF!</v>
      </c>
      <c r="L626" s="118" t="e">
        <f t="shared" ca="1" si="108"/>
        <v>#REF!</v>
      </c>
      <c r="M626" s="118" t="e">
        <f t="shared" ca="1" si="109"/>
        <v>#REF!</v>
      </c>
    </row>
    <row r="627" spans="1:13" x14ac:dyDescent="0.25">
      <c r="A627" s="119">
        <v>45080</v>
      </c>
      <c r="B627" s="119">
        <v>45080</v>
      </c>
      <c r="C627" s="118" t="e">
        <f t="shared" ca="1" si="99"/>
        <v>#REF!</v>
      </c>
      <c r="D627" s="118" t="e">
        <f t="shared" ca="1" si="100"/>
        <v>#REF!</v>
      </c>
      <c r="E627" s="118" t="e">
        <f t="shared" ca="1" si="101"/>
        <v>#REF!</v>
      </c>
      <c r="F627" s="118" t="e">
        <f t="shared" ca="1" si="102"/>
        <v>#REF!</v>
      </c>
      <c r="G627" s="118" t="e">
        <f t="shared" ca="1" si="103"/>
        <v>#REF!</v>
      </c>
      <c r="H627" s="118" t="e">
        <f t="shared" ca="1" si="104"/>
        <v>#REF!</v>
      </c>
      <c r="I627" s="118" t="e">
        <f t="shared" ca="1" si="105"/>
        <v>#REF!</v>
      </c>
      <c r="J627" s="118" t="e">
        <f t="shared" ca="1" si="106"/>
        <v>#REF!</v>
      </c>
      <c r="K627" s="118" t="e">
        <f t="shared" ca="1" si="107"/>
        <v>#REF!</v>
      </c>
      <c r="L627" s="118" t="e">
        <f t="shared" ca="1" si="108"/>
        <v>#REF!</v>
      </c>
      <c r="M627" s="118" t="e">
        <f t="shared" ca="1" si="109"/>
        <v>#REF!</v>
      </c>
    </row>
    <row r="628" spans="1:13" x14ac:dyDescent="0.25">
      <c r="A628" s="119">
        <v>45081</v>
      </c>
      <c r="B628" s="119">
        <v>45081</v>
      </c>
      <c r="C628" s="118" t="e">
        <f t="shared" ca="1" si="99"/>
        <v>#REF!</v>
      </c>
      <c r="D628" s="118" t="e">
        <f t="shared" ca="1" si="100"/>
        <v>#REF!</v>
      </c>
      <c r="E628" s="118" t="e">
        <f t="shared" ca="1" si="101"/>
        <v>#REF!</v>
      </c>
      <c r="F628" s="118" t="e">
        <f t="shared" ca="1" si="102"/>
        <v>#REF!</v>
      </c>
      <c r="G628" s="118" t="e">
        <f t="shared" ca="1" si="103"/>
        <v>#REF!</v>
      </c>
      <c r="H628" s="118" t="e">
        <f t="shared" ca="1" si="104"/>
        <v>#REF!</v>
      </c>
      <c r="I628" s="118" t="e">
        <f t="shared" ca="1" si="105"/>
        <v>#REF!</v>
      </c>
      <c r="J628" s="118" t="e">
        <f t="shared" ca="1" si="106"/>
        <v>#REF!</v>
      </c>
      <c r="K628" s="118" t="e">
        <f t="shared" ca="1" si="107"/>
        <v>#REF!</v>
      </c>
      <c r="L628" s="118" t="e">
        <f t="shared" ca="1" si="108"/>
        <v>#REF!</v>
      </c>
      <c r="M628" s="118" t="e">
        <f t="shared" ca="1" si="109"/>
        <v>#REF!</v>
      </c>
    </row>
    <row r="629" spans="1:13" x14ac:dyDescent="0.25">
      <c r="A629" s="119" t="s">
        <v>225</v>
      </c>
      <c r="B629" s="119">
        <v>45082</v>
      </c>
      <c r="C629" s="118" t="e">
        <f t="shared" ca="1" si="99"/>
        <v>#REF!</v>
      </c>
      <c r="D629" s="118" t="e">
        <f t="shared" ca="1" si="100"/>
        <v>#REF!</v>
      </c>
      <c r="E629" s="118" t="e">
        <f t="shared" ca="1" si="101"/>
        <v>#REF!</v>
      </c>
      <c r="F629" s="118" t="e">
        <f t="shared" ca="1" si="102"/>
        <v>#REF!</v>
      </c>
      <c r="G629" s="118" t="e">
        <f t="shared" ca="1" si="103"/>
        <v>#REF!</v>
      </c>
      <c r="H629" s="118" t="e">
        <f t="shared" ca="1" si="104"/>
        <v>#REF!</v>
      </c>
      <c r="I629" s="118" t="e">
        <f t="shared" ca="1" si="105"/>
        <v>#REF!</v>
      </c>
      <c r="J629" s="118" t="e">
        <f t="shared" ca="1" si="106"/>
        <v>#REF!</v>
      </c>
      <c r="K629" s="118" t="e">
        <f t="shared" ca="1" si="107"/>
        <v>#REF!</v>
      </c>
      <c r="L629" s="118" t="e">
        <f t="shared" ca="1" si="108"/>
        <v>#REF!</v>
      </c>
      <c r="M629" s="118" t="e">
        <f t="shared" ca="1" si="109"/>
        <v>#REF!</v>
      </c>
    </row>
    <row r="630" spans="1:13" x14ac:dyDescent="0.25">
      <c r="A630" s="119">
        <v>45083</v>
      </c>
      <c r="B630" s="119">
        <v>45083</v>
      </c>
      <c r="C630" s="118" t="e">
        <f t="shared" ca="1" si="99"/>
        <v>#REF!</v>
      </c>
      <c r="D630" s="118" t="e">
        <f t="shared" ca="1" si="100"/>
        <v>#REF!</v>
      </c>
      <c r="E630" s="118" t="e">
        <f t="shared" ca="1" si="101"/>
        <v>#REF!</v>
      </c>
      <c r="F630" s="118" t="e">
        <f t="shared" ca="1" si="102"/>
        <v>#REF!</v>
      </c>
      <c r="G630" s="118" t="e">
        <f t="shared" ca="1" si="103"/>
        <v>#REF!</v>
      </c>
      <c r="H630" s="118" t="e">
        <f t="shared" ca="1" si="104"/>
        <v>#REF!</v>
      </c>
      <c r="I630" s="118" t="e">
        <f t="shared" ca="1" si="105"/>
        <v>#REF!</v>
      </c>
      <c r="J630" s="118" t="e">
        <f t="shared" ca="1" si="106"/>
        <v>#REF!</v>
      </c>
      <c r="K630" s="118" t="e">
        <f t="shared" ca="1" si="107"/>
        <v>#REF!</v>
      </c>
      <c r="L630" s="118" t="e">
        <f t="shared" ca="1" si="108"/>
        <v>#REF!</v>
      </c>
      <c r="M630" s="118" t="e">
        <f t="shared" ca="1" si="109"/>
        <v>#REF!</v>
      </c>
    </row>
    <row r="631" spans="1:13" x14ac:dyDescent="0.25">
      <c r="A631" s="119">
        <v>45084</v>
      </c>
      <c r="B631" s="119">
        <v>45084</v>
      </c>
      <c r="C631" s="118" t="e">
        <f t="shared" ca="1" si="99"/>
        <v>#REF!</v>
      </c>
      <c r="D631" s="118" t="e">
        <f t="shared" ca="1" si="100"/>
        <v>#REF!</v>
      </c>
      <c r="E631" s="118" t="e">
        <f t="shared" ca="1" si="101"/>
        <v>#REF!</v>
      </c>
      <c r="F631" s="118" t="e">
        <f t="shared" ca="1" si="102"/>
        <v>#REF!</v>
      </c>
      <c r="G631" s="118" t="e">
        <f t="shared" ca="1" si="103"/>
        <v>#REF!</v>
      </c>
      <c r="H631" s="118" t="e">
        <f t="shared" ca="1" si="104"/>
        <v>#REF!</v>
      </c>
      <c r="I631" s="118" t="e">
        <f t="shared" ca="1" si="105"/>
        <v>#REF!</v>
      </c>
      <c r="J631" s="118" t="e">
        <f t="shared" ca="1" si="106"/>
        <v>#REF!</v>
      </c>
      <c r="K631" s="118" t="e">
        <f t="shared" ca="1" si="107"/>
        <v>#REF!</v>
      </c>
      <c r="L631" s="118" t="e">
        <f t="shared" ca="1" si="108"/>
        <v>#REF!</v>
      </c>
      <c r="M631" s="118" t="e">
        <f t="shared" ca="1" si="109"/>
        <v>#REF!</v>
      </c>
    </row>
    <row r="632" spans="1:13" x14ac:dyDescent="0.25">
      <c r="A632" s="119">
        <v>45085</v>
      </c>
      <c r="B632" s="119">
        <v>45085</v>
      </c>
      <c r="C632" s="118" t="e">
        <f t="shared" ca="1" si="99"/>
        <v>#REF!</v>
      </c>
      <c r="D632" s="118" t="e">
        <f t="shared" ca="1" si="100"/>
        <v>#REF!</v>
      </c>
      <c r="E632" s="118" t="e">
        <f t="shared" ca="1" si="101"/>
        <v>#REF!</v>
      </c>
      <c r="F632" s="118" t="e">
        <f t="shared" ca="1" si="102"/>
        <v>#REF!</v>
      </c>
      <c r="G632" s="118" t="e">
        <f t="shared" ca="1" si="103"/>
        <v>#REF!</v>
      </c>
      <c r="H632" s="118" t="e">
        <f t="shared" ca="1" si="104"/>
        <v>#REF!</v>
      </c>
      <c r="I632" s="118" t="e">
        <f t="shared" ca="1" si="105"/>
        <v>#REF!</v>
      </c>
      <c r="J632" s="118" t="e">
        <f t="shared" ca="1" si="106"/>
        <v>#REF!</v>
      </c>
      <c r="K632" s="118" t="e">
        <f t="shared" ca="1" si="107"/>
        <v>#REF!</v>
      </c>
      <c r="L632" s="118" t="e">
        <f t="shared" ca="1" si="108"/>
        <v>#REF!</v>
      </c>
      <c r="M632" s="118" t="e">
        <f t="shared" ca="1" si="109"/>
        <v>#REF!</v>
      </c>
    </row>
    <row r="633" spans="1:13" x14ac:dyDescent="0.25">
      <c r="A633" s="119">
        <v>45086</v>
      </c>
      <c r="B633" s="119">
        <v>45086</v>
      </c>
      <c r="C633" s="118" t="e">
        <f t="shared" ca="1" si="99"/>
        <v>#REF!</v>
      </c>
      <c r="D633" s="118" t="e">
        <f t="shared" ca="1" si="100"/>
        <v>#REF!</v>
      </c>
      <c r="E633" s="118" t="e">
        <f t="shared" ca="1" si="101"/>
        <v>#REF!</v>
      </c>
      <c r="F633" s="118" t="e">
        <f t="shared" ca="1" si="102"/>
        <v>#REF!</v>
      </c>
      <c r="G633" s="118" t="e">
        <f t="shared" ca="1" si="103"/>
        <v>#REF!</v>
      </c>
      <c r="H633" s="118" t="e">
        <f t="shared" ca="1" si="104"/>
        <v>#REF!</v>
      </c>
      <c r="I633" s="118" t="e">
        <f t="shared" ca="1" si="105"/>
        <v>#REF!</v>
      </c>
      <c r="J633" s="118" t="e">
        <f t="shared" ca="1" si="106"/>
        <v>#REF!</v>
      </c>
      <c r="K633" s="118" t="e">
        <f t="shared" ca="1" si="107"/>
        <v>#REF!</v>
      </c>
      <c r="L633" s="118" t="e">
        <f t="shared" ca="1" si="108"/>
        <v>#REF!</v>
      </c>
      <c r="M633" s="118" t="e">
        <f t="shared" ca="1" si="109"/>
        <v>#REF!</v>
      </c>
    </row>
    <row r="634" spans="1:13" x14ac:dyDescent="0.25">
      <c r="A634" s="119">
        <v>45087</v>
      </c>
      <c r="B634" s="119">
        <v>45087</v>
      </c>
      <c r="C634" s="118" t="e">
        <f t="shared" ca="1" si="99"/>
        <v>#REF!</v>
      </c>
      <c r="D634" s="118" t="e">
        <f t="shared" ca="1" si="100"/>
        <v>#REF!</v>
      </c>
      <c r="E634" s="118" t="e">
        <f t="shared" ca="1" si="101"/>
        <v>#REF!</v>
      </c>
      <c r="F634" s="118" t="e">
        <f t="shared" ca="1" si="102"/>
        <v>#REF!</v>
      </c>
      <c r="G634" s="118" t="e">
        <f t="shared" ca="1" si="103"/>
        <v>#REF!</v>
      </c>
      <c r="H634" s="118" t="e">
        <f t="shared" ca="1" si="104"/>
        <v>#REF!</v>
      </c>
      <c r="I634" s="118" t="e">
        <f t="shared" ca="1" si="105"/>
        <v>#REF!</v>
      </c>
      <c r="J634" s="118" t="e">
        <f t="shared" ca="1" si="106"/>
        <v>#REF!</v>
      </c>
      <c r="K634" s="118" t="e">
        <f t="shared" ca="1" si="107"/>
        <v>#REF!</v>
      </c>
      <c r="L634" s="118" t="e">
        <f t="shared" ca="1" si="108"/>
        <v>#REF!</v>
      </c>
      <c r="M634" s="118" t="e">
        <f t="shared" ca="1" si="109"/>
        <v>#REF!</v>
      </c>
    </row>
    <row r="635" spans="1:13" x14ac:dyDescent="0.25">
      <c r="A635" s="119">
        <v>45088</v>
      </c>
      <c r="B635" s="119">
        <v>45088</v>
      </c>
      <c r="C635" s="118" t="e">
        <f t="shared" ca="1" si="99"/>
        <v>#REF!</v>
      </c>
      <c r="D635" s="118" t="e">
        <f t="shared" ca="1" si="100"/>
        <v>#REF!</v>
      </c>
      <c r="E635" s="118" t="e">
        <f t="shared" ca="1" si="101"/>
        <v>#REF!</v>
      </c>
      <c r="F635" s="118" t="e">
        <f t="shared" ca="1" si="102"/>
        <v>#REF!</v>
      </c>
      <c r="G635" s="118" t="e">
        <f t="shared" ca="1" si="103"/>
        <v>#REF!</v>
      </c>
      <c r="H635" s="118" t="e">
        <f t="shared" ca="1" si="104"/>
        <v>#REF!</v>
      </c>
      <c r="I635" s="118" t="e">
        <f t="shared" ca="1" si="105"/>
        <v>#REF!</v>
      </c>
      <c r="J635" s="118" t="e">
        <f t="shared" ca="1" si="106"/>
        <v>#REF!</v>
      </c>
      <c r="K635" s="118" t="e">
        <f t="shared" ca="1" si="107"/>
        <v>#REF!</v>
      </c>
      <c r="L635" s="118" t="e">
        <f t="shared" ca="1" si="108"/>
        <v>#REF!</v>
      </c>
      <c r="M635" s="118" t="e">
        <f t="shared" ca="1" si="109"/>
        <v>#REF!</v>
      </c>
    </row>
    <row r="636" spans="1:13" x14ac:dyDescent="0.25">
      <c r="A636" s="119">
        <v>45089</v>
      </c>
      <c r="B636" s="119">
        <v>45089</v>
      </c>
      <c r="C636" s="118" t="e">
        <f t="shared" ca="1" si="99"/>
        <v>#REF!</v>
      </c>
      <c r="D636" s="118" t="e">
        <f t="shared" ca="1" si="100"/>
        <v>#REF!</v>
      </c>
      <c r="E636" s="118" t="e">
        <f t="shared" ca="1" si="101"/>
        <v>#REF!</v>
      </c>
      <c r="F636" s="118" t="e">
        <f t="shared" ca="1" si="102"/>
        <v>#REF!</v>
      </c>
      <c r="G636" s="118" t="e">
        <f t="shared" ca="1" si="103"/>
        <v>#REF!</v>
      </c>
      <c r="H636" s="118" t="e">
        <f t="shared" ca="1" si="104"/>
        <v>#REF!</v>
      </c>
      <c r="I636" s="118" t="e">
        <f t="shared" ca="1" si="105"/>
        <v>#REF!</v>
      </c>
      <c r="J636" s="118" t="e">
        <f t="shared" ca="1" si="106"/>
        <v>#REF!</v>
      </c>
      <c r="K636" s="118" t="e">
        <f t="shared" ca="1" si="107"/>
        <v>#REF!</v>
      </c>
      <c r="L636" s="118" t="e">
        <f t="shared" ca="1" si="108"/>
        <v>#REF!</v>
      </c>
      <c r="M636" s="118" t="e">
        <f t="shared" ca="1" si="109"/>
        <v>#REF!</v>
      </c>
    </row>
    <row r="637" spans="1:13" x14ac:dyDescent="0.25">
      <c r="A637" s="119">
        <v>45090</v>
      </c>
      <c r="B637" s="119">
        <v>45090</v>
      </c>
      <c r="C637" s="118" t="e">
        <f t="shared" ca="1" si="99"/>
        <v>#REF!</v>
      </c>
      <c r="D637" s="118" t="e">
        <f t="shared" ca="1" si="100"/>
        <v>#REF!</v>
      </c>
      <c r="E637" s="118" t="e">
        <f t="shared" ca="1" si="101"/>
        <v>#REF!</v>
      </c>
      <c r="F637" s="118" t="e">
        <f t="shared" ca="1" si="102"/>
        <v>#REF!</v>
      </c>
      <c r="G637" s="118" t="e">
        <f t="shared" ca="1" si="103"/>
        <v>#REF!</v>
      </c>
      <c r="H637" s="118" t="e">
        <f t="shared" ca="1" si="104"/>
        <v>#REF!</v>
      </c>
      <c r="I637" s="118" t="e">
        <f t="shared" ca="1" si="105"/>
        <v>#REF!</v>
      </c>
      <c r="J637" s="118" t="e">
        <f t="shared" ca="1" si="106"/>
        <v>#REF!</v>
      </c>
      <c r="K637" s="118" t="e">
        <f t="shared" ca="1" si="107"/>
        <v>#REF!</v>
      </c>
      <c r="L637" s="118" t="e">
        <f t="shared" ca="1" si="108"/>
        <v>#REF!</v>
      </c>
      <c r="M637" s="118" t="e">
        <f t="shared" ca="1" si="109"/>
        <v>#REF!</v>
      </c>
    </row>
    <row r="638" spans="1:13" x14ac:dyDescent="0.25">
      <c r="A638" s="119">
        <v>45091</v>
      </c>
      <c r="B638" s="119">
        <v>45091</v>
      </c>
      <c r="C638" s="118" t="e">
        <f t="shared" ca="1" si="99"/>
        <v>#REF!</v>
      </c>
      <c r="D638" s="118" t="e">
        <f t="shared" ca="1" si="100"/>
        <v>#REF!</v>
      </c>
      <c r="E638" s="118" t="e">
        <f t="shared" ca="1" si="101"/>
        <v>#REF!</v>
      </c>
      <c r="F638" s="118" t="e">
        <f t="shared" ca="1" si="102"/>
        <v>#REF!</v>
      </c>
      <c r="G638" s="118" t="e">
        <f t="shared" ca="1" si="103"/>
        <v>#REF!</v>
      </c>
      <c r="H638" s="118" t="e">
        <f t="shared" ca="1" si="104"/>
        <v>#REF!</v>
      </c>
      <c r="I638" s="118" t="e">
        <f t="shared" ca="1" si="105"/>
        <v>#REF!</v>
      </c>
      <c r="J638" s="118" t="e">
        <f t="shared" ca="1" si="106"/>
        <v>#REF!</v>
      </c>
      <c r="K638" s="118" t="e">
        <f t="shared" ca="1" si="107"/>
        <v>#REF!</v>
      </c>
      <c r="L638" s="118" t="e">
        <f t="shared" ca="1" si="108"/>
        <v>#REF!</v>
      </c>
      <c r="M638" s="118" t="e">
        <f t="shared" ca="1" si="109"/>
        <v>#REF!</v>
      </c>
    </row>
    <row r="639" spans="1:13" x14ac:dyDescent="0.25">
      <c r="A639" s="119">
        <v>45092</v>
      </c>
      <c r="B639" s="119">
        <v>45092</v>
      </c>
      <c r="C639" s="118" t="e">
        <f t="shared" ca="1" si="99"/>
        <v>#REF!</v>
      </c>
      <c r="D639" s="118" t="e">
        <f t="shared" ca="1" si="100"/>
        <v>#REF!</v>
      </c>
      <c r="E639" s="118" t="e">
        <f t="shared" ca="1" si="101"/>
        <v>#REF!</v>
      </c>
      <c r="F639" s="118" t="e">
        <f t="shared" ca="1" si="102"/>
        <v>#REF!</v>
      </c>
      <c r="G639" s="118" t="e">
        <f t="shared" ca="1" si="103"/>
        <v>#REF!</v>
      </c>
      <c r="H639" s="118" t="e">
        <f t="shared" ca="1" si="104"/>
        <v>#REF!</v>
      </c>
      <c r="I639" s="118" t="e">
        <f t="shared" ca="1" si="105"/>
        <v>#REF!</v>
      </c>
      <c r="J639" s="118" t="e">
        <f t="shared" ca="1" si="106"/>
        <v>#REF!</v>
      </c>
      <c r="K639" s="118" t="e">
        <f t="shared" ca="1" si="107"/>
        <v>#REF!</v>
      </c>
      <c r="L639" s="118" t="e">
        <f t="shared" ca="1" si="108"/>
        <v>#REF!</v>
      </c>
      <c r="M639" s="118" t="e">
        <f t="shared" ca="1" si="109"/>
        <v>#REF!</v>
      </c>
    </row>
    <row r="640" spans="1:13" x14ac:dyDescent="0.25">
      <c r="A640" s="119" t="s">
        <v>226</v>
      </c>
      <c r="B640" s="119">
        <v>45093</v>
      </c>
      <c r="C640" s="118" t="e">
        <f t="shared" ca="1" si="99"/>
        <v>#REF!</v>
      </c>
      <c r="D640" s="118" t="e">
        <f t="shared" ca="1" si="100"/>
        <v>#REF!</v>
      </c>
      <c r="E640" s="118" t="e">
        <f t="shared" ca="1" si="101"/>
        <v>#REF!</v>
      </c>
      <c r="F640" s="118" t="e">
        <f t="shared" ca="1" si="102"/>
        <v>#REF!</v>
      </c>
      <c r="G640" s="118" t="e">
        <f t="shared" ca="1" si="103"/>
        <v>#REF!</v>
      </c>
      <c r="H640" s="118" t="e">
        <f t="shared" ca="1" si="104"/>
        <v>#REF!</v>
      </c>
      <c r="I640" s="118" t="e">
        <f t="shared" ca="1" si="105"/>
        <v>#REF!</v>
      </c>
      <c r="J640" s="118" t="e">
        <f t="shared" ca="1" si="106"/>
        <v>#REF!</v>
      </c>
      <c r="K640" s="118" t="e">
        <f t="shared" ca="1" si="107"/>
        <v>#REF!</v>
      </c>
      <c r="L640" s="118" t="e">
        <f t="shared" ca="1" si="108"/>
        <v>#REF!</v>
      </c>
      <c r="M640" s="118" t="e">
        <f t="shared" ca="1" si="109"/>
        <v>#REF!</v>
      </c>
    </row>
    <row r="641" spans="1:13" x14ac:dyDescent="0.25">
      <c r="A641" s="119">
        <v>45094</v>
      </c>
      <c r="B641" s="119">
        <v>45094</v>
      </c>
      <c r="C641" s="118" t="e">
        <f t="shared" ca="1" si="99"/>
        <v>#REF!</v>
      </c>
      <c r="D641" s="118" t="e">
        <f t="shared" ca="1" si="100"/>
        <v>#REF!</v>
      </c>
      <c r="E641" s="118" t="e">
        <f t="shared" ca="1" si="101"/>
        <v>#REF!</v>
      </c>
      <c r="F641" s="118" t="e">
        <f t="shared" ca="1" si="102"/>
        <v>#REF!</v>
      </c>
      <c r="G641" s="118" t="e">
        <f t="shared" ca="1" si="103"/>
        <v>#REF!</v>
      </c>
      <c r="H641" s="118" t="e">
        <f t="shared" ca="1" si="104"/>
        <v>#REF!</v>
      </c>
      <c r="I641" s="118" t="e">
        <f t="shared" ca="1" si="105"/>
        <v>#REF!</v>
      </c>
      <c r="J641" s="118" t="e">
        <f t="shared" ca="1" si="106"/>
        <v>#REF!</v>
      </c>
      <c r="K641" s="118" t="e">
        <f t="shared" ca="1" si="107"/>
        <v>#REF!</v>
      </c>
      <c r="L641" s="118" t="e">
        <f t="shared" ca="1" si="108"/>
        <v>#REF!</v>
      </c>
      <c r="M641" s="118" t="e">
        <f t="shared" ca="1" si="109"/>
        <v>#REF!</v>
      </c>
    </row>
    <row r="642" spans="1:13" x14ac:dyDescent="0.25">
      <c r="A642" s="119">
        <v>45095</v>
      </c>
      <c r="B642" s="119">
        <v>45095</v>
      </c>
      <c r="C642" s="118" t="e">
        <f t="shared" ca="1" si="99"/>
        <v>#REF!</v>
      </c>
      <c r="D642" s="118" t="e">
        <f t="shared" ca="1" si="100"/>
        <v>#REF!</v>
      </c>
      <c r="E642" s="118" t="e">
        <f t="shared" ca="1" si="101"/>
        <v>#REF!</v>
      </c>
      <c r="F642" s="118" t="e">
        <f t="shared" ca="1" si="102"/>
        <v>#REF!</v>
      </c>
      <c r="G642" s="118" t="e">
        <f t="shared" ca="1" si="103"/>
        <v>#REF!</v>
      </c>
      <c r="H642" s="118" t="e">
        <f t="shared" ca="1" si="104"/>
        <v>#REF!</v>
      </c>
      <c r="I642" s="118" t="e">
        <f t="shared" ca="1" si="105"/>
        <v>#REF!</v>
      </c>
      <c r="J642" s="118" t="e">
        <f t="shared" ca="1" si="106"/>
        <v>#REF!</v>
      </c>
      <c r="K642" s="118" t="e">
        <f t="shared" ca="1" si="107"/>
        <v>#REF!</v>
      </c>
      <c r="L642" s="118" t="e">
        <f t="shared" ca="1" si="108"/>
        <v>#REF!</v>
      </c>
      <c r="M642" s="118" t="e">
        <f t="shared" ca="1" si="109"/>
        <v>#REF!</v>
      </c>
    </row>
    <row r="643" spans="1:13" x14ac:dyDescent="0.25">
      <c r="A643" s="119">
        <v>45096</v>
      </c>
      <c r="B643" s="119">
        <v>45096</v>
      </c>
      <c r="C643" s="118" t="e">
        <f t="shared" ref="C643:C706" ca="1" si="110">INDIRECT(CONCATENATE("",$A643,"!H10"))</f>
        <v>#REF!</v>
      </c>
      <c r="D643" s="118" t="e">
        <f t="shared" ref="D643:D706" ca="1" si="111">INDIRECT(CONCATENATE("",$A643,"!H11"))</f>
        <v>#REF!</v>
      </c>
      <c r="E643" s="118" t="e">
        <f t="shared" ref="E643:E706" ca="1" si="112">INDIRECT(CONCATENATE("",$A643,"!H12"))</f>
        <v>#REF!</v>
      </c>
      <c r="F643" s="118" t="e">
        <f t="shared" ref="F643:F706" ca="1" si="113">INDIRECT(CONCATENATE("",$A643,"!H13"))</f>
        <v>#REF!</v>
      </c>
      <c r="G643" s="118" t="e">
        <f t="shared" ref="G643:G706" ca="1" si="114">INDIRECT(CONCATENATE("",$A643,"!H14"))</f>
        <v>#REF!</v>
      </c>
      <c r="H643" s="118" t="e">
        <f t="shared" ref="H643:H706" ca="1" si="115">INDIRECT(CONCATENATE("",$A643,"!i12"))</f>
        <v>#REF!</v>
      </c>
      <c r="I643" s="118" t="e">
        <f t="shared" ref="I643:I706" ca="1" si="116">INDIRECT(CONCATENATE("",$A643,"!i13"))</f>
        <v>#REF!</v>
      </c>
      <c r="J643" s="118" t="e">
        <f t="shared" ref="J643:J706" ca="1" si="117">INDIRECT(CONCATENATE("",$A643,"!i14"))</f>
        <v>#REF!</v>
      </c>
      <c r="K643" s="118" t="e">
        <f t="shared" ref="K643:K706" ca="1" si="118">INDIRECT(CONCATENATE("",$A643,"!J12"))</f>
        <v>#REF!</v>
      </c>
      <c r="L643" s="118" t="e">
        <f t="shared" ref="L643:L706" ca="1" si="119">INDIRECT(CONCATENATE("",$A643,"!J13"))</f>
        <v>#REF!</v>
      </c>
      <c r="M643" s="118" t="e">
        <f t="shared" ref="M643:M706" ca="1" si="120">INDIRECT(CONCATENATE("",$A643,"!J14"))</f>
        <v>#REF!</v>
      </c>
    </row>
    <row r="644" spans="1:13" x14ac:dyDescent="0.25">
      <c r="A644" s="119">
        <v>45097</v>
      </c>
      <c r="B644" s="119">
        <v>45097</v>
      </c>
      <c r="C644" s="118" t="e">
        <f t="shared" ca="1" si="110"/>
        <v>#REF!</v>
      </c>
      <c r="D644" s="118" t="e">
        <f t="shared" ca="1" si="111"/>
        <v>#REF!</v>
      </c>
      <c r="E644" s="118" t="e">
        <f t="shared" ca="1" si="112"/>
        <v>#REF!</v>
      </c>
      <c r="F644" s="118" t="e">
        <f t="shared" ca="1" si="113"/>
        <v>#REF!</v>
      </c>
      <c r="G644" s="118" t="e">
        <f t="shared" ca="1" si="114"/>
        <v>#REF!</v>
      </c>
      <c r="H644" s="118" t="e">
        <f t="shared" ca="1" si="115"/>
        <v>#REF!</v>
      </c>
      <c r="I644" s="118" t="e">
        <f t="shared" ca="1" si="116"/>
        <v>#REF!</v>
      </c>
      <c r="J644" s="118" t="e">
        <f t="shared" ca="1" si="117"/>
        <v>#REF!</v>
      </c>
      <c r="K644" s="118" t="e">
        <f t="shared" ca="1" si="118"/>
        <v>#REF!</v>
      </c>
      <c r="L644" s="118" t="e">
        <f t="shared" ca="1" si="119"/>
        <v>#REF!</v>
      </c>
      <c r="M644" s="118" t="e">
        <f t="shared" ca="1" si="120"/>
        <v>#REF!</v>
      </c>
    </row>
    <row r="645" spans="1:13" x14ac:dyDescent="0.25">
      <c r="A645" s="119">
        <v>45098</v>
      </c>
      <c r="B645" s="119">
        <v>45098</v>
      </c>
      <c r="C645" s="118" t="e">
        <f t="shared" ca="1" si="110"/>
        <v>#REF!</v>
      </c>
      <c r="D645" s="118" t="e">
        <f t="shared" ca="1" si="111"/>
        <v>#REF!</v>
      </c>
      <c r="E645" s="118" t="e">
        <f t="shared" ca="1" si="112"/>
        <v>#REF!</v>
      </c>
      <c r="F645" s="118" t="e">
        <f t="shared" ca="1" si="113"/>
        <v>#REF!</v>
      </c>
      <c r="G645" s="118" t="e">
        <f t="shared" ca="1" si="114"/>
        <v>#REF!</v>
      </c>
      <c r="H645" s="118" t="e">
        <f t="shared" ca="1" si="115"/>
        <v>#REF!</v>
      </c>
      <c r="I645" s="118" t="e">
        <f t="shared" ca="1" si="116"/>
        <v>#REF!</v>
      </c>
      <c r="J645" s="118" t="e">
        <f t="shared" ca="1" si="117"/>
        <v>#REF!</v>
      </c>
      <c r="K645" s="118" t="e">
        <f t="shared" ca="1" si="118"/>
        <v>#REF!</v>
      </c>
      <c r="L645" s="118" t="e">
        <f t="shared" ca="1" si="119"/>
        <v>#REF!</v>
      </c>
      <c r="M645" s="118" t="e">
        <f t="shared" ca="1" si="120"/>
        <v>#REF!</v>
      </c>
    </row>
    <row r="646" spans="1:13" x14ac:dyDescent="0.25">
      <c r="A646" s="119" t="s">
        <v>227</v>
      </c>
      <c r="B646" s="119">
        <v>45099</v>
      </c>
      <c r="C646" s="118" t="e">
        <f t="shared" ca="1" si="110"/>
        <v>#REF!</v>
      </c>
      <c r="D646" s="118" t="e">
        <f t="shared" ca="1" si="111"/>
        <v>#REF!</v>
      </c>
      <c r="E646" s="118" t="e">
        <f t="shared" ca="1" si="112"/>
        <v>#REF!</v>
      </c>
      <c r="F646" s="118" t="e">
        <f t="shared" ca="1" si="113"/>
        <v>#REF!</v>
      </c>
      <c r="G646" s="118" t="e">
        <f t="shared" ca="1" si="114"/>
        <v>#REF!</v>
      </c>
      <c r="H646" s="118" t="e">
        <f t="shared" ca="1" si="115"/>
        <v>#REF!</v>
      </c>
      <c r="I646" s="118" t="e">
        <f t="shared" ca="1" si="116"/>
        <v>#REF!</v>
      </c>
      <c r="J646" s="118" t="e">
        <f t="shared" ca="1" si="117"/>
        <v>#REF!</v>
      </c>
      <c r="K646" s="118" t="e">
        <f t="shared" ca="1" si="118"/>
        <v>#REF!</v>
      </c>
      <c r="L646" s="118" t="e">
        <f t="shared" ca="1" si="119"/>
        <v>#REF!</v>
      </c>
      <c r="M646" s="118" t="e">
        <f t="shared" ca="1" si="120"/>
        <v>#REF!</v>
      </c>
    </row>
    <row r="647" spans="1:13" x14ac:dyDescent="0.25">
      <c r="A647" s="119">
        <v>45100</v>
      </c>
      <c r="B647" s="119">
        <v>45100</v>
      </c>
      <c r="C647" s="118" t="e">
        <f t="shared" ca="1" si="110"/>
        <v>#REF!</v>
      </c>
      <c r="D647" s="118" t="e">
        <f t="shared" ca="1" si="111"/>
        <v>#REF!</v>
      </c>
      <c r="E647" s="118" t="e">
        <f t="shared" ca="1" si="112"/>
        <v>#REF!</v>
      </c>
      <c r="F647" s="118" t="e">
        <f t="shared" ca="1" si="113"/>
        <v>#REF!</v>
      </c>
      <c r="G647" s="118" t="e">
        <f t="shared" ca="1" si="114"/>
        <v>#REF!</v>
      </c>
      <c r="H647" s="118" t="e">
        <f t="shared" ca="1" si="115"/>
        <v>#REF!</v>
      </c>
      <c r="I647" s="118" t="e">
        <f t="shared" ca="1" si="116"/>
        <v>#REF!</v>
      </c>
      <c r="J647" s="118" t="e">
        <f t="shared" ca="1" si="117"/>
        <v>#REF!</v>
      </c>
      <c r="K647" s="118" t="e">
        <f t="shared" ca="1" si="118"/>
        <v>#REF!</v>
      </c>
      <c r="L647" s="118" t="e">
        <f t="shared" ca="1" si="119"/>
        <v>#REF!</v>
      </c>
      <c r="M647" s="118" t="e">
        <f t="shared" ca="1" si="120"/>
        <v>#REF!</v>
      </c>
    </row>
    <row r="648" spans="1:13" x14ac:dyDescent="0.25">
      <c r="A648" s="119">
        <v>45101</v>
      </c>
      <c r="B648" s="119">
        <v>45101</v>
      </c>
      <c r="C648" s="118" t="e">
        <f t="shared" ca="1" si="110"/>
        <v>#REF!</v>
      </c>
      <c r="D648" s="118" t="e">
        <f t="shared" ca="1" si="111"/>
        <v>#REF!</v>
      </c>
      <c r="E648" s="118" t="e">
        <f t="shared" ca="1" si="112"/>
        <v>#REF!</v>
      </c>
      <c r="F648" s="118" t="e">
        <f t="shared" ca="1" si="113"/>
        <v>#REF!</v>
      </c>
      <c r="G648" s="118" t="e">
        <f t="shared" ca="1" si="114"/>
        <v>#REF!</v>
      </c>
      <c r="H648" s="118" t="e">
        <f t="shared" ca="1" si="115"/>
        <v>#REF!</v>
      </c>
      <c r="I648" s="118" t="e">
        <f t="shared" ca="1" si="116"/>
        <v>#REF!</v>
      </c>
      <c r="J648" s="118" t="e">
        <f t="shared" ca="1" si="117"/>
        <v>#REF!</v>
      </c>
      <c r="K648" s="118" t="e">
        <f t="shared" ca="1" si="118"/>
        <v>#REF!</v>
      </c>
      <c r="L648" s="118" t="e">
        <f t="shared" ca="1" si="119"/>
        <v>#REF!</v>
      </c>
      <c r="M648" s="118" t="e">
        <f t="shared" ca="1" si="120"/>
        <v>#REF!</v>
      </c>
    </row>
    <row r="649" spans="1:13" x14ac:dyDescent="0.25">
      <c r="A649" s="119">
        <v>45102</v>
      </c>
      <c r="B649" s="119">
        <v>45102</v>
      </c>
      <c r="C649" s="118" t="e">
        <f t="shared" ca="1" si="110"/>
        <v>#REF!</v>
      </c>
      <c r="D649" s="118" t="e">
        <f t="shared" ca="1" si="111"/>
        <v>#REF!</v>
      </c>
      <c r="E649" s="118" t="e">
        <f t="shared" ca="1" si="112"/>
        <v>#REF!</v>
      </c>
      <c r="F649" s="118" t="e">
        <f t="shared" ca="1" si="113"/>
        <v>#REF!</v>
      </c>
      <c r="G649" s="118" t="e">
        <f t="shared" ca="1" si="114"/>
        <v>#REF!</v>
      </c>
      <c r="H649" s="118" t="e">
        <f t="shared" ca="1" si="115"/>
        <v>#REF!</v>
      </c>
      <c r="I649" s="118" t="e">
        <f t="shared" ca="1" si="116"/>
        <v>#REF!</v>
      </c>
      <c r="J649" s="118" t="e">
        <f t="shared" ca="1" si="117"/>
        <v>#REF!</v>
      </c>
      <c r="K649" s="118" t="e">
        <f t="shared" ca="1" si="118"/>
        <v>#REF!</v>
      </c>
      <c r="L649" s="118" t="e">
        <f t="shared" ca="1" si="119"/>
        <v>#REF!</v>
      </c>
      <c r="M649" s="118" t="e">
        <f t="shared" ca="1" si="120"/>
        <v>#REF!</v>
      </c>
    </row>
    <row r="650" spans="1:13" x14ac:dyDescent="0.25">
      <c r="A650" s="119">
        <v>45103</v>
      </c>
      <c r="B650" s="119">
        <v>45103</v>
      </c>
      <c r="C650" s="118" t="e">
        <f t="shared" ca="1" si="110"/>
        <v>#REF!</v>
      </c>
      <c r="D650" s="118" t="e">
        <f t="shared" ca="1" si="111"/>
        <v>#REF!</v>
      </c>
      <c r="E650" s="118" t="e">
        <f t="shared" ca="1" si="112"/>
        <v>#REF!</v>
      </c>
      <c r="F650" s="118" t="e">
        <f t="shared" ca="1" si="113"/>
        <v>#REF!</v>
      </c>
      <c r="G650" s="118" t="e">
        <f t="shared" ca="1" si="114"/>
        <v>#REF!</v>
      </c>
      <c r="H650" s="118" t="e">
        <f t="shared" ca="1" si="115"/>
        <v>#REF!</v>
      </c>
      <c r="I650" s="118" t="e">
        <f t="shared" ca="1" si="116"/>
        <v>#REF!</v>
      </c>
      <c r="J650" s="118" t="e">
        <f t="shared" ca="1" si="117"/>
        <v>#REF!</v>
      </c>
      <c r="K650" s="118" t="e">
        <f t="shared" ca="1" si="118"/>
        <v>#REF!</v>
      </c>
      <c r="L650" s="118" t="e">
        <f t="shared" ca="1" si="119"/>
        <v>#REF!</v>
      </c>
      <c r="M650" s="118" t="e">
        <f t="shared" ca="1" si="120"/>
        <v>#REF!</v>
      </c>
    </row>
    <row r="651" spans="1:13" x14ac:dyDescent="0.25">
      <c r="A651" s="119">
        <v>45104</v>
      </c>
      <c r="B651" s="119">
        <v>45104</v>
      </c>
      <c r="C651" s="118" t="e">
        <f t="shared" ca="1" si="110"/>
        <v>#REF!</v>
      </c>
      <c r="D651" s="118" t="e">
        <f t="shared" ca="1" si="111"/>
        <v>#REF!</v>
      </c>
      <c r="E651" s="118" t="e">
        <f t="shared" ca="1" si="112"/>
        <v>#REF!</v>
      </c>
      <c r="F651" s="118" t="e">
        <f t="shared" ca="1" si="113"/>
        <v>#REF!</v>
      </c>
      <c r="G651" s="118" t="e">
        <f t="shared" ca="1" si="114"/>
        <v>#REF!</v>
      </c>
      <c r="H651" s="118" t="e">
        <f t="shared" ca="1" si="115"/>
        <v>#REF!</v>
      </c>
      <c r="I651" s="118" t="e">
        <f t="shared" ca="1" si="116"/>
        <v>#REF!</v>
      </c>
      <c r="J651" s="118" t="e">
        <f t="shared" ca="1" si="117"/>
        <v>#REF!</v>
      </c>
      <c r="K651" s="118" t="e">
        <f t="shared" ca="1" si="118"/>
        <v>#REF!</v>
      </c>
      <c r="L651" s="118" t="e">
        <f t="shared" ca="1" si="119"/>
        <v>#REF!</v>
      </c>
      <c r="M651" s="118" t="e">
        <f t="shared" ca="1" si="120"/>
        <v>#REF!</v>
      </c>
    </row>
    <row r="652" spans="1:13" x14ac:dyDescent="0.25">
      <c r="A652" s="119" t="s">
        <v>228</v>
      </c>
      <c r="B652" s="119">
        <v>45105</v>
      </c>
      <c r="C652" s="118" t="e">
        <f t="shared" ca="1" si="110"/>
        <v>#REF!</v>
      </c>
      <c r="D652" s="118" t="e">
        <f t="shared" ca="1" si="111"/>
        <v>#REF!</v>
      </c>
      <c r="E652" s="118" t="e">
        <f t="shared" ca="1" si="112"/>
        <v>#REF!</v>
      </c>
      <c r="F652" s="118" t="e">
        <f t="shared" ca="1" si="113"/>
        <v>#REF!</v>
      </c>
      <c r="G652" s="118" t="e">
        <f t="shared" ca="1" si="114"/>
        <v>#REF!</v>
      </c>
      <c r="H652" s="118" t="e">
        <f t="shared" ca="1" si="115"/>
        <v>#REF!</v>
      </c>
      <c r="I652" s="118" t="e">
        <f t="shared" ca="1" si="116"/>
        <v>#REF!</v>
      </c>
      <c r="J652" s="118" t="e">
        <f t="shared" ca="1" si="117"/>
        <v>#REF!</v>
      </c>
      <c r="K652" s="118" t="e">
        <f t="shared" ca="1" si="118"/>
        <v>#REF!</v>
      </c>
      <c r="L652" s="118" t="e">
        <f t="shared" ca="1" si="119"/>
        <v>#REF!</v>
      </c>
      <c r="M652" s="118" t="e">
        <f t="shared" ca="1" si="120"/>
        <v>#REF!</v>
      </c>
    </row>
    <row r="653" spans="1:13" x14ac:dyDescent="0.25">
      <c r="A653" s="119">
        <v>45106</v>
      </c>
      <c r="B653" s="119">
        <v>45106</v>
      </c>
      <c r="C653" s="118" t="e">
        <f t="shared" ca="1" si="110"/>
        <v>#REF!</v>
      </c>
      <c r="D653" s="118" t="e">
        <f t="shared" ca="1" si="111"/>
        <v>#REF!</v>
      </c>
      <c r="E653" s="118" t="e">
        <f t="shared" ca="1" si="112"/>
        <v>#REF!</v>
      </c>
      <c r="F653" s="118" t="e">
        <f t="shared" ca="1" si="113"/>
        <v>#REF!</v>
      </c>
      <c r="G653" s="118" t="e">
        <f t="shared" ca="1" si="114"/>
        <v>#REF!</v>
      </c>
      <c r="H653" s="118" t="e">
        <f t="shared" ca="1" si="115"/>
        <v>#REF!</v>
      </c>
      <c r="I653" s="118" t="e">
        <f t="shared" ca="1" si="116"/>
        <v>#REF!</v>
      </c>
      <c r="J653" s="118" t="e">
        <f t="shared" ca="1" si="117"/>
        <v>#REF!</v>
      </c>
      <c r="K653" s="118" t="e">
        <f t="shared" ca="1" si="118"/>
        <v>#REF!</v>
      </c>
      <c r="L653" s="118" t="e">
        <f t="shared" ca="1" si="119"/>
        <v>#REF!</v>
      </c>
      <c r="M653" s="118" t="e">
        <f t="shared" ca="1" si="120"/>
        <v>#REF!</v>
      </c>
    </row>
    <row r="654" spans="1:13" x14ac:dyDescent="0.25">
      <c r="A654" s="119">
        <v>45107</v>
      </c>
      <c r="B654" s="119">
        <v>45107</v>
      </c>
      <c r="C654" s="118" t="e">
        <f t="shared" ca="1" si="110"/>
        <v>#REF!</v>
      </c>
      <c r="D654" s="118" t="e">
        <f t="shared" ca="1" si="111"/>
        <v>#REF!</v>
      </c>
      <c r="E654" s="118" t="e">
        <f t="shared" ca="1" si="112"/>
        <v>#REF!</v>
      </c>
      <c r="F654" s="118" t="e">
        <f t="shared" ca="1" si="113"/>
        <v>#REF!</v>
      </c>
      <c r="G654" s="118" t="e">
        <f t="shared" ca="1" si="114"/>
        <v>#REF!</v>
      </c>
      <c r="H654" s="118" t="e">
        <f t="shared" ca="1" si="115"/>
        <v>#REF!</v>
      </c>
      <c r="I654" s="118" t="e">
        <f t="shared" ca="1" si="116"/>
        <v>#REF!</v>
      </c>
      <c r="J654" s="118" t="e">
        <f t="shared" ca="1" si="117"/>
        <v>#REF!</v>
      </c>
      <c r="K654" s="118" t="e">
        <f t="shared" ca="1" si="118"/>
        <v>#REF!</v>
      </c>
      <c r="L654" s="118" t="e">
        <f t="shared" ca="1" si="119"/>
        <v>#REF!</v>
      </c>
      <c r="M654" s="118" t="e">
        <f t="shared" ca="1" si="120"/>
        <v>#REF!</v>
      </c>
    </row>
    <row r="655" spans="1:13" x14ac:dyDescent="0.25">
      <c r="A655" s="119">
        <v>45108</v>
      </c>
      <c r="B655" s="119">
        <v>45108</v>
      </c>
      <c r="C655" s="118" t="e">
        <f t="shared" ca="1" si="110"/>
        <v>#REF!</v>
      </c>
      <c r="D655" s="118" t="e">
        <f t="shared" ca="1" si="111"/>
        <v>#REF!</v>
      </c>
      <c r="E655" s="118" t="e">
        <f t="shared" ca="1" si="112"/>
        <v>#REF!</v>
      </c>
      <c r="F655" s="118" t="e">
        <f t="shared" ca="1" si="113"/>
        <v>#REF!</v>
      </c>
      <c r="G655" s="118" t="e">
        <f t="shared" ca="1" si="114"/>
        <v>#REF!</v>
      </c>
      <c r="H655" s="118" t="e">
        <f t="shared" ca="1" si="115"/>
        <v>#REF!</v>
      </c>
      <c r="I655" s="118" t="e">
        <f t="shared" ca="1" si="116"/>
        <v>#REF!</v>
      </c>
      <c r="J655" s="118" t="e">
        <f t="shared" ca="1" si="117"/>
        <v>#REF!</v>
      </c>
      <c r="K655" s="118" t="e">
        <f t="shared" ca="1" si="118"/>
        <v>#REF!</v>
      </c>
      <c r="L655" s="118" t="e">
        <f t="shared" ca="1" si="119"/>
        <v>#REF!</v>
      </c>
      <c r="M655" s="118" t="e">
        <f t="shared" ca="1" si="120"/>
        <v>#REF!</v>
      </c>
    </row>
    <row r="656" spans="1:13" x14ac:dyDescent="0.25">
      <c r="A656" s="119">
        <v>45109</v>
      </c>
      <c r="B656" s="119">
        <v>45109</v>
      </c>
      <c r="C656" s="118" t="e">
        <f t="shared" ca="1" si="110"/>
        <v>#REF!</v>
      </c>
      <c r="D656" s="118" t="e">
        <f t="shared" ca="1" si="111"/>
        <v>#REF!</v>
      </c>
      <c r="E656" s="118" t="e">
        <f t="shared" ca="1" si="112"/>
        <v>#REF!</v>
      </c>
      <c r="F656" s="118" t="e">
        <f t="shared" ca="1" si="113"/>
        <v>#REF!</v>
      </c>
      <c r="G656" s="118" t="e">
        <f t="shared" ca="1" si="114"/>
        <v>#REF!</v>
      </c>
      <c r="H656" s="118" t="e">
        <f t="shared" ca="1" si="115"/>
        <v>#REF!</v>
      </c>
      <c r="I656" s="118" t="e">
        <f t="shared" ca="1" si="116"/>
        <v>#REF!</v>
      </c>
      <c r="J656" s="118" t="e">
        <f t="shared" ca="1" si="117"/>
        <v>#REF!</v>
      </c>
      <c r="K656" s="118" t="e">
        <f t="shared" ca="1" si="118"/>
        <v>#REF!</v>
      </c>
      <c r="L656" s="118" t="e">
        <f t="shared" ca="1" si="119"/>
        <v>#REF!</v>
      </c>
      <c r="M656" s="118" t="e">
        <f t="shared" ca="1" si="120"/>
        <v>#REF!</v>
      </c>
    </row>
    <row r="657" spans="1:13" x14ac:dyDescent="0.25">
      <c r="A657" s="119">
        <v>45110</v>
      </c>
      <c r="B657" s="119">
        <v>45110</v>
      </c>
      <c r="C657" s="118" t="e">
        <f t="shared" ca="1" si="110"/>
        <v>#REF!</v>
      </c>
      <c r="D657" s="118" t="e">
        <f t="shared" ca="1" si="111"/>
        <v>#REF!</v>
      </c>
      <c r="E657" s="118" t="e">
        <f t="shared" ca="1" si="112"/>
        <v>#REF!</v>
      </c>
      <c r="F657" s="118" t="e">
        <f t="shared" ca="1" si="113"/>
        <v>#REF!</v>
      </c>
      <c r="G657" s="118" t="e">
        <f t="shared" ca="1" si="114"/>
        <v>#REF!</v>
      </c>
      <c r="H657" s="118" t="e">
        <f t="shared" ca="1" si="115"/>
        <v>#REF!</v>
      </c>
      <c r="I657" s="118" t="e">
        <f t="shared" ca="1" si="116"/>
        <v>#REF!</v>
      </c>
      <c r="J657" s="118" t="e">
        <f t="shared" ca="1" si="117"/>
        <v>#REF!</v>
      </c>
      <c r="K657" s="118" t="e">
        <f t="shared" ca="1" si="118"/>
        <v>#REF!</v>
      </c>
      <c r="L657" s="118" t="e">
        <f t="shared" ca="1" si="119"/>
        <v>#REF!</v>
      </c>
      <c r="M657" s="118" t="e">
        <f t="shared" ca="1" si="120"/>
        <v>#REF!</v>
      </c>
    </row>
    <row r="658" spans="1:13" x14ac:dyDescent="0.25">
      <c r="A658" s="119">
        <v>45111</v>
      </c>
      <c r="B658" s="119">
        <v>45111</v>
      </c>
      <c r="C658" s="118" t="e">
        <f t="shared" ca="1" si="110"/>
        <v>#REF!</v>
      </c>
      <c r="D658" s="118" t="e">
        <f t="shared" ca="1" si="111"/>
        <v>#REF!</v>
      </c>
      <c r="E658" s="118" t="e">
        <f t="shared" ca="1" si="112"/>
        <v>#REF!</v>
      </c>
      <c r="F658" s="118" t="e">
        <f t="shared" ca="1" si="113"/>
        <v>#REF!</v>
      </c>
      <c r="G658" s="118" t="e">
        <f t="shared" ca="1" si="114"/>
        <v>#REF!</v>
      </c>
      <c r="H658" s="118" t="e">
        <f t="shared" ca="1" si="115"/>
        <v>#REF!</v>
      </c>
      <c r="I658" s="118" t="e">
        <f t="shared" ca="1" si="116"/>
        <v>#REF!</v>
      </c>
      <c r="J658" s="118" t="e">
        <f t="shared" ca="1" si="117"/>
        <v>#REF!</v>
      </c>
      <c r="K658" s="118" t="e">
        <f t="shared" ca="1" si="118"/>
        <v>#REF!</v>
      </c>
      <c r="L658" s="118" t="e">
        <f t="shared" ca="1" si="119"/>
        <v>#REF!</v>
      </c>
      <c r="M658" s="118" t="e">
        <f t="shared" ca="1" si="120"/>
        <v>#REF!</v>
      </c>
    </row>
    <row r="659" spans="1:13" x14ac:dyDescent="0.25">
      <c r="A659" s="119">
        <v>45112</v>
      </c>
      <c r="B659" s="119">
        <v>45112</v>
      </c>
      <c r="C659" s="118" t="e">
        <f t="shared" ca="1" si="110"/>
        <v>#REF!</v>
      </c>
      <c r="D659" s="118" t="e">
        <f t="shared" ca="1" si="111"/>
        <v>#REF!</v>
      </c>
      <c r="E659" s="118" t="e">
        <f t="shared" ca="1" si="112"/>
        <v>#REF!</v>
      </c>
      <c r="F659" s="118" t="e">
        <f t="shared" ca="1" si="113"/>
        <v>#REF!</v>
      </c>
      <c r="G659" s="118" t="e">
        <f t="shared" ca="1" si="114"/>
        <v>#REF!</v>
      </c>
      <c r="H659" s="118" t="e">
        <f t="shared" ca="1" si="115"/>
        <v>#REF!</v>
      </c>
      <c r="I659" s="118" t="e">
        <f t="shared" ca="1" si="116"/>
        <v>#REF!</v>
      </c>
      <c r="J659" s="118" t="e">
        <f t="shared" ca="1" si="117"/>
        <v>#REF!</v>
      </c>
      <c r="K659" s="118" t="e">
        <f t="shared" ca="1" si="118"/>
        <v>#REF!</v>
      </c>
      <c r="L659" s="118" t="e">
        <f t="shared" ca="1" si="119"/>
        <v>#REF!</v>
      </c>
      <c r="M659" s="118" t="e">
        <f t="shared" ca="1" si="120"/>
        <v>#REF!</v>
      </c>
    </row>
    <row r="660" spans="1:13" x14ac:dyDescent="0.25">
      <c r="A660" s="119">
        <v>45113</v>
      </c>
      <c r="B660" s="119">
        <v>45113</v>
      </c>
      <c r="C660" s="118" t="e">
        <f t="shared" ca="1" si="110"/>
        <v>#REF!</v>
      </c>
      <c r="D660" s="118" t="e">
        <f t="shared" ca="1" si="111"/>
        <v>#REF!</v>
      </c>
      <c r="E660" s="118" t="e">
        <f t="shared" ca="1" si="112"/>
        <v>#REF!</v>
      </c>
      <c r="F660" s="118" t="e">
        <f t="shared" ca="1" si="113"/>
        <v>#REF!</v>
      </c>
      <c r="G660" s="118" t="e">
        <f t="shared" ca="1" si="114"/>
        <v>#REF!</v>
      </c>
      <c r="H660" s="118" t="e">
        <f t="shared" ca="1" si="115"/>
        <v>#REF!</v>
      </c>
      <c r="I660" s="118" t="e">
        <f t="shared" ca="1" si="116"/>
        <v>#REF!</v>
      </c>
      <c r="J660" s="118" t="e">
        <f t="shared" ca="1" si="117"/>
        <v>#REF!</v>
      </c>
      <c r="K660" s="118" t="e">
        <f t="shared" ca="1" si="118"/>
        <v>#REF!</v>
      </c>
      <c r="L660" s="118" t="e">
        <f t="shared" ca="1" si="119"/>
        <v>#REF!</v>
      </c>
      <c r="M660" s="118" t="e">
        <f t="shared" ca="1" si="120"/>
        <v>#REF!</v>
      </c>
    </row>
    <row r="661" spans="1:13" x14ac:dyDescent="0.25">
      <c r="A661" s="119">
        <v>45114</v>
      </c>
      <c r="B661" s="119">
        <v>45114</v>
      </c>
      <c r="C661" s="118" t="e">
        <f t="shared" ca="1" si="110"/>
        <v>#REF!</v>
      </c>
      <c r="D661" s="118" t="e">
        <f t="shared" ca="1" si="111"/>
        <v>#REF!</v>
      </c>
      <c r="E661" s="118" t="e">
        <f t="shared" ca="1" si="112"/>
        <v>#REF!</v>
      </c>
      <c r="F661" s="118" t="e">
        <f t="shared" ca="1" si="113"/>
        <v>#REF!</v>
      </c>
      <c r="G661" s="118" t="e">
        <f t="shared" ca="1" si="114"/>
        <v>#REF!</v>
      </c>
      <c r="H661" s="118" t="e">
        <f t="shared" ca="1" si="115"/>
        <v>#REF!</v>
      </c>
      <c r="I661" s="118" t="e">
        <f t="shared" ca="1" si="116"/>
        <v>#REF!</v>
      </c>
      <c r="J661" s="118" t="e">
        <f t="shared" ca="1" si="117"/>
        <v>#REF!</v>
      </c>
      <c r="K661" s="118" t="e">
        <f t="shared" ca="1" si="118"/>
        <v>#REF!</v>
      </c>
      <c r="L661" s="118" t="e">
        <f t="shared" ca="1" si="119"/>
        <v>#REF!</v>
      </c>
      <c r="M661" s="118" t="e">
        <f t="shared" ca="1" si="120"/>
        <v>#REF!</v>
      </c>
    </row>
    <row r="662" spans="1:13" x14ac:dyDescent="0.25">
      <c r="A662" s="119">
        <v>45115</v>
      </c>
      <c r="B662" s="119">
        <v>45115</v>
      </c>
      <c r="C662" s="118" t="e">
        <f t="shared" ca="1" si="110"/>
        <v>#REF!</v>
      </c>
      <c r="D662" s="118" t="e">
        <f t="shared" ca="1" si="111"/>
        <v>#REF!</v>
      </c>
      <c r="E662" s="118" t="e">
        <f t="shared" ca="1" si="112"/>
        <v>#REF!</v>
      </c>
      <c r="F662" s="118" t="e">
        <f t="shared" ca="1" si="113"/>
        <v>#REF!</v>
      </c>
      <c r="G662" s="118" t="e">
        <f t="shared" ca="1" si="114"/>
        <v>#REF!</v>
      </c>
      <c r="H662" s="118" t="e">
        <f t="shared" ca="1" si="115"/>
        <v>#REF!</v>
      </c>
      <c r="I662" s="118" t="e">
        <f t="shared" ca="1" si="116"/>
        <v>#REF!</v>
      </c>
      <c r="J662" s="118" t="e">
        <f t="shared" ca="1" si="117"/>
        <v>#REF!</v>
      </c>
      <c r="K662" s="118" t="e">
        <f t="shared" ca="1" si="118"/>
        <v>#REF!</v>
      </c>
      <c r="L662" s="118" t="e">
        <f t="shared" ca="1" si="119"/>
        <v>#REF!</v>
      </c>
      <c r="M662" s="118" t="e">
        <f t="shared" ca="1" si="120"/>
        <v>#REF!</v>
      </c>
    </row>
    <row r="663" spans="1:13" x14ac:dyDescent="0.25">
      <c r="A663" s="119">
        <v>45116</v>
      </c>
      <c r="B663" s="119">
        <v>45116</v>
      </c>
      <c r="C663" s="118" t="e">
        <f t="shared" ca="1" si="110"/>
        <v>#REF!</v>
      </c>
      <c r="D663" s="118" t="e">
        <f t="shared" ca="1" si="111"/>
        <v>#REF!</v>
      </c>
      <c r="E663" s="118" t="e">
        <f t="shared" ca="1" si="112"/>
        <v>#REF!</v>
      </c>
      <c r="F663" s="118" t="e">
        <f t="shared" ca="1" si="113"/>
        <v>#REF!</v>
      </c>
      <c r="G663" s="118" t="e">
        <f t="shared" ca="1" si="114"/>
        <v>#REF!</v>
      </c>
      <c r="H663" s="118" t="e">
        <f t="shared" ca="1" si="115"/>
        <v>#REF!</v>
      </c>
      <c r="I663" s="118" t="e">
        <f t="shared" ca="1" si="116"/>
        <v>#REF!</v>
      </c>
      <c r="J663" s="118" t="e">
        <f t="shared" ca="1" si="117"/>
        <v>#REF!</v>
      </c>
      <c r="K663" s="118" t="e">
        <f t="shared" ca="1" si="118"/>
        <v>#REF!</v>
      </c>
      <c r="L663" s="118" t="e">
        <f t="shared" ca="1" si="119"/>
        <v>#REF!</v>
      </c>
      <c r="M663" s="118" t="e">
        <f t="shared" ca="1" si="120"/>
        <v>#REF!</v>
      </c>
    </row>
    <row r="664" spans="1:13" x14ac:dyDescent="0.25">
      <c r="A664" s="119">
        <v>45117</v>
      </c>
      <c r="B664" s="119">
        <v>45117</v>
      </c>
      <c r="C664" s="118" t="e">
        <f t="shared" ca="1" si="110"/>
        <v>#REF!</v>
      </c>
      <c r="D664" s="118" t="e">
        <f t="shared" ca="1" si="111"/>
        <v>#REF!</v>
      </c>
      <c r="E664" s="118" t="e">
        <f t="shared" ca="1" si="112"/>
        <v>#REF!</v>
      </c>
      <c r="F664" s="118" t="e">
        <f t="shared" ca="1" si="113"/>
        <v>#REF!</v>
      </c>
      <c r="G664" s="118" t="e">
        <f t="shared" ca="1" si="114"/>
        <v>#REF!</v>
      </c>
      <c r="H664" s="118" t="e">
        <f t="shared" ca="1" si="115"/>
        <v>#REF!</v>
      </c>
      <c r="I664" s="118" t="e">
        <f t="shared" ca="1" si="116"/>
        <v>#REF!</v>
      </c>
      <c r="J664" s="118" t="e">
        <f t="shared" ca="1" si="117"/>
        <v>#REF!</v>
      </c>
      <c r="K664" s="118" t="e">
        <f t="shared" ca="1" si="118"/>
        <v>#REF!</v>
      </c>
      <c r="L664" s="118" t="e">
        <f t="shared" ca="1" si="119"/>
        <v>#REF!</v>
      </c>
      <c r="M664" s="118" t="e">
        <f t="shared" ca="1" si="120"/>
        <v>#REF!</v>
      </c>
    </row>
    <row r="665" spans="1:13" x14ac:dyDescent="0.25">
      <c r="A665" s="119">
        <v>45118</v>
      </c>
      <c r="B665" s="119">
        <v>45118</v>
      </c>
      <c r="C665" s="118" t="e">
        <f t="shared" ca="1" si="110"/>
        <v>#REF!</v>
      </c>
      <c r="D665" s="118" t="e">
        <f t="shared" ca="1" si="111"/>
        <v>#REF!</v>
      </c>
      <c r="E665" s="118" t="e">
        <f t="shared" ca="1" si="112"/>
        <v>#REF!</v>
      </c>
      <c r="F665" s="118" t="e">
        <f t="shared" ca="1" si="113"/>
        <v>#REF!</v>
      </c>
      <c r="G665" s="118" t="e">
        <f t="shared" ca="1" si="114"/>
        <v>#REF!</v>
      </c>
      <c r="H665" s="118" t="e">
        <f t="shared" ca="1" si="115"/>
        <v>#REF!</v>
      </c>
      <c r="I665" s="118" t="e">
        <f t="shared" ca="1" si="116"/>
        <v>#REF!</v>
      </c>
      <c r="J665" s="118" t="e">
        <f t="shared" ca="1" si="117"/>
        <v>#REF!</v>
      </c>
      <c r="K665" s="118" t="e">
        <f t="shared" ca="1" si="118"/>
        <v>#REF!</v>
      </c>
      <c r="L665" s="118" t="e">
        <f t="shared" ca="1" si="119"/>
        <v>#REF!</v>
      </c>
      <c r="M665" s="118" t="e">
        <f t="shared" ca="1" si="120"/>
        <v>#REF!</v>
      </c>
    </row>
    <row r="666" spans="1:13" x14ac:dyDescent="0.25">
      <c r="A666" s="119" t="s">
        <v>229</v>
      </c>
      <c r="B666" s="119">
        <v>45119</v>
      </c>
      <c r="C666" s="118" t="e">
        <f t="shared" ca="1" si="110"/>
        <v>#REF!</v>
      </c>
      <c r="D666" s="118" t="e">
        <f t="shared" ca="1" si="111"/>
        <v>#REF!</v>
      </c>
      <c r="E666" s="118" t="e">
        <f t="shared" ca="1" si="112"/>
        <v>#REF!</v>
      </c>
      <c r="F666" s="118" t="e">
        <f t="shared" ca="1" si="113"/>
        <v>#REF!</v>
      </c>
      <c r="G666" s="118" t="e">
        <f t="shared" ca="1" si="114"/>
        <v>#REF!</v>
      </c>
      <c r="H666" s="118" t="e">
        <f t="shared" ca="1" si="115"/>
        <v>#REF!</v>
      </c>
      <c r="I666" s="118" t="e">
        <f t="shared" ca="1" si="116"/>
        <v>#REF!</v>
      </c>
      <c r="J666" s="118" t="e">
        <f t="shared" ca="1" si="117"/>
        <v>#REF!</v>
      </c>
      <c r="K666" s="118" t="e">
        <f t="shared" ca="1" si="118"/>
        <v>#REF!</v>
      </c>
      <c r="L666" s="118" t="e">
        <f t="shared" ca="1" si="119"/>
        <v>#REF!</v>
      </c>
      <c r="M666" s="118" t="e">
        <f t="shared" ca="1" si="120"/>
        <v>#REF!</v>
      </c>
    </row>
    <row r="667" spans="1:13" x14ac:dyDescent="0.25">
      <c r="A667" s="119">
        <v>45120</v>
      </c>
      <c r="B667" s="119">
        <v>45120</v>
      </c>
      <c r="C667" s="118" t="e">
        <f t="shared" ca="1" si="110"/>
        <v>#REF!</v>
      </c>
      <c r="D667" s="118" t="e">
        <f t="shared" ca="1" si="111"/>
        <v>#REF!</v>
      </c>
      <c r="E667" s="118" t="e">
        <f t="shared" ca="1" si="112"/>
        <v>#REF!</v>
      </c>
      <c r="F667" s="118" t="e">
        <f t="shared" ca="1" si="113"/>
        <v>#REF!</v>
      </c>
      <c r="G667" s="118" t="e">
        <f t="shared" ca="1" si="114"/>
        <v>#REF!</v>
      </c>
      <c r="H667" s="118" t="e">
        <f t="shared" ca="1" si="115"/>
        <v>#REF!</v>
      </c>
      <c r="I667" s="118" t="e">
        <f t="shared" ca="1" si="116"/>
        <v>#REF!</v>
      </c>
      <c r="J667" s="118" t="e">
        <f t="shared" ca="1" si="117"/>
        <v>#REF!</v>
      </c>
      <c r="K667" s="118" t="e">
        <f t="shared" ca="1" si="118"/>
        <v>#REF!</v>
      </c>
      <c r="L667" s="118" t="e">
        <f t="shared" ca="1" si="119"/>
        <v>#REF!</v>
      </c>
      <c r="M667" s="118" t="e">
        <f t="shared" ca="1" si="120"/>
        <v>#REF!</v>
      </c>
    </row>
    <row r="668" spans="1:13" x14ac:dyDescent="0.25">
      <c r="A668" s="119">
        <v>45121</v>
      </c>
      <c r="B668" s="119">
        <v>45121</v>
      </c>
      <c r="C668" s="118" t="e">
        <f t="shared" ca="1" si="110"/>
        <v>#REF!</v>
      </c>
      <c r="D668" s="118" t="e">
        <f t="shared" ca="1" si="111"/>
        <v>#REF!</v>
      </c>
      <c r="E668" s="118" t="e">
        <f t="shared" ca="1" si="112"/>
        <v>#REF!</v>
      </c>
      <c r="F668" s="118" t="e">
        <f t="shared" ca="1" si="113"/>
        <v>#REF!</v>
      </c>
      <c r="G668" s="118" t="e">
        <f t="shared" ca="1" si="114"/>
        <v>#REF!</v>
      </c>
      <c r="H668" s="118" t="e">
        <f t="shared" ca="1" si="115"/>
        <v>#REF!</v>
      </c>
      <c r="I668" s="118" t="e">
        <f t="shared" ca="1" si="116"/>
        <v>#REF!</v>
      </c>
      <c r="J668" s="118" t="e">
        <f t="shared" ca="1" si="117"/>
        <v>#REF!</v>
      </c>
      <c r="K668" s="118" t="e">
        <f t="shared" ca="1" si="118"/>
        <v>#REF!</v>
      </c>
      <c r="L668" s="118" t="e">
        <f t="shared" ca="1" si="119"/>
        <v>#REF!</v>
      </c>
      <c r="M668" s="118" t="e">
        <f t="shared" ca="1" si="120"/>
        <v>#REF!</v>
      </c>
    </row>
    <row r="669" spans="1:13" x14ac:dyDescent="0.25">
      <c r="A669" s="119">
        <v>45122</v>
      </c>
      <c r="B669" s="119">
        <v>45122</v>
      </c>
      <c r="C669" s="118" t="e">
        <f t="shared" ca="1" si="110"/>
        <v>#REF!</v>
      </c>
      <c r="D669" s="118" t="e">
        <f t="shared" ca="1" si="111"/>
        <v>#REF!</v>
      </c>
      <c r="E669" s="118" t="e">
        <f t="shared" ca="1" si="112"/>
        <v>#REF!</v>
      </c>
      <c r="F669" s="118" t="e">
        <f t="shared" ca="1" si="113"/>
        <v>#REF!</v>
      </c>
      <c r="G669" s="118" t="e">
        <f t="shared" ca="1" si="114"/>
        <v>#REF!</v>
      </c>
      <c r="H669" s="118" t="e">
        <f t="shared" ca="1" si="115"/>
        <v>#REF!</v>
      </c>
      <c r="I669" s="118" t="e">
        <f t="shared" ca="1" si="116"/>
        <v>#REF!</v>
      </c>
      <c r="J669" s="118" t="e">
        <f t="shared" ca="1" si="117"/>
        <v>#REF!</v>
      </c>
      <c r="K669" s="118" t="e">
        <f t="shared" ca="1" si="118"/>
        <v>#REF!</v>
      </c>
      <c r="L669" s="118" t="e">
        <f t="shared" ca="1" si="119"/>
        <v>#REF!</v>
      </c>
      <c r="M669" s="118" t="e">
        <f t="shared" ca="1" si="120"/>
        <v>#REF!</v>
      </c>
    </row>
    <row r="670" spans="1:13" x14ac:dyDescent="0.25">
      <c r="A670" s="119">
        <v>45123</v>
      </c>
      <c r="B670" s="119">
        <v>45123</v>
      </c>
      <c r="C670" s="118" t="e">
        <f t="shared" ca="1" si="110"/>
        <v>#REF!</v>
      </c>
      <c r="D670" s="118" t="e">
        <f t="shared" ca="1" si="111"/>
        <v>#REF!</v>
      </c>
      <c r="E670" s="118" t="e">
        <f t="shared" ca="1" si="112"/>
        <v>#REF!</v>
      </c>
      <c r="F670" s="118" t="e">
        <f t="shared" ca="1" si="113"/>
        <v>#REF!</v>
      </c>
      <c r="G670" s="118" t="e">
        <f t="shared" ca="1" si="114"/>
        <v>#REF!</v>
      </c>
      <c r="H670" s="118" t="e">
        <f t="shared" ca="1" si="115"/>
        <v>#REF!</v>
      </c>
      <c r="I670" s="118" t="e">
        <f t="shared" ca="1" si="116"/>
        <v>#REF!</v>
      </c>
      <c r="J670" s="118" t="e">
        <f t="shared" ca="1" si="117"/>
        <v>#REF!</v>
      </c>
      <c r="K670" s="118" t="e">
        <f t="shared" ca="1" si="118"/>
        <v>#REF!</v>
      </c>
      <c r="L670" s="118" t="e">
        <f t="shared" ca="1" si="119"/>
        <v>#REF!</v>
      </c>
      <c r="M670" s="118" t="e">
        <f t="shared" ca="1" si="120"/>
        <v>#REF!</v>
      </c>
    </row>
    <row r="671" spans="1:13" x14ac:dyDescent="0.25">
      <c r="A671" s="119">
        <v>45124</v>
      </c>
      <c r="B671" s="119">
        <v>45124</v>
      </c>
      <c r="C671" s="118" t="e">
        <f t="shared" ca="1" si="110"/>
        <v>#REF!</v>
      </c>
      <c r="D671" s="118" t="e">
        <f t="shared" ca="1" si="111"/>
        <v>#REF!</v>
      </c>
      <c r="E671" s="118" t="e">
        <f t="shared" ca="1" si="112"/>
        <v>#REF!</v>
      </c>
      <c r="F671" s="118" t="e">
        <f t="shared" ca="1" si="113"/>
        <v>#REF!</v>
      </c>
      <c r="G671" s="118" t="e">
        <f t="shared" ca="1" si="114"/>
        <v>#REF!</v>
      </c>
      <c r="H671" s="118" t="e">
        <f t="shared" ca="1" si="115"/>
        <v>#REF!</v>
      </c>
      <c r="I671" s="118" t="e">
        <f t="shared" ca="1" si="116"/>
        <v>#REF!</v>
      </c>
      <c r="J671" s="118" t="e">
        <f t="shared" ca="1" si="117"/>
        <v>#REF!</v>
      </c>
      <c r="K671" s="118" t="e">
        <f t="shared" ca="1" si="118"/>
        <v>#REF!</v>
      </c>
      <c r="L671" s="118" t="e">
        <f t="shared" ca="1" si="119"/>
        <v>#REF!</v>
      </c>
      <c r="M671" s="118" t="e">
        <f t="shared" ca="1" si="120"/>
        <v>#REF!</v>
      </c>
    </row>
    <row r="672" spans="1:13" x14ac:dyDescent="0.25">
      <c r="A672" s="119">
        <v>45125</v>
      </c>
      <c r="B672" s="119">
        <v>45125</v>
      </c>
      <c r="C672" s="118" t="e">
        <f t="shared" ca="1" si="110"/>
        <v>#REF!</v>
      </c>
      <c r="D672" s="118" t="e">
        <f t="shared" ca="1" si="111"/>
        <v>#REF!</v>
      </c>
      <c r="E672" s="118" t="e">
        <f t="shared" ca="1" si="112"/>
        <v>#REF!</v>
      </c>
      <c r="F672" s="118" t="e">
        <f t="shared" ca="1" si="113"/>
        <v>#REF!</v>
      </c>
      <c r="G672" s="118" t="e">
        <f t="shared" ca="1" si="114"/>
        <v>#REF!</v>
      </c>
      <c r="H672" s="118" t="e">
        <f t="shared" ca="1" si="115"/>
        <v>#REF!</v>
      </c>
      <c r="I672" s="118" t="e">
        <f t="shared" ca="1" si="116"/>
        <v>#REF!</v>
      </c>
      <c r="J672" s="118" t="e">
        <f t="shared" ca="1" si="117"/>
        <v>#REF!</v>
      </c>
      <c r="K672" s="118" t="e">
        <f t="shared" ca="1" si="118"/>
        <v>#REF!</v>
      </c>
      <c r="L672" s="118" t="e">
        <f t="shared" ca="1" si="119"/>
        <v>#REF!</v>
      </c>
      <c r="M672" s="118" t="e">
        <f t="shared" ca="1" si="120"/>
        <v>#REF!</v>
      </c>
    </row>
    <row r="673" spans="1:13" x14ac:dyDescent="0.25">
      <c r="A673" s="119" t="s">
        <v>230</v>
      </c>
      <c r="B673" s="119">
        <v>45126</v>
      </c>
      <c r="C673" s="118" t="e">
        <f t="shared" ca="1" si="110"/>
        <v>#REF!</v>
      </c>
      <c r="D673" s="118" t="e">
        <f t="shared" ca="1" si="111"/>
        <v>#REF!</v>
      </c>
      <c r="E673" s="118" t="e">
        <f t="shared" ca="1" si="112"/>
        <v>#REF!</v>
      </c>
      <c r="F673" s="118" t="e">
        <f t="shared" ca="1" si="113"/>
        <v>#REF!</v>
      </c>
      <c r="G673" s="118" t="e">
        <f t="shared" ca="1" si="114"/>
        <v>#REF!</v>
      </c>
      <c r="H673" s="118" t="e">
        <f t="shared" ca="1" si="115"/>
        <v>#REF!</v>
      </c>
      <c r="I673" s="118" t="e">
        <f t="shared" ca="1" si="116"/>
        <v>#REF!</v>
      </c>
      <c r="J673" s="118" t="e">
        <f t="shared" ca="1" si="117"/>
        <v>#REF!</v>
      </c>
      <c r="K673" s="118" t="e">
        <f t="shared" ca="1" si="118"/>
        <v>#REF!</v>
      </c>
      <c r="L673" s="118" t="e">
        <f t="shared" ca="1" si="119"/>
        <v>#REF!</v>
      </c>
      <c r="M673" s="118" t="e">
        <f t="shared" ca="1" si="120"/>
        <v>#REF!</v>
      </c>
    </row>
    <row r="674" spans="1:13" x14ac:dyDescent="0.25">
      <c r="A674" s="119">
        <v>45127</v>
      </c>
      <c r="B674" s="119">
        <v>45127</v>
      </c>
      <c r="C674" s="118" t="e">
        <f t="shared" ca="1" si="110"/>
        <v>#REF!</v>
      </c>
      <c r="D674" s="118" t="e">
        <f t="shared" ca="1" si="111"/>
        <v>#REF!</v>
      </c>
      <c r="E674" s="118" t="e">
        <f t="shared" ca="1" si="112"/>
        <v>#REF!</v>
      </c>
      <c r="F674" s="118" t="e">
        <f t="shared" ca="1" si="113"/>
        <v>#REF!</v>
      </c>
      <c r="G674" s="118" t="e">
        <f t="shared" ca="1" si="114"/>
        <v>#REF!</v>
      </c>
      <c r="H674" s="118" t="e">
        <f t="shared" ca="1" si="115"/>
        <v>#REF!</v>
      </c>
      <c r="I674" s="118" t="e">
        <f t="shared" ca="1" si="116"/>
        <v>#REF!</v>
      </c>
      <c r="J674" s="118" t="e">
        <f t="shared" ca="1" si="117"/>
        <v>#REF!</v>
      </c>
      <c r="K674" s="118" t="e">
        <f t="shared" ca="1" si="118"/>
        <v>#REF!</v>
      </c>
      <c r="L674" s="118" t="e">
        <f t="shared" ca="1" si="119"/>
        <v>#REF!</v>
      </c>
      <c r="M674" s="118" t="e">
        <f t="shared" ca="1" si="120"/>
        <v>#REF!</v>
      </c>
    </row>
    <row r="675" spans="1:13" x14ac:dyDescent="0.25">
      <c r="A675" s="119">
        <v>45128</v>
      </c>
      <c r="B675" s="119">
        <v>45128</v>
      </c>
      <c r="C675" s="118" t="e">
        <f t="shared" ca="1" si="110"/>
        <v>#REF!</v>
      </c>
      <c r="D675" s="118" t="e">
        <f t="shared" ca="1" si="111"/>
        <v>#REF!</v>
      </c>
      <c r="E675" s="118" t="e">
        <f t="shared" ca="1" si="112"/>
        <v>#REF!</v>
      </c>
      <c r="F675" s="118" t="e">
        <f t="shared" ca="1" si="113"/>
        <v>#REF!</v>
      </c>
      <c r="G675" s="118" t="e">
        <f t="shared" ca="1" si="114"/>
        <v>#REF!</v>
      </c>
      <c r="H675" s="118" t="e">
        <f t="shared" ca="1" si="115"/>
        <v>#REF!</v>
      </c>
      <c r="I675" s="118" t="e">
        <f t="shared" ca="1" si="116"/>
        <v>#REF!</v>
      </c>
      <c r="J675" s="118" t="e">
        <f t="shared" ca="1" si="117"/>
        <v>#REF!</v>
      </c>
      <c r="K675" s="118" t="e">
        <f t="shared" ca="1" si="118"/>
        <v>#REF!</v>
      </c>
      <c r="L675" s="118" t="e">
        <f t="shared" ca="1" si="119"/>
        <v>#REF!</v>
      </c>
      <c r="M675" s="118" t="e">
        <f t="shared" ca="1" si="120"/>
        <v>#REF!</v>
      </c>
    </row>
    <row r="676" spans="1:13" x14ac:dyDescent="0.25">
      <c r="A676" s="119">
        <v>45129</v>
      </c>
      <c r="B676" s="119">
        <v>45129</v>
      </c>
      <c r="C676" s="118" t="e">
        <f t="shared" ca="1" si="110"/>
        <v>#REF!</v>
      </c>
      <c r="D676" s="118" t="e">
        <f t="shared" ca="1" si="111"/>
        <v>#REF!</v>
      </c>
      <c r="E676" s="118" t="e">
        <f t="shared" ca="1" si="112"/>
        <v>#REF!</v>
      </c>
      <c r="F676" s="118" t="e">
        <f t="shared" ca="1" si="113"/>
        <v>#REF!</v>
      </c>
      <c r="G676" s="118" t="e">
        <f t="shared" ca="1" si="114"/>
        <v>#REF!</v>
      </c>
      <c r="H676" s="118" t="e">
        <f t="shared" ca="1" si="115"/>
        <v>#REF!</v>
      </c>
      <c r="I676" s="118" t="e">
        <f t="shared" ca="1" si="116"/>
        <v>#REF!</v>
      </c>
      <c r="J676" s="118" t="e">
        <f t="shared" ca="1" si="117"/>
        <v>#REF!</v>
      </c>
      <c r="K676" s="118" t="e">
        <f t="shared" ca="1" si="118"/>
        <v>#REF!</v>
      </c>
      <c r="L676" s="118" t="e">
        <f t="shared" ca="1" si="119"/>
        <v>#REF!</v>
      </c>
      <c r="M676" s="118" t="e">
        <f t="shared" ca="1" si="120"/>
        <v>#REF!</v>
      </c>
    </row>
    <row r="677" spans="1:13" x14ac:dyDescent="0.25">
      <c r="A677" s="119">
        <v>45130</v>
      </c>
      <c r="B677" s="119">
        <v>45130</v>
      </c>
      <c r="C677" s="118" t="e">
        <f t="shared" ca="1" si="110"/>
        <v>#REF!</v>
      </c>
      <c r="D677" s="118" t="e">
        <f t="shared" ca="1" si="111"/>
        <v>#REF!</v>
      </c>
      <c r="E677" s="118" t="e">
        <f t="shared" ca="1" si="112"/>
        <v>#REF!</v>
      </c>
      <c r="F677" s="118" t="e">
        <f t="shared" ca="1" si="113"/>
        <v>#REF!</v>
      </c>
      <c r="G677" s="118" t="e">
        <f t="shared" ca="1" si="114"/>
        <v>#REF!</v>
      </c>
      <c r="H677" s="118" t="e">
        <f t="shared" ca="1" si="115"/>
        <v>#REF!</v>
      </c>
      <c r="I677" s="118" t="e">
        <f t="shared" ca="1" si="116"/>
        <v>#REF!</v>
      </c>
      <c r="J677" s="118" t="e">
        <f t="shared" ca="1" si="117"/>
        <v>#REF!</v>
      </c>
      <c r="K677" s="118" t="e">
        <f t="shared" ca="1" si="118"/>
        <v>#REF!</v>
      </c>
      <c r="L677" s="118" t="e">
        <f t="shared" ca="1" si="119"/>
        <v>#REF!</v>
      </c>
      <c r="M677" s="118" t="e">
        <f t="shared" ca="1" si="120"/>
        <v>#REF!</v>
      </c>
    </row>
    <row r="678" spans="1:13" x14ac:dyDescent="0.25">
      <c r="A678" s="119" t="s">
        <v>231</v>
      </c>
      <c r="B678" s="119">
        <v>45131</v>
      </c>
      <c r="C678" s="118" t="e">
        <f t="shared" ca="1" si="110"/>
        <v>#REF!</v>
      </c>
      <c r="D678" s="118" t="e">
        <f t="shared" ca="1" si="111"/>
        <v>#REF!</v>
      </c>
      <c r="E678" s="118" t="e">
        <f t="shared" ca="1" si="112"/>
        <v>#REF!</v>
      </c>
      <c r="F678" s="118" t="e">
        <f t="shared" ca="1" si="113"/>
        <v>#REF!</v>
      </c>
      <c r="G678" s="118" t="e">
        <f t="shared" ca="1" si="114"/>
        <v>#REF!</v>
      </c>
      <c r="H678" s="118" t="e">
        <f t="shared" ca="1" si="115"/>
        <v>#REF!</v>
      </c>
      <c r="I678" s="118" t="e">
        <f t="shared" ca="1" si="116"/>
        <v>#REF!</v>
      </c>
      <c r="J678" s="118" t="e">
        <f t="shared" ca="1" si="117"/>
        <v>#REF!</v>
      </c>
      <c r="K678" s="118" t="e">
        <f t="shared" ca="1" si="118"/>
        <v>#REF!</v>
      </c>
      <c r="L678" s="118" t="e">
        <f t="shared" ca="1" si="119"/>
        <v>#REF!</v>
      </c>
      <c r="M678" s="118" t="e">
        <f t="shared" ca="1" si="120"/>
        <v>#REF!</v>
      </c>
    </row>
    <row r="679" spans="1:13" x14ac:dyDescent="0.25">
      <c r="A679" s="119">
        <v>45132</v>
      </c>
      <c r="B679" s="119">
        <v>45132</v>
      </c>
      <c r="C679" s="118" t="e">
        <f t="shared" ca="1" si="110"/>
        <v>#REF!</v>
      </c>
      <c r="D679" s="118" t="e">
        <f t="shared" ca="1" si="111"/>
        <v>#REF!</v>
      </c>
      <c r="E679" s="118" t="e">
        <f t="shared" ca="1" si="112"/>
        <v>#REF!</v>
      </c>
      <c r="F679" s="118" t="e">
        <f t="shared" ca="1" si="113"/>
        <v>#REF!</v>
      </c>
      <c r="G679" s="118" t="e">
        <f t="shared" ca="1" si="114"/>
        <v>#REF!</v>
      </c>
      <c r="H679" s="118" t="e">
        <f t="shared" ca="1" si="115"/>
        <v>#REF!</v>
      </c>
      <c r="I679" s="118" t="e">
        <f t="shared" ca="1" si="116"/>
        <v>#REF!</v>
      </c>
      <c r="J679" s="118" t="e">
        <f t="shared" ca="1" si="117"/>
        <v>#REF!</v>
      </c>
      <c r="K679" s="118" t="e">
        <f t="shared" ca="1" si="118"/>
        <v>#REF!</v>
      </c>
      <c r="L679" s="118" t="e">
        <f t="shared" ca="1" si="119"/>
        <v>#REF!</v>
      </c>
      <c r="M679" s="118" t="e">
        <f t="shared" ca="1" si="120"/>
        <v>#REF!</v>
      </c>
    </row>
    <row r="680" spans="1:13" x14ac:dyDescent="0.25">
      <c r="A680" s="119">
        <v>45133</v>
      </c>
      <c r="B680" s="119">
        <v>45133</v>
      </c>
      <c r="C680" s="118" t="e">
        <f t="shared" ca="1" si="110"/>
        <v>#REF!</v>
      </c>
      <c r="D680" s="118" t="e">
        <f t="shared" ca="1" si="111"/>
        <v>#REF!</v>
      </c>
      <c r="E680" s="118" t="e">
        <f t="shared" ca="1" si="112"/>
        <v>#REF!</v>
      </c>
      <c r="F680" s="118" t="e">
        <f t="shared" ca="1" si="113"/>
        <v>#REF!</v>
      </c>
      <c r="G680" s="118" t="e">
        <f t="shared" ca="1" si="114"/>
        <v>#REF!</v>
      </c>
      <c r="H680" s="118" t="e">
        <f t="shared" ca="1" si="115"/>
        <v>#REF!</v>
      </c>
      <c r="I680" s="118" t="e">
        <f t="shared" ca="1" si="116"/>
        <v>#REF!</v>
      </c>
      <c r="J680" s="118" t="e">
        <f t="shared" ca="1" si="117"/>
        <v>#REF!</v>
      </c>
      <c r="K680" s="118" t="e">
        <f t="shared" ca="1" si="118"/>
        <v>#REF!</v>
      </c>
      <c r="L680" s="118" t="e">
        <f t="shared" ca="1" si="119"/>
        <v>#REF!</v>
      </c>
      <c r="M680" s="118" t="e">
        <f t="shared" ca="1" si="120"/>
        <v>#REF!</v>
      </c>
    </row>
    <row r="681" spans="1:13" x14ac:dyDescent="0.25">
      <c r="A681" s="119">
        <v>45134</v>
      </c>
      <c r="B681" s="119">
        <v>45134</v>
      </c>
      <c r="C681" s="118" t="e">
        <f t="shared" ca="1" si="110"/>
        <v>#REF!</v>
      </c>
      <c r="D681" s="118" t="e">
        <f t="shared" ca="1" si="111"/>
        <v>#REF!</v>
      </c>
      <c r="E681" s="118" t="e">
        <f t="shared" ca="1" si="112"/>
        <v>#REF!</v>
      </c>
      <c r="F681" s="118" t="e">
        <f t="shared" ca="1" si="113"/>
        <v>#REF!</v>
      </c>
      <c r="G681" s="118" t="e">
        <f t="shared" ca="1" si="114"/>
        <v>#REF!</v>
      </c>
      <c r="H681" s="118" t="e">
        <f t="shared" ca="1" si="115"/>
        <v>#REF!</v>
      </c>
      <c r="I681" s="118" t="e">
        <f t="shared" ca="1" si="116"/>
        <v>#REF!</v>
      </c>
      <c r="J681" s="118" t="e">
        <f t="shared" ca="1" si="117"/>
        <v>#REF!</v>
      </c>
      <c r="K681" s="118" t="e">
        <f t="shared" ca="1" si="118"/>
        <v>#REF!</v>
      </c>
      <c r="L681" s="118" t="e">
        <f t="shared" ca="1" si="119"/>
        <v>#REF!</v>
      </c>
      <c r="M681" s="118" t="e">
        <f t="shared" ca="1" si="120"/>
        <v>#REF!</v>
      </c>
    </row>
    <row r="682" spans="1:13" x14ac:dyDescent="0.25">
      <c r="A682" s="119" t="s">
        <v>279</v>
      </c>
      <c r="B682" s="119">
        <v>45135</v>
      </c>
      <c r="C682" s="118" t="e">
        <f t="shared" ca="1" si="110"/>
        <v>#REF!</v>
      </c>
      <c r="D682" s="118" t="e">
        <f t="shared" ca="1" si="111"/>
        <v>#REF!</v>
      </c>
      <c r="E682" s="118" t="e">
        <f t="shared" ca="1" si="112"/>
        <v>#REF!</v>
      </c>
      <c r="F682" s="118" t="e">
        <f t="shared" ca="1" si="113"/>
        <v>#REF!</v>
      </c>
      <c r="G682" s="118" t="e">
        <f t="shared" ca="1" si="114"/>
        <v>#REF!</v>
      </c>
      <c r="H682" s="118" t="e">
        <f t="shared" ca="1" si="115"/>
        <v>#REF!</v>
      </c>
      <c r="I682" s="118" t="e">
        <f t="shared" ca="1" si="116"/>
        <v>#REF!</v>
      </c>
      <c r="J682" s="118" t="e">
        <f t="shared" ca="1" si="117"/>
        <v>#REF!</v>
      </c>
      <c r="K682" s="118" t="e">
        <f t="shared" ca="1" si="118"/>
        <v>#REF!</v>
      </c>
      <c r="L682" s="118" t="e">
        <f t="shared" ca="1" si="119"/>
        <v>#REF!</v>
      </c>
      <c r="M682" s="118" t="e">
        <f t="shared" ca="1" si="120"/>
        <v>#REF!</v>
      </c>
    </row>
    <row r="683" spans="1:13" x14ac:dyDescent="0.25">
      <c r="A683" s="119">
        <v>45136</v>
      </c>
      <c r="B683" s="119">
        <v>45136</v>
      </c>
      <c r="C683" s="118" t="e">
        <f t="shared" ca="1" si="110"/>
        <v>#REF!</v>
      </c>
      <c r="D683" s="118" t="e">
        <f t="shared" ca="1" si="111"/>
        <v>#REF!</v>
      </c>
      <c r="E683" s="118" t="e">
        <f t="shared" ca="1" si="112"/>
        <v>#REF!</v>
      </c>
      <c r="F683" s="118" t="e">
        <f t="shared" ca="1" si="113"/>
        <v>#REF!</v>
      </c>
      <c r="G683" s="118" t="e">
        <f t="shared" ca="1" si="114"/>
        <v>#REF!</v>
      </c>
      <c r="H683" s="118" t="e">
        <f t="shared" ca="1" si="115"/>
        <v>#REF!</v>
      </c>
      <c r="I683" s="118" t="e">
        <f t="shared" ca="1" si="116"/>
        <v>#REF!</v>
      </c>
      <c r="J683" s="118" t="e">
        <f t="shared" ca="1" si="117"/>
        <v>#REF!</v>
      </c>
      <c r="K683" s="118" t="e">
        <f t="shared" ca="1" si="118"/>
        <v>#REF!</v>
      </c>
      <c r="L683" s="118" t="e">
        <f t="shared" ca="1" si="119"/>
        <v>#REF!</v>
      </c>
      <c r="M683" s="118" t="e">
        <f t="shared" ca="1" si="120"/>
        <v>#REF!</v>
      </c>
    </row>
    <row r="684" spans="1:13" x14ac:dyDescent="0.25">
      <c r="A684" s="119">
        <v>45137</v>
      </c>
      <c r="B684" s="119">
        <v>45137</v>
      </c>
      <c r="C684" s="118" t="e">
        <f t="shared" ca="1" si="110"/>
        <v>#REF!</v>
      </c>
      <c r="D684" s="118" t="e">
        <f t="shared" ca="1" si="111"/>
        <v>#REF!</v>
      </c>
      <c r="E684" s="118" t="e">
        <f t="shared" ca="1" si="112"/>
        <v>#REF!</v>
      </c>
      <c r="F684" s="118" t="e">
        <f t="shared" ca="1" si="113"/>
        <v>#REF!</v>
      </c>
      <c r="G684" s="118" t="e">
        <f t="shared" ca="1" si="114"/>
        <v>#REF!</v>
      </c>
      <c r="H684" s="118" t="e">
        <f t="shared" ca="1" si="115"/>
        <v>#REF!</v>
      </c>
      <c r="I684" s="118" t="e">
        <f t="shared" ca="1" si="116"/>
        <v>#REF!</v>
      </c>
      <c r="J684" s="118" t="e">
        <f t="shared" ca="1" si="117"/>
        <v>#REF!</v>
      </c>
      <c r="K684" s="118" t="e">
        <f t="shared" ca="1" si="118"/>
        <v>#REF!</v>
      </c>
      <c r="L684" s="118" t="e">
        <f t="shared" ca="1" si="119"/>
        <v>#REF!</v>
      </c>
      <c r="M684" s="118" t="e">
        <f t="shared" ca="1" si="120"/>
        <v>#REF!</v>
      </c>
    </row>
    <row r="685" spans="1:13" x14ac:dyDescent="0.25">
      <c r="A685" s="119" t="s">
        <v>232</v>
      </c>
      <c r="B685" s="119">
        <v>45138</v>
      </c>
      <c r="C685" s="118" t="e">
        <f t="shared" ca="1" si="110"/>
        <v>#REF!</v>
      </c>
      <c r="D685" s="118" t="e">
        <f t="shared" ca="1" si="111"/>
        <v>#REF!</v>
      </c>
      <c r="E685" s="118" t="e">
        <f t="shared" ca="1" si="112"/>
        <v>#REF!</v>
      </c>
      <c r="F685" s="118" t="e">
        <f t="shared" ca="1" si="113"/>
        <v>#REF!</v>
      </c>
      <c r="G685" s="118" t="e">
        <f t="shared" ca="1" si="114"/>
        <v>#REF!</v>
      </c>
      <c r="H685" s="118" t="e">
        <f t="shared" ca="1" si="115"/>
        <v>#REF!</v>
      </c>
      <c r="I685" s="118" t="e">
        <f t="shared" ca="1" si="116"/>
        <v>#REF!</v>
      </c>
      <c r="J685" s="118" t="e">
        <f t="shared" ca="1" si="117"/>
        <v>#REF!</v>
      </c>
      <c r="K685" s="118" t="e">
        <f t="shared" ca="1" si="118"/>
        <v>#REF!</v>
      </c>
      <c r="L685" s="118" t="e">
        <f t="shared" ca="1" si="119"/>
        <v>#REF!</v>
      </c>
      <c r="M685" s="118" t="e">
        <f t="shared" ca="1" si="120"/>
        <v>#REF!</v>
      </c>
    </row>
    <row r="686" spans="1:13" x14ac:dyDescent="0.25">
      <c r="A686" s="119">
        <v>45139</v>
      </c>
      <c r="B686" s="119">
        <v>45139</v>
      </c>
      <c r="C686" s="118" t="e">
        <f t="shared" ca="1" si="110"/>
        <v>#REF!</v>
      </c>
      <c r="D686" s="118" t="e">
        <f t="shared" ca="1" si="111"/>
        <v>#REF!</v>
      </c>
      <c r="E686" s="118" t="e">
        <f t="shared" ca="1" si="112"/>
        <v>#REF!</v>
      </c>
      <c r="F686" s="118" t="e">
        <f t="shared" ca="1" si="113"/>
        <v>#REF!</v>
      </c>
      <c r="G686" s="118" t="e">
        <f t="shared" ca="1" si="114"/>
        <v>#REF!</v>
      </c>
      <c r="H686" s="118" t="e">
        <f t="shared" ca="1" si="115"/>
        <v>#REF!</v>
      </c>
      <c r="I686" s="118" t="e">
        <f t="shared" ca="1" si="116"/>
        <v>#REF!</v>
      </c>
      <c r="J686" s="118" t="e">
        <f t="shared" ca="1" si="117"/>
        <v>#REF!</v>
      </c>
      <c r="K686" s="118" t="e">
        <f t="shared" ca="1" si="118"/>
        <v>#REF!</v>
      </c>
      <c r="L686" s="118" t="e">
        <f t="shared" ca="1" si="119"/>
        <v>#REF!</v>
      </c>
      <c r="M686" s="118" t="e">
        <f t="shared" ca="1" si="120"/>
        <v>#REF!</v>
      </c>
    </row>
    <row r="687" spans="1:13" x14ac:dyDescent="0.25">
      <c r="A687" s="119">
        <v>45140</v>
      </c>
      <c r="B687" s="119">
        <v>45140</v>
      </c>
      <c r="C687" s="118" t="e">
        <f t="shared" ca="1" si="110"/>
        <v>#REF!</v>
      </c>
      <c r="D687" s="118" t="e">
        <f t="shared" ca="1" si="111"/>
        <v>#REF!</v>
      </c>
      <c r="E687" s="118" t="e">
        <f t="shared" ca="1" si="112"/>
        <v>#REF!</v>
      </c>
      <c r="F687" s="118" t="e">
        <f t="shared" ca="1" si="113"/>
        <v>#REF!</v>
      </c>
      <c r="G687" s="118" t="e">
        <f t="shared" ca="1" si="114"/>
        <v>#REF!</v>
      </c>
      <c r="H687" s="118" t="e">
        <f t="shared" ca="1" si="115"/>
        <v>#REF!</v>
      </c>
      <c r="I687" s="118" t="e">
        <f t="shared" ca="1" si="116"/>
        <v>#REF!</v>
      </c>
      <c r="J687" s="118" t="e">
        <f t="shared" ca="1" si="117"/>
        <v>#REF!</v>
      </c>
      <c r="K687" s="118" t="e">
        <f t="shared" ca="1" si="118"/>
        <v>#REF!</v>
      </c>
      <c r="L687" s="118" t="e">
        <f t="shared" ca="1" si="119"/>
        <v>#REF!</v>
      </c>
      <c r="M687" s="118" t="e">
        <f t="shared" ca="1" si="120"/>
        <v>#REF!</v>
      </c>
    </row>
    <row r="688" spans="1:13" x14ac:dyDescent="0.25">
      <c r="A688" s="119">
        <v>45141</v>
      </c>
      <c r="B688" s="119">
        <v>45141</v>
      </c>
      <c r="C688" s="118" t="e">
        <f t="shared" ca="1" si="110"/>
        <v>#REF!</v>
      </c>
      <c r="D688" s="118" t="e">
        <f t="shared" ca="1" si="111"/>
        <v>#REF!</v>
      </c>
      <c r="E688" s="118" t="e">
        <f t="shared" ca="1" si="112"/>
        <v>#REF!</v>
      </c>
      <c r="F688" s="118" t="e">
        <f t="shared" ca="1" si="113"/>
        <v>#REF!</v>
      </c>
      <c r="G688" s="118" t="e">
        <f t="shared" ca="1" si="114"/>
        <v>#REF!</v>
      </c>
      <c r="H688" s="118" t="e">
        <f t="shared" ca="1" si="115"/>
        <v>#REF!</v>
      </c>
      <c r="I688" s="118" t="e">
        <f t="shared" ca="1" si="116"/>
        <v>#REF!</v>
      </c>
      <c r="J688" s="118" t="e">
        <f t="shared" ca="1" si="117"/>
        <v>#REF!</v>
      </c>
      <c r="K688" s="118" t="e">
        <f t="shared" ca="1" si="118"/>
        <v>#REF!</v>
      </c>
      <c r="L688" s="118" t="e">
        <f t="shared" ca="1" si="119"/>
        <v>#REF!</v>
      </c>
      <c r="M688" s="118" t="e">
        <f t="shared" ca="1" si="120"/>
        <v>#REF!</v>
      </c>
    </row>
    <row r="689" spans="1:13" x14ac:dyDescent="0.25">
      <c r="A689" s="119">
        <v>45142</v>
      </c>
      <c r="B689" s="119">
        <v>45142</v>
      </c>
      <c r="C689" s="118" t="e">
        <f t="shared" ca="1" si="110"/>
        <v>#REF!</v>
      </c>
      <c r="D689" s="118" t="e">
        <f t="shared" ca="1" si="111"/>
        <v>#REF!</v>
      </c>
      <c r="E689" s="118" t="e">
        <f t="shared" ca="1" si="112"/>
        <v>#REF!</v>
      </c>
      <c r="F689" s="118" t="e">
        <f t="shared" ca="1" si="113"/>
        <v>#REF!</v>
      </c>
      <c r="G689" s="118" t="e">
        <f t="shared" ca="1" si="114"/>
        <v>#REF!</v>
      </c>
      <c r="H689" s="118" t="e">
        <f t="shared" ca="1" si="115"/>
        <v>#REF!</v>
      </c>
      <c r="I689" s="118" t="e">
        <f t="shared" ca="1" si="116"/>
        <v>#REF!</v>
      </c>
      <c r="J689" s="118" t="e">
        <f t="shared" ca="1" si="117"/>
        <v>#REF!</v>
      </c>
      <c r="K689" s="118" t="e">
        <f t="shared" ca="1" si="118"/>
        <v>#REF!</v>
      </c>
      <c r="L689" s="118" t="e">
        <f t="shared" ca="1" si="119"/>
        <v>#REF!</v>
      </c>
      <c r="M689" s="118" t="e">
        <f t="shared" ca="1" si="120"/>
        <v>#REF!</v>
      </c>
    </row>
    <row r="690" spans="1:13" x14ac:dyDescent="0.25">
      <c r="A690" s="119">
        <v>45143</v>
      </c>
      <c r="B690" s="119">
        <v>45143</v>
      </c>
      <c r="C690" s="118" t="e">
        <f t="shared" ca="1" si="110"/>
        <v>#REF!</v>
      </c>
      <c r="D690" s="118" t="e">
        <f t="shared" ca="1" si="111"/>
        <v>#REF!</v>
      </c>
      <c r="E690" s="118" t="e">
        <f t="shared" ca="1" si="112"/>
        <v>#REF!</v>
      </c>
      <c r="F690" s="118" t="e">
        <f t="shared" ca="1" si="113"/>
        <v>#REF!</v>
      </c>
      <c r="G690" s="118" t="e">
        <f t="shared" ca="1" si="114"/>
        <v>#REF!</v>
      </c>
      <c r="H690" s="118" t="e">
        <f t="shared" ca="1" si="115"/>
        <v>#REF!</v>
      </c>
      <c r="I690" s="118" t="e">
        <f t="shared" ca="1" si="116"/>
        <v>#REF!</v>
      </c>
      <c r="J690" s="118" t="e">
        <f t="shared" ca="1" si="117"/>
        <v>#REF!</v>
      </c>
      <c r="K690" s="118" t="e">
        <f t="shared" ca="1" si="118"/>
        <v>#REF!</v>
      </c>
      <c r="L690" s="118" t="e">
        <f t="shared" ca="1" si="119"/>
        <v>#REF!</v>
      </c>
      <c r="M690" s="118" t="e">
        <f t="shared" ca="1" si="120"/>
        <v>#REF!</v>
      </c>
    </row>
    <row r="691" spans="1:13" x14ac:dyDescent="0.25">
      <c r="A691" s="119">
        <v>45144</v>
      </c>
      <c r="B691" s="119">
        <v>45144</v>
      </c>
      <c r="C691" s="118" t="e">
        <f t="shared" ca="1" si="110"/>
        <v>#REF!</v>
      </c>
      <c r="D691" s="118" t="e">
        <f t="shared" ca="1" si="111"/>
        <v>#REF!</v>
      </c>
      <c r="E691" s="118" t="e">
        <f t="shared" ca="1" si="112"/>
        <v>#REF!</v>
      </c>
      <c r="F691" s="118" t="e">
        <f t="shared" ca="1" si="113"/>
        <v>#REF!</v>
      </c>
      <c r="G691" s="118" t="e">
        <f t="shared" ca="1" si="114"/>
        <v>#REF!</v>
      </c>
      <c r="H691" s="118" t="e">
        <f t="shared" ca="1" si="115"/>
        <v>#REF!</v>
      </c>
      <c r="I691" s="118" t="e">
        <f t="shared" ca="1" si="116"/>
        <v>#REF!</v>
      </c>
      <c r="J691" s="118" t="e">
        <f t="shared" ca="1" si="117"/>
        <v>#REF!</v>
      </c>
      <c r="K691" s="118" t="e">
        <f t="shared" ca="1" si="118"/>
        <v>#REF!</v>
      </c>
      <c r="L691" s="118" t="e">
        <f t="shared" ca="1" si="119"/>
        <v>#REF!</v>
      </c>
      <c r="M691" s="118" t="e">
        <f t="shared" ca="1" si="120"/>
        <v>#REF!</v>
      </c>
    </row>
    <row r="692" spans="1:13" x14ac:dyDescent="0.25">
      <c r="A692" s="119">
        <v>45145</v>
      </c>
      <c r="B692" s="119">
        <v>45145</v>
      </c>
      <c r="C692" s="118" t="e">
        <f t="shared" ca="1" si="110"/>
        <v>#REF!</v>
      </c>
      <c r="D692" s="118" t="e">
        <f t="shared" ca="1" si="111"/>
        <v>#REF!</v>
      </c>
      <c r="E692" s="118" t="e">
        <f t="shared" ca="1" si="112"/>
        <v>#REF!</v>
      </c>
      <c r="F692" s="118" t="e">
        <f t="shared" ca="1" si="113"/>
        <v>#REF!</v>
      </c>
      <c r="G692" s="118" t="e">
        <f t="shared" ca="1" si="114"/>
        <v>#REF!</v>
      </c>
      <c r="H692" s="118" t="e">
        <f t="shared" ca="1" si="115"/>
        <v>#REF!</v>
      </c>
      <c r="I692" s="118" t="e">
        <f t="shared" ca="1" si="116"/>
        <v>#REF!</v>
      </c>
      <c r="J692" s="118" t="e">
        <f t="shared" ca="1" si="117"/>
        <v>#REF!</v>
      </c>
      <c r="K692" s="118" t="e">
        <f t="shared" ca="1" si="118"/>
        <v>#REF!</v>
      </c>
      <c r="L692" s="118" t="e">
        <f t="shared" ca="1" si="119"/>
        <v>#REF!</v>
      </c>
      <c r="M692" s="118" t="e">
        <f t="shared" ca="1" si="120"/>
        <v>#REF!</v>
      </c>
    </row>
    <row r="693" spans="1:13" x14ac:dyDescent="0.25">
      <c r="A693" s="119">
        <v>45146</v>
      </c>
      <c r="B693" s="119">
        <v>45146</v>
      </c>
      <c r="C693" s="118" t="e">
        <f t="shared" ca="1" si="110"/>
        <v>#REF!</v>
      </c>
      <c r="D693" s="118" t="e">
        <f t="shared" ca="1" si="111"/>
        <v>#REF!</v>
      </c>
      <c r="E693" s="118" t="e">
        <f t="shared" ca="1" si="112"/>
        <v>#REF!</v>
      </c>
      <c r="F693" s="118" t="e">
        <f t="shared" ca="1" si="113"/>
        <v>#REF!</v>
      </c>
      <c r="G693" s="118" t="e">
        <f t="shared" ca="1" si="114"/>
        <v>#REF!</v>
      </c>
      <c r="H693" s="118" t="e">
        <f t="shared" ca="1" si="115"/>
        <v>#REF!</v>
      </c>
      <c r="I693" s="118" t="e">
        <f t="shared" ca="1" si="116"/>
        <v>#REF!</v>
      </c>
      <c r="J693" s="118" t="e">
        <f t="shared" ca="1" si="117"/>
        <v>#REF!</v>
      </c>
      <c r="K693" s="118" t="e">
        <f t="shared" ca="1" si="118"/>
        <v>#REF!</v>
      </c>
      <c r="L693" s="118" t="e">
        <f t="shared" ca="1" si="119"/>
        <v>#REF!</v>
      </c>
      <c r="M693" s="118" t="e">
        <f t="shared" ca="1" si="120"/>
        <v>#REF!</v>
      </c>
    </row>
    <row r="694" spans="1:13" x14ac:dyDescent="0.25">
      <c r="A694" s="119">
        <v>45147</v>
      </c>
      <c r="B694" s="119">
        <v>45147</v>
      </c>
      <c r="C694" s="118" t="e">
        <f t="shared" ca="1" si="110"/>
        <v>#REF!</v>
      </c>
      <c r="D694" s="118" t="e">
        <f t="shared" ca="1" si="111"/>
        <v>#REF!</v>
      </c>
      <c r="E694" s="118" t="e">
        <f t="shared" ca="1" si="112"/>
        <v>#REF!</v>
      </c>
      <c r="F694" s="118" t="e">
        <f t="shared" ca="1" si="113"/>
        <v>#REF!</v>
      </c>
      <c r="G694" s="118" t="e">
        <f t="shared" ca="1" si="114"/>
        <v>#REF!</v>
      </c>
      <c r="H694" s="118" t="e">
        <f t="shared" ca="1" si="115"/>
        <v>#REF!</v>
      </c>
      <c r="I694" s="118" t="e">
        <f t="shared" ca="1" si="116"/>
        <v>#REF!</v>
      </c>
      <c r="J694" s="118" t="e">
        <f t="shared" ca="1" si="117"/>
        <v>#REF!</v>
      </c>
      <c r="K694" s="118" t="e">
        <f t="shared" ca="1" si="118"/>
        <v>#REF!</v>
      </c>
      <c r="L694" s="118" t="e">
        <f t="shared" ca="1" si="119"/>
        <v>#REF!</v>
      </c>
      <c r="M694" s="118" t="e">
        <f t="shared" ca="1" si="120"/>
        <v>#REF!</v>
      </c>
    </row>
    <row r="695" spans="1:13" x14ac:dyDescent="0.25">
      <c r="A695" s="119">
        <v>45148</v>
      </c>
      <c r="B695" s="119">
        <v>45148</v>
      </c>
      <c r="C695" s="118" t="e">
        <f t="shared" ca="1" si="110"/>
        <v>#REF!</v>
      </c>
      <c r="D695" s="118" t="e">
        <f t="shared" ca="1" si="111"/>
        <v>#REF!</v>
      </c>
      <c r="E695" s="118" t="e">
        <f t="shared" ca="1" si="112"/>
        <v>#REF!</v>
      </c>
      <c r="F695" s="118" t="e">
        <f t="shared" ca="1" si="113"/>
        <v>#REF!</v>
      </c>
      <c r="G695" s="118" t="e">
        <f t="shared" ca="1" si="114"/>
        <v>#REF!</v>
      </c>
      <c r="H695" s="118" t="e">
        <f t="shared" ca="1" si="115"/>
        <v>#REF!</v>
      </c>
      <c r="I695" s="118" t="e">
        <f t="shared" ca="1" si="116"/>
        <v>#REF!</v>
      </c>
      <c r="J695" s="118" t="e">
        <f t="shared" ca="1" si="117"/>
        <v>#REF!</v>
      </c>
      <c r="K695" s="118" t="e">
        <f t="shared" ca="1" si="118"/>
        <v>#REF!</v>
      </c>
      <c r="L695" s="118" t="e">
        <f t="shared" ca="1" si="119"/>
        <v>#REF!</v>
      </c>
      <c r="M695" s="118" t="e">
        <f t="shared" ca="1" si="120"/>
        <v>#REF!</v>
      </c>
    </row>
    <row r="696" spans="1:13" x14ac:dyDescent="0.25">
      <c r="A696" s="119">
        <v>45149</v>
      </c>
      <c r="B696" s="119">
        <v>45149</v>
      </c>
      <c r="C696" s="118" t="e">
        <f t="shared" ca="1" si="110"/>
        <v>#REF!</v>
      </c>
      <c r="D696" s="118" t="e">
        <f t="shared" ca="1" si="111"/>
        <v>#REF!</v>
      </c>
      <c r="E696" s="118" t="e">
        <f t="shared" ca="1" si="112"/>
        <v>#REF!</v>
      </c>
      <c r="F696" s="118" t="e">
        <f t="shared" ca="1" si="113"/>
        <v>#REF!</v>
      </c>
      <c r="G696" s="118" t="e">
        <f t="shared" ca="1" si="114"/>
        <v>#REF!</v>
      </c>
      <c r="H696" s="118" t="e">
        <f t="shared" ca="1" si="115"/>
        <v>#REF!</v>
      </c>
      <c r="I696" s="118" t="e">
        <f t="shared" ca="1" si="116"/>
        <v>#REF!</v>
      </c>
      <c r="J696" s="118" t="e">
        <f t="shared" ca="1" si="117"/>
        <v>#REF!</v>
      </c>
      <c r="K696" s="118" t="e">
        <f t="shared" ca="1" si="118"/>
        <v>#REF!</v>
      </c>
      <c r="L696" s="118" t="e">
        <f t="shared" ca="1" si="119"/>
        <v>#REF!</v>
      </c>
      <c r="M696" s="118" t="e">
        <f t="shared" ca="1" si="120"/>
        <v>#REF!</v>
      </c>
    </row>
    <row r="697" spans="1:13" x14ac:dyDescent="0.25">
      <c r="A697" s="119">
        <v>45150</v>
      </c>
      <c r="B697" s="119">
        <v>45150</v>
      </c>
      <c r="C697" s="118" t="e">
        <f t="shared" ca="1" si="110"/>
        <v>#REF!</v>
      </c>
      <c r="D697" s="118" t="e">
        <f t="shared" ca="1" si="111"/>
        <v>#REF!</v>
      </c>
      <c r="E697" s="118" t="e">
        <f t="shared" ca="1" si="112"/>
        <v>#REF!</v>
      </c>
      <c r="F697" s="118" t="e">
        <f t="shared" ca="1" si="113"/>
        <v>#REF!</v>
      </c>
      <c r="G697" s="118" t="e">
        <f t="shared" ca="1" si="114"/>
        <v>#REF!</v>
      </c>
      <c r="H697" s="118" t="e">
        <f t="shared" ca="1" si="115"/>
        <v>#REF!</v>
      </c>
      <c r="I697" s="118" t="e">
        <f t="shared" ca="1" si="116"/>
        <v>#REF!</v>
      </c>
      <c r="J697" s="118" t="e">
        <f t="shared" ca="1" si="117"/>
        <v>#REF!</v>
      </c>
      <c r="K697" s="118" t="e">
        <f t="shared" ca="1" si="118"/>
        <v>#REF!</v>
      </c>
      <c r="L697" s="118" t="e">
        <f t="shared" ca="1" si="119"/>
        <v>#REF!</v>
      </c>
      <c r="M697" s="118" t="e">
        <f t="shared" ca="1" si="120"/>
        <v>#REF!</v>
      </c>
    </row>
    <row r="698" spans="1:13" x14ac:dyDescent="0.25">
      <c r="A698" s="119">
        <v>45151</v>
      </c>
      <c r="B698" s="119">
        <v>45151</v>
      </c>
      <c r="C698" s="118" t="e">
        <f t="shared" ca="1" si="110"/>
        <v>#REF!</v>
      </c>
      <c r="D698" s="118" t="e">
        <f t="shared" ca="1" si="111"/>
        <v>#REF!</v>
      </c>
      <c r="E698" s="118" t="e">
        <f t="shared" ca="1" si="112"/>
        <v>#REF!</v>
      </c>
      <c r="F698" s="118" t="e">
        <f t="shared" ca="1" si="113"/>
        <v>#REF!</v>
      </c>
      <c r="G698" s="118" t="e">
        <f t="shared" ca="1" si="114"/>
        <v>#REF!</v>
      </c>
      <c r="H698" s="118" t="e">
        <f t="shared" ca="1" si="115"/>
        <v>#REF!</v>
      </c>
      <c r="I698" s="118" t="e">
        <f t="shared" ca="1" si="116"/>
        <v>#REF!</v>
      </c>
      <c r="J698" s="118" t="e">
        <f t="shared" ca="1" si="117"/>
        <v>#REF!</v>
      </c>
      <c r="K698" s="118" t="e">
        <f t="shared" ca="1" si="118"/>
        <v>#REF!</v>
      </c>
      <c r="L698" s="118" t="e">
        <f t="shared" ca="1" si="119"/>
        <v>#REF!</v>
      </c>
      <c r="M698" s="118" t="e">
        <f t="shared" ca="1" si="120"/>
        <v>#REF!</v>
      </c>
    </row>
    <row r="699" spans="1:13" x14ac:dyDescent="0.25">
      <c r="A699" s="119">
        <v>45152</v>
      </c>
      <c r="B699" s="119">
        <v>45152</v>
      </c>
      <c r="C699" s="118" t="e">
        <f t="shared" ca="1" si="110"/>
        <v>#REF!</v>
      </c>
      <c r="D699" s="118" t="e">
        <f t="shared" ca="1" si="111"/>
        <v>#REF!</v>
      </c>
      <c r="E699" s="118" t="e">
        <f t="shared" ca="1" si="112"/>
        <v>#REF!</v>
      </c>
      <c r="F699" s="118" t="e">
        <f t="shared" ca="1" si="113"/>
        <v>#REF!</v>
      </c>
      <c r="G699" s="118" t="e">
        <f t="shared" ca="1" si="114"/>
        <v>#REF!</v>
      </c>
      <c r="H699" s="118" t="e">
        <f t="shared" ca="1" si="115"/>
        <v>#REF!</v>
      </c>
      <c r="I699" s="118" t="e">
        <f t="shared" ca="1" si="116"/>
        <v>#REF!</v>
      </c>
      <c r="J699" s="118" t="e">
        <f t="shared" ca="1" si="117"/>
        <v>#REF!</v>
      </c>
      <c r="K699" s="118" t="e">
        <f t="shared" ca="1" si="118"/>
        <v>#REF!</v>
      </c>
      <c r="L699" s="118" t="e">
        <f t="shared" ca="1" si="119"/>
        <v>#REF!</v>
      </c>
      <c r="M699" s="118" t="e">
        <f t="shared" ca="1" si="120"/>
        <v>#REF!</v>
      </c>
    </row>
    <row r="700" spans="1:13" x14ac:dyDescent="0.25">
      <c r="A700" s="119">
        <v>45153</v>
      </c>
      <c r="B700" s="119">
        <v>45153</v>
      </c>
      <c r="C700" s="118" t="e">
        <f t="shared" ca="1" si="110"/>
        <v>#REF!</v>
      </c>
      <c r="D700" s="118" t="e">
        <f t="shared" ca="1" si="111"/>
        <v>#REF!</v>
      </c>
      <c r="E700" s="118" t="e">
        <f t="shared" ca="1" si="112"/>
        <v>#REF!</v>
      </c>
      <c r="F700" s="118" t="e">
        <f t="shared" ca="1" si="113"/>
        <v>#REF!</v>
      </c>
      <c r="G700" s="118" t="e">
        <f t="shared" ca="1" si="114"/>
        <v>#REF!</v>
      </c>
      <c r="H700" s="118" t="e">
        <f t="shared" ca="1" si="115"/>
        <v>#REF!</v>
      </c>
      <c r="I700" s="118" t="e">
        <f t="shared" ca="1" si="116"/>
        <v>#REF!</v>
      </c>
      <c r="J700" s="118" t="e">
        <f t="shared" ca="1" si="117"/>
        <v>#REF!</v>
      </c>
      <c r="K700" s="118" t="e">
        <f t="shared" ca="1" si="118"/>
        <v>#REF!</v>
      </c>
      <c r="L700" s="118" t="e">
        <f t="shared" ca="1" si="119"/>
        <v>#REF!</v>
      </c>
      <c r="M700" s="118" t="e">
        <f t="shared" ca="1" si="120"/>
        <v>#REF!</v>
      </c>
    </row>
    <row r="701" spans="1:13" x14ac:dyDescent="0.25">
      <c r="A701" s="119">
        <v>45154</v>
      </c>
      <c r="B701" s="119">
        <v>45154</v>
      </c>
      <c r="C701" s="118" t="e">
        <f t="shared" ca="1" si="110"/>
        <v>#REF!</v>
      </c>
      <c r="D701" s="118" t="e">
        <f t="shared" ca="1" si="111"/>
        <v>#REF!</v>
      </c>
      <c r="E701" s="118" t="e">
        <f t="shared" ca="1" si="112"/>
        <v>#REF!</v>
      </c>
      <c r="F701" s="118" t="e">
        <f t="shared" ca="1" si="113"/>
        <v>#REF!</v>
      </c>
      <c r="G701" s="118" t="e">
        <f t="shared" ca="1" si="114"/>
        <v>#REF!</v>
      </c>
      <c r="H701" s="118" t="e">
        <f t="shared" ca="1" si="115"/>
        <v>#REF!</v>
      </c>
      <c r="I701" s="118" t="e">
        <f t="shared" ca="1" si="116"/>
        <v>#REF!</v>
      </c>
      <c r="J701" s="118" t="e">
        <f t="shared" ca="1" si="117"/>
        <v>#REF!</v>
      </c>
      <c r="K701" s="118" t="e">
        <f t="shared" ca="1" si="118"/>
        <v>#REF!</v>
      </c>
      <c r="L701" s="118" t="e">
        <f t="shared" ca="1" si="119"/>
        <v>#REF!</v>
      </c>
      <c r="M701" s="118" t="e">
        <f t="shared" ca="1" si="120"/>
        <v>#REF!</v>
      </c>
    </row>
    <row r="702" spans="1:13" x14ac:dyDescent="0.25">
      <c r="A702" s="119">
        <v>45155</v>
      </c>
      <c r="B702" s="119">
        <v>45155</v>
      </c>
      <c r="C702" s="118" t="e">
        <f t="shared" ca="1" si="110"/>
        <v>#REF!</v>
      </c>
      <c r="D702" s="118" t="e">
        <f t="shared" ca="1" si="111"/>
        <v>#REF!</v>
      </c>
      <c r="E702" s="118" t="e">
        <f t="shared" ca="1" si="112"/>
        <v>#REF!</v>
      </c>
      <c r="F702" s="118" t="e">
        <f t="shared" ca="1" si="113"/>
        <v>#REF!</v>
      </c>
      <c r="G702" s="118" t="e">
        <f t="shared" ca="1" si="114"/>
        <v>#REF!</v>
      </c>
      <c r="H702" s="118" t="e">
        <f t="shared" ca="1" si="115"/>
        <v>#REF!</v>
      </c>
      <c r="I702" s="118" t="e">
        <f t="shared" ca="1" si="116"/>
        <v>#REF!</v>
      </c>
      <c r="J702" s="118" t="e">
        <f t="shared" ca="1" si="117"/>
        <v>#REF!</v>
      </c>
      <c r="K702" s="118" t="e">
        <f t="shared" ca="1" si="118"/>
        <v>#REF!</v>
      </c>
      <c r="L702" s="118" t="e">
        <f t="shared" ca="1" si="119"/>
        <v>#REF!</v>
      </c>
      <c r="M702" s="118" t="e">
        <f t="shared" ca="1" si="120"/>
        <v>#REF!</v>
      </c>
    </row>
    <row r="703" spans="1:13" x14ac:dyDescent="0.25">
      <c r="A703" s="119" t="s">
        <v>280</v>
      </c>
      <c r="B703" s="119">
        <v>45156</v>
      </c>
      <c r="C703" s="118" t="e">
        <f t="shared" ca="1" si="110"/>
        <v>#REF!</v>
      </c>
      <c r="D703" s="118" t="e">
        <f t="shared" ca="1" si="111"/>
        <v>#REF!</v>
      </c>
      <c r="E703" s="118" t="e">
        <f t="shared" ca="1" si="112"/>
        <v>#REF!</v>
      </c>
      <c r="F703" s="118" t="e">
        <f t="shared" ca="1" si="113"/>
        <v>#REF!</v>
      </c>
      <c r="G703" s="118" t="e">
        <f t="shared" ca="1" si="114"/>
        <v>#REF!</v>
      </c>
      <c r="H703" s="118" t="e">
        <f t="shared" ca="1" si="115"/>
        <v>#REF!</v>
      </c>
      <c r="I703" s="118" t="e">
        <f t="shared" ca="1" si="116"/>
        <v>#REF!</v>
      </c>
      <c r="J703" s="118" t="e">
        <f t="shared" ca="1" si="117"/>
        <v>#REF!</v>
      </c>
      <c r="K703" s="118" t="e">
        <f t="shared" ca="1" si="118"/>
        <v>#REF!</v>
      </c>
      <c r="L703" s="118" t="e">
        <f t="shared" ca="1" si="119"/>
        <v>#REF!</v>
      </c>
      <c r="M703" s="118" t="e">
        <f t="shared" ca="1" si="120"/>
        <v>#REF!</v>
      </c>
    </row>
    <row r="704" spans="1:13" x14ac:dyDescent="0.25">
      <c r="A704" s="119">
        <v>45157</v>
      </c>
      <c r="B704" s="119">
        <v>45157</v>
      </c>
      <c r="C704" s="118" t="e">
        <f t="shared" ca="1" si="110"/>
        <v>#REF!</v>
      </c>
      <c r="D704" s="118" t="e">
        <f t="shared" ca="1" si="111"/>
        <v>#REF!</v>
      </c>
      <c r="E704" s="118" t="e">
        <f t="shared" ca="1" si="112"/>
        <v>#REF!</v>
      </c>
      <c r="F704" s="118" t="e">
        <f t="shared" ca="1" si="113"/>
        <v>#REF!</v>
      </c>
      <c r="G704" s="118" t="e">
        <f t="shared" ca="1" si="114"/>
        <v>#REF!</v>
      </c>
      <c r="H704" s="118" t="e">
        <f t="shared" ca="1" si="115"/>
        <v>#REF!</v>
      </c>
      <c r="I704" s="118" t="e">
        <f t="shared" ca="1" si="116"/>
        <v>#REF!</v>
      </c>
      <c r="J704" s="118" t="e">
        <f t="shared" ca="1" si="117"/>
        <v>#REF!</v>
      </c>
      <c r="K704" s="118" t="e">
        <f t="shared" ca="1" si="118"/>
        <v>#REF!</v>
      </c>
      <c r="L704" s="118" t="e">
        <f t="shared" ca="1" si="119"/>
        <v>#REF!</v>
      </c>
      <c r="M704" s="118" t="e">
        <f t="shared" ca="1" si="120"/>
        <v>#REF!</v>
      </c>
    </row>
    <row r="705" spans="1:13" x14ac:dyDescent="0.25">
      <c r="A705" s="119">
        <v>45158</v>
      </c>
      <c r="B705" s="119">
        <v>45158</v>
      </c>
      <c r="C705" s="118" t="e">
        <f t="shared" ca="1" si="110"/>
        <v>#REF!</v>
      </c>
      <c r="D705" s="118" t="e">
        <f t="shared" ca="1" si="111"/>
        <v>#REF!</v>
      </c>
      <c r="E705" s="118" t="e">
        <f t="shared" ca="1" si="112"/>
        <v>#REF!</v>
      </c>
      <c r="F705" s="118" t="e">
        <f t="shared" ca="1" si="113"/>
        <v>#REF!</v>
      </c>
      <c r="G705" s="118" t="e">
        <f t="shared" ca="1" si="114"/>
        <v>#REF!</v>
      </c>
      <c r="H705" s="118" t="e">
        <f t="shared" ca="1" si="115"/>
        <v>#REF!</v>
      </c>
      <c r="I705" s="118" t="e">
        <f t="shared" ca="1" si="116"/>
        <v>#REF!</v>
      </c>
      <c r="J705" s="118" t="e">
        <f t="shared" ca="1" si="117"/>
        <v>#REF!</v>
      </c>
      <c r="K705" s="118" t="e">
        <f t="shared" ca="1" si="118"/>
        <v>#REF!</v>
      </c>
      <c r="L705" s="118" t="e">
        <f t="shared" ca="1" si="119"/>
        <v>#REF!</v>
      </c>
      <c r="M705" s="118" t="e">
        <f t="shared" ca="1" si="120"/>
        <v>#REF!</v>
      </c>
    </row>
    <row r="706" spans="1:13" x14ac:dyDescent="0.25">
      <c r="A706" s="119">
        <v>45159</v>
      </c>
      <c r="B706" s="119">
        <v>45159</v>
      </c>
      <c r="C706" s="118" t="e">
        <f t="shared" ca="1" si="110"/>
        <v>#REF!</v>
      </c>
      <c r="D706" s="118" t="e">
        <f t="shared" ca="1" si="111"/>
        <v>#REF!</v>
      </c>
      <c r="E706" s="118" t="e">
        <f t="shared" ca="1" si="112"/>
        <v>#REF!</v>
      </c>
      <c r="F706" s="118" t="e">
        <f t="shared" ca="1" si="113"/>
        <v>#REF!</v>
      </c>
      <c r="G706" s="118" t="e">
        <f t="shared" ca="1" si="114"/>
        <v>#REF!</v>
      </c>
      <c r="H706" s="118" t="e">
        <f t="shared" ca="1" si="115"/>
        <v>#REF!</v>
      </c>
      <c r="I706" s="118" t="e">
        <f t="shared" ca="1" si="116"/>
        <v>#REF!</v>
      </c>
      <c r="J706" s="118" t="e">
        <f t="shared" ca="1" si="117"/>
        <v>#REF!</v>
      </c>
      <c r="K706" s="118" t="e">
        <f t="shared" ca="1" si="118"/>
        <v>#REF!</v>
      </c>
      <c r="L706" s="118" t="e">
        <f t="shared" ca="1" si="119"/>
        <v>#REF!</v>
      </c>
      <c r="M706" s="118" t="e">
        <f t="shared" ca="1" si="120"/>
        <v>#REF!</v>
      </c>
    </row>
    <row r="707" spans="1:13" x14ac:dyDescent="0.25">
      <c r="A707" s="119">
        <v>45160</v>
      </c>
      <c r="B707" s="119">
        <v>45160</v>
      </c>
      <c r="C707" s="118" t="e">
        <f t="shared" ref="C707:C770" ca="1" si="121">INDIRECT(CONCATENATE("",$A707,"!H10"))</f>
        <v>#REF!</v>
      </c>
      <c r="D707" s="118" t="e">
        <f t="shared" ref="D707:D770" ca="1" si="122">INDIRECT(CONCATENATE("",$A707,"!H11"))</f>
        <v>#REF!</v>
      </c>
      <c r="E707" s="118" t="e">
        <f t="shared" ref="E707:E770" ca="1" si="123">INDIRECT(CONCATENATE("",$A707,"!H12"))</f>
        <v>#REF!</v>
      </c>
      <c r="F707" s="118" t="e">
        <f t="shared" ref="F707:F770" ca="1" si="124">INDIRECT(CONCATENATE("",$A707,"!H13"))</f>
        <v>#REF!</v>
      </c>
      <c r="G707" s="118" t="e">
        <f t="shared" ref="G707:G770" ca="1" si="125">INDIRECT(CONCATENATE("",$A707,"!H14"))</f>
        <v>#REF!</v>
      </c>
      <c r="H707" s="118" t="e">
        <f t="shared" ref="H707:H770" ca="1" si="126">INDIRECT(CONCATENATE("",$A707,"!i12"))</f>
        <v>#REF!</v>
      </c>
      <c r="I707" s="118" t="e">
        <f t="shared" ref="I707:I770" ca="1" si="127">INDIRECT(CONCATENATE("",$A707,"!i13"))</f>
        <v>#REF!</v>
      </c>
      <c r="J707" s="118" t="e">
        <f t="shared" ref="J707:J770" ca="1" si="128">INDIRECT(CONCATENATE("",$A707,"!i14"))</f>
        <v>#REF!</v>
      </c>
      <c r="K707" s="118" t="e">
        <f t="shared" ref="K707:K770" ca="1" si="129">INDIRECT(CONCATENATE("",$A707,"!J12"))</f>
        <v>#REF!</v>
      </c>
      <c r="L707" s="118" t="e">
        <f t="shared" ref="L707:L770" ca="1" si="130">INDIRECT(CONCATENATE("",$A707,"!J13"))</f>
        <v>#REF!</v>
      </c>
      <c r="M707" s="118" t="e">
        <f t="shared" ref="M707:M770" ca="1" si="131">INDIRECT(CONCATENATE("",$A707,"!J14"))</f>
        <v>#REF!</v>
      </c>
    </row>
    <row r="708" spans="1:13" x14ac:dyDescent="0.25">
      <c r="A708" s="119">
        <v>45161</v>
      </c>
      <c r="B708" s="119">
        <v>45161</v>
      </c>
      <c r="C708" s="118" t="e">
        <f t="shared" ca="1" si="121"/>
        <v>#REF!</v>
      </c>
      <c r="D708" s="118" t="e">
        <f t="shared" ca="1" si="122"/>
        <v>#REF!</v>
      </c>
      <c r="E708" s="118" t="e">
        <f t="shared" ca="1" si="123"/>
        <v>#REF!</v>
      </c>
      <c r="F708" s="118" t="e">
        <f t="shared" ca="1" si="124"/>
        <v>#REF!</v>
      </c>
      <c r="G708" s="118" t="e">
        <f t="shared" ca="1" si="125"/>
        <v>#REF!</v>
      </c>
      <c r="H708" s="118" t="e">
        <f t="shared" ca="1" si="126"/>
        <v>#REF!</v>
      </c>
      <c r="I708" s="118" t="e">
        <f t="shared" ca="1" si="127"/>
        <v>#REF!</v>
      </c>
      <c r="J708" s="118" t="e">
        <f t="shared" ca="1" si="128"/>
        <v>#REF!</v>
      </c>
      <c r="K708" s="118" t="e">
        <f t="shared" ca="1" si="129"/>
        <v>#REF!</v>
      </c>
      <c r="L708" s="118" t="e">
        <f t="shared" ca="1" si="130"/>
        <v>#REF!</v>
      </c>
      <c r="M708" s="118" t="e">
        <f t="shared" ca="1" si="131"/>
        <v>#REF!</v>
      </c>
    </row>
    <row r="709" spans="1:13" x14ac:dyDescent="0.25">
      <c r="A709" s="119">
        <v>45162</v>
      </c>
      <c r="B709" s="119">
        <v>45162</v>
      </c>
      <c r="C709" s="118" t="e">
        <f t="shared" ca="1" si="121"/>
        <v>#REF!</v>
      </c>
      <c r="D709" s="118" t="e">
        <f t="shared" ca="1" si="122"/>
        <v>#REF!</v>
      </c>
      <c r="E709" s="118" t="e">
        <f t="shared" ca="1" si="123"/>
        <v>#REF!</v>
      </c>
      <c r="F709" s="118" t="e">
        <f t="shared" ca="1" si="124"/>
        <v>#REF!</v>
      </c>
      <c r="G709" s="118" t="e">
        <f t="shared" ca="1" si="125"/>
        <v>#REF!</v>
      </c>
      <c r="H709" s="118" t="e">
        <f t="shared" ca="1" si="126"/>
        <v>#REF!</v>
      </c>
      <c r="I709" s="118" t="e">
        <f t="shared" ca="1" si="127"/>
        <v>#REF!</v>
      </c>
      <c r="J709" s="118" t="e">
        <f t="shared" ca="1" si="128"/>
        <v>#REF!</v>
      </c>
      <c r="K709" s="118" t="e">
        <f t="shared" ca="1" si="129"/>
        <v>#REF!</v>
      </c>
      <c r="L709" s="118" t="e">
        <f t="shared" ca="1" si="130"/>
        <v>#REF!</v>
      </c>
      <c r="M709" s="118" t="e">
        <f t="shared" ca="1" si="131"/>
        <v>#REF!</v>
      </c>
    </row>
    <row r="710" spans="1:13" x14ac:dyDescent="0.25">
      <c r="A710" s="119">
        <v>45163</v>
      </c>
      <c r="B710" s="119">
        <v>45163</v>
      </c>
      <c r="C710" s="118" t="e">
        <f t="shared" ca="1" si="121"/>
        <v>#REF!</v>
      </c>
      <c r="D710" s="118" t="e">
        <f t="shared" ca="1" si="122"/>
        <v>#REF!</v>
      </c>
      <c r="E710" s="118" t="e">
        <f t="shared" ca="1" si="123"/>
        <v>#REF!</v>
      </c>
      <c r="F710" s="118" t="e">
        <f t="shared" ca="1" si="124"/>
        <v>#REF!</v>
      </c>
      <c r="G710" s="118" t="e">
        <f t="shared" ca="1" si="125"/>
        <v>#REF!</v>
      </c>
      <c r="H710" s="118" t="e">
        <f t="shared" ca="1" si="126"/>
        <v>#REF!</v>
      </c>
      <c r="I710" s="118" t="e">
        <f t="shared" ca="1" si="127"/>
        <v>#REF!</v>
      </c>
      <c r="J710" s="118" t="e">
        <f t="shared" ca="1" si="128"/>
        <v>#REF!</v>
      </c>
      <c r="K710" s="118" t="e">
        <f t="shared" ca="1" si="129"/>
        <v>#REF!</v>
      </c>
      <c r="L710" s="118" t="e">
        <f t="shared" ca="1" si="130"/>
        <v>#REF!</v>
      </c>
      <c r="M710" s="118" t="e">
        <f t="shared" ca="1" si="131"/>
        <v>#REF!</v>
      </c>
    </row>
    <row r="711" spans="1:13" x14ac:dyDescent="0.25">
      <c r="A711" s="119">
        <v>45164</v>
      </c>
      <c r="B711" s="119">
        <v>45164</v>
      </c>
      <c r="C711" s="118" t="e">
        <f t="shared" ca="1" si="121"/>
        <v>#REF!</v>
      </c>
      <c r="D711" s="118" t="e">
        <f t="shared" ca="1" si="122"/>
        <v>#REF!</v>
      </c>
      <c r="E711" s="118" t="e">
        <f t="shared" ca="1" si="123"/>
        <v>#REF!</v>
      </c>
      <c r="F711" s="118" t="e">
        <f t="shared" ca="1" si="124"/>
        <v>#REF!</v>
      </c>
      <c r="G711" s="118" t="e">
        <f t="shared" ca="1" si="125"/>
        <v>#REF!</v>
      </c>
      <c r="H711" s="118" t="e">
        <f t="shared" ca="1" si="126"/>
        <v>#REF!</v>
      </c>
      <c r="I711" s="118" t="e">
        <f t="shared" ca="1" si="127"/>
        <v>#REF!</v>
      </c>
      <c r="J711" s="118" t="e">
        <f t="shared" ca="1" si="128"/>
        <v>#REF!</v>
      </c>
      <c r="K711" s="118" t="e">
        <f t="shared" ca="1" si="129"/>
        <v>#REF!</v>
      </c>
      <c r="L711" s="118" t="e">
        <f t="shared" ca="1" si="130"/>
        <v>#REF!</v>
      </c>
      <c r="M711" s="118" t="e">
        <f t="shared" ca="1" si="131"/>
        <v>#REF!</v>
      </c>
    </row>
    <row r="712" spans="1:13" x14ac:dyDescent="0.25">
      <c r="A712" s="119">
        <v>45165</v>
      </c>
      <c r="B712" s="119">
        <v>45165</v>
      </c>
      <c r="C712" s="118" t="e">
        <f t="shared" ca="1" si="121"/>
        <v>#REF!</v>
      </c>
      <c r="D712" s="118" t="e">
        <f t="shared" ca="1" si="122"/>
        <v>#REF!</v>
      </c>
      <c r="E712" s="118" t="e">
        <f t="shared" ca="1" si="123"/>
        <v>#REF!</v>
      </c>
      <c r="F712" s="118" t="e">
        <f t="shared" ca="1" si="124"/>
        <v>#REF!</v>
      </c>
      <c r="G712" s="118" t="e">
        <f t="shared" ca="1" si="125"/>
        <v>#REF!</v>
      </c>
      <c r="H712" s="118" t="e">
        <f t="shared" ca="1" si="126"/>
        <v>#REF!</v>
      </c>
      <c r="I712" s="118" t="e">
        <f t="shared" ca="1" si="127"/>
        <v>#REF!</v>
      </c>
      <c r="J712" s="118" t="e">
        <f t="shared" ca="1" si="128"/>
        <v>#REF!</v>
      </c>
      <c r="K712" s="118" t="e">
        <f t="shared" ca="1" si="129"/>
        <v>#REF!</v>
      </c>
      <c r="L712" s="118" t="e">
        <f t="shared" ca="1" si="130"/>
        <v>#REF!</v>
      </c>
      <c r="M712" s="118" t="e">
        <f t="shared" ca="1" si="131"/>
        <v>#REF!</v>
      </c>
    </row>
    <row r="713" spans="1:13" x14ac:dyDescent="0.25">
      <c r="A713" s="119">
        <v>45166</v>
      </c>
      <c r="B713" s="119">
        <v>45166</v>
      </c>
      <c r="C713" s="118" t="e">
        <f t="shared" ca="1" si="121"/>
        <v>#REF!</v>
      </c>
      <c r="D713" s="118" t="e">
        <f t="shared" ca="1" si="122"/>
        <v>#REF!</v>
      </c>
      <c r="E713" s="118" t="e">
        <f t="shared" ca="1" si="123"/>
        <v>#REF!</v>
      </c>
      <c r="F713" s="118" t="e">
        <f t="shared" ca="1" si="124"/>
        <v>#REF!</v>
      </c>
      <c r="G713" s="118" t="e">
        <f t="shared" ca="1" si="125"/>
        <v>#REF!</v>
      </c>
      <c r="H713" s="118" t="e">
        <f t="shared" ca="1" si="126"/>
        <v>#REF!</v>
      </c>
      <c r="I713" s="118" t="e">
        <f t="shared" ca="1" si="127"/>
        <v>#REF!</v>
      </c>
      <c r="J713" s="118" t="e">
        <f t="shared" ca="1" si="128"/>
        <v>#REF!</v>
      </c>
      <c r="K713" s="118" t="e">
        <f t="shared" ca="1" si="129"/>
        <v>#REF!</v>
      </c>
      <c r="L713" s="118" t="e">
        <f t="shared" ca="1" si="130"/>
        <v>#REF!</v>
      </c>
      <c r="M713" s="118" t="e">
        <f t="shared" ca="1" si="131"/>
        <v>#REF!</v>
      </c>
    </row>
    <row r="714" spans="1:13" x14ac:dyDescent="0.25">
      <c r="A714" s="119">
        <v>45167</v>
      </c>
      <c r="B714" s="119">
        <v>45167</v>
      </c>
      <c r="C714" s="118" t="e">
        <f t="shared" ca="1" si="121"/>
        <v>#REF!</v>
      </c>
      <c r="D714" s="118" t="e">
        <f t="shared" ca="1" si="122"/>
        <v>#REF!</v>
      </c>
      <c r="E714" s="118" t="e">
        <f t="shared" ca="1" si="123"/>
        <v>#REF!</v>
      </c>
      <c r="F714" s="118" t="e">
        <f t="shared" ca="1" si="124"/>
        <v>#REF!</v>
      </c>
      <c r="G714" s="118" t="e">
        <f t="shared" ca="1" si="125"/>
        <v>#REF!</v>
      </c>
      <c r="H714" s="118" t="e">
        <f t="shared" ca="1" si="126"/>
        <v>#REF!</v>
      </c>
      <c r="I714" s="118" t="e">
        <f t="shared" ca="1" si="127"/>
        <v>#REF!</v>
      </c>
      <c r="J714" s="118" t="e">
        <f t="shared" ca="1" si="128"/>
        <v>#REF!</v>
      </c>
      <c r="K714" s="118" t="e">
        <f t="shared" ca="1" si="129"/>
        <v>#REF!</v>
      </c>
      <c r="L714" s="118" t="e">
        <f t="shared" ca="1" si="130"/>
        <v>#REF!</v>
      </c>
      <c r="M714" s="118" t="e">
        <f t="shared" ca="1" si="131"/>
        <v>#REF!</v>
      </c>
    </row>
    <row r="715" spans="1:13" x14ac:dyDescent="0.25">
      <c r="A715" s="119">
        <v>45168</v>
      </c>
      <c r="B715" s="119">
        <v>45168</v>
      </c>
      <c r="C715" s="118" t="e">
        <f t="shared" ca="1" si="121"/>
        <v>#REF!</v>
      </c>
      <c r="D715" s="118" t="e">
        <f t="shared" ca="1" si="122"/>
        <v>#REF!</v>
      </c>
      <c r="E715" s="118" t="e">
        <f t="shared" ca="1" si="123"/>
        <v>#REF!</v>
      </c>
      <c r="F715" s="118" t="e">
        <f t="shared" ca="1" si="124"/>
        <v>#REF!</v>
      </c>
      <c r="G715" s="118" t="e">
        <f t="shared" ca="1" si="125"/>
        <v>#REF!</v>
      </c>
      <c r="H715" s="118" t="e">
        <f t="shared" ca="1" si="126"/>
        <v>#REF!</v>
      </c>
      <c r="I715" s="118" t="e">
        <f t="shared" ca="1" si="127"/>
        <v>#REF!</v>
      </c>
      <c r="J715" s="118" t="e">
        <f t="shared" ca="1" si="128"/>
        <v>#REF!</v>
      </c>
      <c r="K715" s="118" t="e">
        <f t="shared" ca="1" si="129"/>
        <v>#REF!</v>
      </c>
      <c r="L715" s="118" t="e">
        <f t="shared" ca="1" si="130"/>
        <v>#REF!</v>
      </c>
      <c r="M715" s="118" t="e">
        <f t="shared" ca="1" si="131"/>
        <v>#REF!</v>
      </c>
    </row>
    <row r="716" spans="1:13" x14ac:dyDescent="0.25">
      <c r="A716" s="119">
        <v>45169</v>
      </c>
      <c r="B716" s="119">
        <v>45169</v>
      </c>
      <c r="C716" s="118" t="e">
        <f t="shared" ca="1" si="121"/>
        <v>#REF!</v>
      </c>
      <c r="D716" s="118" t="e">
        <f t="shared" ca="1" si="122"/>
        <v>#REF!</v>
      </c>
      <c r="E716" s="118" t="e">
        <f t="shared" ca="1" si="123"/>
        <v>#REF!</v>
      </c>
      <c r="F716" s="118" t="e">
        <f t="shared" ca="1" si="124"/>
        <v>#REF!</v>
      </c>
      <c r="G716" s="118" t="e">
        <f t="shared" ca="1" si="125"/>
        <v>#REF!</v>
      </c>
      <c r="H716" s="118" t="e">
        <f t="shared" ca="1" si="126"/>
        <v>#REF!</v>
      </c>
      <c r="I716" s="118" t="e">
        <f t="shared" ca="1" si="127"/>
        <v>#REF!</v>
      </c>
      <c r="J716" s="118" t="e">
        <f t="shared" ca="1" si="128"/>
        <v>#REF!</v>
      </c>
      <c r="K716" s="118" t="e">
        <f t="shared" ca="1" si="129"/>
        <v>#REF!</v>
      </c>
      <c r="L716" s="118" t="e">
        <f t="shared" ca="1" si="130"/>
        <v>#REF!</v>
      </c>
      <c r="M716" s="118" t="e">
        <f t="shared" ca="1" si="131"/>
        <v>#REF!</v>
      </c>
    </row>
    <row r="717" spans="1:13" x14ac:dyDescent="0.25">
      <c r="A717" s="119">
        <v>45170</v>
      </c>
      <c r="B717" s="119">
        <v>45170</v>
      </c>
      <c r="C717" s="118" t="e">
        <f t="shared" ca="1" si="121"/>
        <v>#REF!</v>
      </c>
      <c r="D717" s="118" t="e">
        <f t="shared" ca="1" si="122"/>
        <v>#REF!</v>
      </c>
      <c r="E717" s="118" t="e">
        <f t="shared" ca="1" si="123"/>
        <v>#REF!</v>
      </c>
      <c r="F717" s="118" t="e">
        <f t="shared" ca="1" si="124"/>
        <v>#REF!</v>
      </c>
      <c r="G717" s="118" t="e">
        <f t="shared" ca="1" si="125"/>
        <v>#REF!</v>
      </c>
      <c r="H717" s="118" t="e">
        <f t="shared" ca="1" si="126"/>
        <v>#REF!</v>
      </c>
      <c r="I717" s="118" t="e">
        <f t="shared" ca="1" si="127"/>
        <v>#REF!</v>
      </c>
      <c r="J717" s="118" t="e">
        <f t="shared" ca="1" si="128"/>
        <v>#REF!</v>
      </c>
      <c r="K717" s="118" t="e">
        <f t="shared" ca="1" si="129"/>
        <v>#REF!</v>
      </c>
      <c r="L717" s="118" t="e">
        <f t="shared" ca="1" si="130"/>
        <v>#REF!</v>
      </c>
      <c r="M717" s="118" t="e">
        <f t="shared" ca="1" si="131"/>
        <v>#REF!</v>
      </c>
    </row>
    <row r="718" spans="1:13" x14ac:dyDescent="0.25">
      <c r="A718" s="119">
        <v>45171</v>
      </c>
      <c r="B718" s="119">
        <v>45171</v>
      </c>
      <c r="C718" s="118" t="e">
        <f t="shared" ca="1" si="121"/>
        <v>#REF!</v>
      </c>
      <c r="D718" s="118" t="e">
        <f t="shared" ca="1" si="122"/>
        <v>#REF!</v>
      </c>
      <c r="E718" s="118" t="e">
        <f t="shared" ca="1" si="123"/>
        <v>#REF!</v>
      </c>
      <c r="F718" s="118" t="e">
        <f t="shared" ca="1" si="124"/>
        <v>#REF!</v>
      </c>
      <c r="G718" s="118" t="e">
        <f t="shared" ca="1" si="125"/>
        <v>#REF!</v>
      </c>
      <c r="H718" s="118" t="e">
        <f t="shared" ca="1" si="126"/>
        <v>#REF!</v>
      </c>
      <c r="I718" s="118" t="e">
        <f t="shared" ca="1" si="127"/>
        <v>#REF!</v>
      </c>
      <c r="J718" s="118" t="e">
        <f t="shared" ca="1" si="128"/>
        <v>#REF!</v>
      </c>
      <c r="K718" s="118" t="e">
        <f t="shared" ca="1" si="129"/>
        <v>#REF!</v>
      </c>
      <c r="L718" s="118" t="e">
        <f t="shared" ca="1" si="130"/>
        <v>#REF!</v>
      </c>
      <c r="M718" s="118" t="e">
        <f t="shared" ca="1" si="131"/>
        <v>#REF!</v>
      </c>
    </row>
    <row r="719" spans="1:13" x14ac:dyDescent="0.25">
      <c r="A719" s="119">
        <v>45172</v>
      </c>
      <c r="B719" s="119">
        <v>45172</v>
      </c>
      <c r="C719" s="118" t="e">
        <f t="shared" ca="1" si="121"/>
        <v>#REF!</v>
      </c>
      <c r="D719" s="118" t="e">
        <f t="shared" ca="1" si="122"/>
        <v>#REF!</v>
      </c>
      <c r="E719" s="118" t="e">
        <f t="shared" ca="1" si="123"/>
        <v>#REF!</v>
      </c>
      <c r="F719" s="118" t="e">
        <f t="shared" ca="1" si="124"/>
        <v>#REF!</v>
      </c>
      <c r="G719" s="118" t="e">
        <f t="shared" ca="1" si="125"/>
        <v>#REF!</v>
      </c>
      <c r="H719" s="118" t="e">
        <f t="shared" ca="1" si="126"/>
        <v>#REF!</v>
      </c>
      <c r="I719" s="118" t="e">
        <f t="shared" ca="1" si="127"/>
        <v>#REF!</v>
      </c>
      <c r="J719" s="118" t="e">
        <f t="shared" ca="1" si="128"/>
        <v>#REF!</v>
      </c>
      <c r="K719" s="118" t="e">
        <f t="shared" ca="1" si="129"/>
        <v>#REF!</v>
      </c>
      <c r="L719" s="118" t="e">
        <f t="shared" ca="1" si="130"/>
        <v>#REF!</v>
      </c>
      <c r="M719" s="118" t="e">
        <f t="shared" ca="1" si="131"/>
        <v>#REF!</v>
      </c>
    </row>
    <row r="720" spans="1:13" x14ac:dyDescent="0.25">
      <c r="A720" s="119">
        <v>45173</v>
      </c>
      <c r="B720" s="119">
        <v>45173</v>
      </c>
      <c r="C720" s="118" t="e">
        <f t="shared" ca="1" si="121"/>
        <v>#REF!</v>
      </c>
      <c r="D720" s="118" t="e">
        <f t="shared" ca="1" si="122"/>
        <v>#REF!</v>
      </c>
      <c r="E720" s="118" t="e">
        <f t="shared" ca="1" si="123"/>
        <v>#REF!</v>
      </c>
      <c r="F720" s="118" t="e">
        <f t="shared" ca="1" si="124"/>
        <v>#REF!</v>
      </c>
      <c r="G720" s="118" t="e">
        <f t="shared" ca="1" si="125"/>
        <v>#REF!</v>
      </c>
      <c r="H720" s="118" t="e">
        <f t="shared" ca="1" si="126"/>
        <v>#REF!</v>
      </c>
      <c r="I720" s="118" t="e">
        <f t="shared" ca="1" si="127"/>
        <v>#REF!</v>
      </c>
      <c r="J720" s="118" t="e">
        <f t="shared" ca="1" si="128"/>
        <v>#REF!</v>
      </c>
      <c r="K720" s="118" t="e">
        <f t="shared" ca="1" si="129"/>
        <v>#REF!</v>
      </c>
      <c r="L720" s="118" t="e">
        <f t="shared" ca="1" si="130"/>
        <v>#REF!</v>
      </c>
      <c r="M720" s="118" t="e">
        <f t="shared" ca="1" si="131"/>
        <v>#REF!</v>
      </c>
    </row>
    <row r="721" spans="1:13" x14ac:dyDescent="0.25">
      <c r="A721" s="119">
        <v>45174</v>
      </c>
      <c r="B721" s="119">
        <v>45174</v>
      </c>
      <c r="C721" s="118" t="e">
        <f t="shared" ca="1" si="121"/>
        <v>#REF!</v>
      </c>
      <c r="D721" s="118" t="e">
        <f t="shared" ca="1" si="122"/>
        <v>#REF!</v>
      </c>
      <c r="E721" s="118" t="e">
        <f t="shared" ca="1" si="123"/>
        <v>#REF!</v>
      </c>
      <c r="F721" s="118" t="e">
        <f t="shared" ca="1" si="124"/>
        <v>#REF!</v>
      </c>
      <c r="G721" s="118" t="e">
        <f t="shared" ca="1" si="125"/>
        <v>#REF!</v>
      </c>
      <c r="H721" s="118" t="e">
        <f t="shared" ca="1" si="126"/>
        <v>#REF!</v>
      </c>
      <c r="I721" s="118" t="e">
        <f t="shared" ca="1" si="127"/>
        <v>#REF!</v>
      </c>
      <c r="J721" s="118" t="e">
        <f t="shared" ca="1" si="128"/>
        <v>#REF!</v>
      </c>
      <c r="K721" s="118" t="e">
        <f t="shared" ca="1" si="129"/>
        <v>#REF!</v>
      </c>
      <c r="L721" s="118" t="e">
        <f t="shared" ca="1" si="130"/>
        <v>#REF!</v>
      </c>
      <c r="M721" s="118" t="e">
        <f t="shared" ca="1" si="131"/>
        <v>#REF!</v>
      </c>
    </row>
    <row r="722" spans="1:13" x14ac:dyDescent="0.25">
      <c r="A722" s="119">
        <v>45175</v>
      </c>
      <c r="B722" s="119">
        <v>45175</v>
      </c>
      <c r="C722" s="118" t="e">
        <f t="shared" ca="1" si="121"/>
        <v>#REF!</v>
      </c>
      <c r="D722" s="118" t="e">
        <f t="shared" ca="1" si="122"/>
        <v>#REF!</v>
      </c>
      <c r="E722" s="118" t="e">
        <f t="shared" ca="1" si="123"/>
        <v>#REF!</v>
      </c>
      <c r="F722" s="118" t="e">
        <f t="shared" ca="1" si="124"/>
        <v>#REF!</v>
      </c>
      <c r="G722" s="118" t="e">
        <f t="shared" ca="1" si="125"/>
        <v>#REF!</v>
      </c>
      <c r="H722" s="118" t="e">
        <f t="shared" ca="1" si="126"/>
        <v>#REF!</v>
      </c>
      <c r="I722" s="118" t="e">
        <f t="shared" ca="1" si="127"/>
        <v>#REF!</v>
      </c>
      <c r="J722" s="118" t="e">
        <f t="shared" ca="1" si="128"/>
        <v>#REF!</v>
      </c>
      <c r="K722" s="118" t="e">
        <f t="shared" ca="1" si="129"/>
        <v>#REF!</v>
      </c>
      <c r="L722" s="118" t="e">
        <f t="shared" ca="1" si="130"/>
        <v>#REF!</v>
      </c>
      <c r="M722" s="118" t="e">
        <f t="shared" ca="1" si="131"/>
        <v>#REF!</v>
      </c>
    </row>
    <row r="723" spans="1:13" x14ac:dyDescent="0.25">
      <c r="A723" s="119">
        <v>45176</v>
      </c>
      <c r="B723" s="119">
        <v>45176</v>
      </c>
      <c r="C723" s="118" t="e">
        <f t="shared" ca="1" si="121"/>
        <v>#REF!</v>
      </c>
      <c r="D723" s="118" t="e">
        <f t="shared" ca="1" si="122"/>
        <v>#REF!</v>
      </c>
      <c r="E723" s="118" t="e">
        <f t="shared" ca="1" si="123"/>
        <v>#REF!</v>
      </c>
      <c r="F723" s="118" t="e">
        <f t="shared" ca="1" si="124"/>
        <v>#REF!</v>
      </c>
      <c r="G723" s="118" t="e">
        <f t="shared" ca="1" si="125"/>
        <v>#REF!</v>
      </c>
      <c r="H723" s="118" t="e">
        <f t="shared" ca="1" si="126"/>
        <v>#REF!</v>
      </c>
      <c r="I723" s="118" t="e">
        <f t="shared" ca="1" si="127"/>
        <v>#REF!</v>
      </c>
      <c r="J723" s="118" t="e">
        <f t="shared" ca="1" si="128"/>
        <v>#REF!</v>
      </c>
      <c r="K723" s="118" t="e">
        <f t="shared" ca="1" si="129"/>
        <v>#REF!</v>
      </c>
      <c r="L723" s="118" t="e">
        <f t="shared" ca="1" si="130"/>
        <v>#REF!</v>
      </c>
      <c r="M723" s="118" t="e">
        <f t="shared" ca="1" si="131"/>
        <v>#REF!</v>
      </c>
    </row>
    <row r="724" spans="1:13" x14ac:dyDescent="0.25">
      <c r="A724" s="119">
        <v>45177</v>
      </c>
      <c r="B724" s="119">
        <v>45177</v>
      </c>
      <c r="C724" s="118" t="e">
        <f t="shared" ca="1" si="121"/>
        <v>#REF!</v>
      </c>
      <c r="D724" s="118" t="e">
        <f t="shared" ca="1" si="122"/>
        <v>#REF!</v>
      </c>
      <c r="E724" s="118" t="e">
        <f t="shared" ca="1" si="123"/>
        <v>#REF!</v>
      </c>
      <c r="F724" s="118" t="e">
        <f t="shared" ca="1" si="124"/>
        <v>#REF!</v>
      </c>
      <c r="G724" s="118" t="e">
        <f t="shared" ca="1" si="125"/>
        <v>#REF!</v>
      </c>
      <c r="H724" s="118" t="e">
        <f t="shared" ca="1" si="126"/>
        <v>#REF!</v>
      </c>
      <c r="I724" s="118" t="e">
        <f t="shared" ca="1" si="127"/>
        <v>#REF!</v>
      </c>
      <c r="J724" s="118" t="e">
        <f t="shared" ca="1" si="128"/>
        <v>#REF!</v>
      </c>
      <c r="K724" s="118" t="e">
        <f t="shared" ca="1" si="129"/>
        <v>#REF!</v>
      </c>
      <c r="L724" s="118" t="e">
        <f t="shared" ca="1" si="130"/>
        <v>#REF!</v>
      </c>
      <c r="M724" s="118" t="e">
        <f t="shared" ca="1" si="131"/>
        <v>#REF!</v>
      </c>
    </row>
    <row r="725" spans="1:13" x14ac:dyDescent="0.25">
      <c r="A725" s="119">
        <v>45178</v>
      </c>
      <c r="B725" s="119">
        <v>45178</v>
      </c>
      <c r="C725" s="118" t="e">
        <f t="shared" ca="1" si="121"/>
        <v>#REF!</v>
      </c>
      <c r="D725" s="118" t="e">
        <f t="shared" ca="1" si="122"/>
        <v>#REF!</v>
      </c>
      <c r="E725" s="118" t="e">
        <f t="shared" ca="1" si="123"/>
        <v>#REF!</v>
      </c>
      <c r="F725" s="118" t="e">
        <f t="shared" ca="1" si="124"/>
        <v>#REF!</v>
      </c>
      <c r="G725" s="118" t="e">
        <f t="shared" ca="1" si="125"/>
        <v>#REF!</v>
      </c>
      <c r="H725" s="118" t="e">
        <f t="shared" ca="1" si="126"/>
        <v>#REF!</v>
      </c>
      <c r="I725" s="118" t="e">
        <f t="shared" ca="1" si="127"/>
        <v>#REF!</v>
      </c>
      <c r="J725" s="118" t="e">
        <f t="shared" ca="1" si="128"/>
        <v>#REF!</v>
      </c>
      <c r="K725" s="118" t="e">
        <f t="shared" ca="1" si="129"/>
        <v>#REF!</v>
      </c>
      <c r="L725" s="118" t="e">
        <f t="shared" ca="1" si="130"/>
        <v>#REF!</v>
      </c>
      <c r="M725" s="118" t="e">
        <f t="shared" ca="1" si="131"/>
        <v>#REF!</v>
      </c>
    </row>
    <row r="726" spans="1:13" x14ac:dyDescent="0.25">
      <c r="A726" s="119">
        <v>45179</v>
      </c>
      <c r="B726" s="119">
        <v>45179</v>
      </c>
      <c r="C726" s="118" t="e">
        <f t="shared" ca="1" si="121"/>
        <v>#REF!</v>
      </c>
      <c r="D726" s="118" t="e">
        <f t="shared" ca="1" si="122"/>
        <v>#REF!</v>
      </c>
      <c r="E726" s="118" t="e">
        <f t="shared" ca="1" si="123"/>
        <v>#REF!</v>
      </c>
      <c r="F726" s="118" t="e">
        <f t="shared" ca="1" si="124"/>
        <v>#REF!</v>
      </c>
      <c r="G726" s="118" t="e">
        <f t="shared" ca="1" si="125"/>
        <v>#REF!</v>
      </c>
      <c r="H726" s="118" t="e">
        <f t="shared" ca="1" si="126"/>
        <v>#REF!</v>
      </c>
      <c r="I726" s="118" t="e">
        <f t="shared" ca="1" si="127"/>
        <v>#REF!</v>
      </c>
      <c r="J726" s="118" t="e">
        <f t="shared" ca="1" si="128"/>
        <v>#REF!</v>
      </c>
      <c r="K726" s="118" t="e">
        <f t="shared" ca="1" si="129"/>
        <v>#REF!</v>
      </c>
      <c r="L726" s="118" t="e">
        <f t="shared" ca="1" si="130"/>
        <v>#REF!</v>
      </c>
      <c r="M726" s="118" t="e">
        <f t="shared" ca="1" si="131"/>
        <v>#REF!</v>
      </c>
    </row>
    <row r="727" spans="1:13" x14ac:dyDescent="0.25">
      <c r="A727" s="119">
        <v>45180</v>
      </c>
      <c r="B727" s="119">
        <v>45180</v>
      </c>
      <c r="C727" s="118" t="e">
        <f t="shared" ca="1" si="121"/>
        <v>#REF!</v>
      </c>
      <c r="D727" s="118" t="e">
        <f t="shared" ca="1" si="122"/>
        <v>#REF!</v>
      </c>
      <c r="E727" s="118" t="e">
        <f t="shared" ca="1" si="123"/>
        <v>#REF!</v>
      </c>
      <c r="F727" s="118" t="e">
        <f t="shared" ca="1" si="124"/>
        <v>#REF!</v>
      </c>
      <c r="G727" s="118" t="e">
        <f t="shared" ca="1" si="125"/>
        <v>#REF!</v>
      </c>
      <c r="H727" s="118" t="e">
        <f t="shared" ca="1" si="126"/>
        <v>#REF!</v>
      </c>
      <c r="I727" s="118" t="e">
        <f t="shared" ca="1" si="127"/>
        <v>#REF!</v>
      </c>
      <c r="J727" s="118" t="e">
        <f t="shared" ca="1" si="128"/>
        <v>#REF!</v>
      </c>
      <c r="K727" s="118" t="e">
        <f t="shared" ca="1" si="129"/>
        <v>#REF!</v>
      </c>
      <c r="L727" s="118" t="e">
        <f t="shared" ca="1" si="130"/>
        <v>#REF!</v>
      </c>
      <c r="M727" s="118" t="e">
        <f t="shared" ca="1" si="131"/>
        <v>#REF!</v>
      </c>
    </row>
    <row r="728" spans="1:13" x14ac:dyDescent="0.25">
      <c r="A728" s="119">
        <v>45181</v>
      </c>
      <c r="B728" s="119">
        <v>45181</v>
      </c>
      <c r="C728" s="118" t="e">
        <f t="shared" ca="1" si="121"/>
        <v>#REF!</v>
      </c>
      <c r="D728" s="118" t="e">
        <f t="shared" ca="1" si="122"/>
        <v>#REF!</v>
      </c>
      <c r="E728" s="118" t="e">
        <f t="shared" ca="1" si="123"/>
        <v>#REF!</v>
      </c>
      <c r="F728" s="118" t="e">
        <f t="shared" ca="1" si="124"/>
        <v>#REF!</v>
      </c>
      <c r="G728" s="118" t="e">
        <f t="shared" ca="1" si="125"/>
        <v>#REF!</v>
      </c>
      <c r="H728" s="118" t="e">
        <f t="shared" ca="1" si="126"/>
        <v>#REF!</v>
      </c>
      <c r="I728" s="118" t="e">
        <f t="shared" ca="1" si="127"/>
        <v>#REF!</v>
      </c>
      <c r="J728" s="118" t="e">
        <f t="shared" ca="1" si="128"/>
        <v>#REF!</v>
      </c>
      <c r="K728" s="118" t="e">
        <f t="shared" ca="1" si="129"/>
        <v>#REF!</v>
      </c>
      <c r="L728" s="118" t="e">
        <f t="shared" ca="1" si="130"/>
        <v>#REF!</v>
      </c>
      <c r="M728" s="118" t="e">
        <f t="shared" ca="1" si="131"/>
        <v>#REF!</v>
      </c>
    </row>
    <row r="729" spans="1:13" x14ac:dyDescent="0.25">
      <c r="A729" s="119">
        <v>45182</v>
      </c>
      <c r="B729" s="119">
        <v>45182</v>
      </c>
      <c r="C729" s="118" t="e">
        <f t="shared" ca="1" si="121"/>
        <v>#REF!</v>
      </c>
      <c r="D729" s="118" t="e">
        <f t="shared" ca="1" si="122"/>
        <v>#REF!</v>
      </c>
      <c r="E729" s="118" t="e">
        <f t="shared" ca="1" si="123"/>
        <v>#REF!</v>
      </c>
      <c r="F729" s="118" t="e">
        <f t="shared" ca="1" si="124"/>
        <v>#REF!</v>
      </c>
      <c r="G729" s="118" t="e">
        <f t="shared" ca="1" si="125"/>
        <v>#REF!</v>
      </c>
      <c r="H729" s="118" t="e">
        <f t="shared" ca="1" si="126"/>
        <v>#REF!</v>
      </c>
      <c r="I729" s="118" t="e">
        <f t="shared" ca="1" si="127"/>
        <v>#REF!</v>
      </c>
      <c r="J729" s="118" t="e">
        <f t="shared" ca="1" si="128"/>
        <v>#REF!</v>
      </c>
      <c r="K729" s="118" t="e">
        <f t="shared" ca="1" si="129"/>
        <v>#REF!</v>
      </c>
      <c r="L729" s="118" t="e">
        <f t="shared" ca="1" si="130"/>
        <v>#REF!</v>
      </c>
      <c r="M729" s="118" t="e">
        <f t="shared" ca="1" si="131"/>
        <v>#REF!</v>
      </c>
    </row>
    <row r="730" spans="1:13" x14ac:dyDescent="0.25">
      <c r="A730" s="119">
        <v>45183</v>
      </c>
      <c r="B730" s="119">
        <v>45183</v>
      </c>
      <c r="C730" s="118" t="e">
        <f t="shared" ca="1" si="121"/>
        <v>#REF!</v>
      </c>
      <c r="D730" s="118" t="e">
        <f t="shared" ca="1" si="122"/>
        <v>#REF!</v>
      </c>
      <c r="E730" s="118" t="e">
        <f t="shared" ca="1" si="123"/>
        <v>#REF!</v>
      </c>
      <c r="F730" s="118" t="e">
        <f t="shared" ca="1" si="124"/>
        <v>#REF!</v>
      </c>
      <c r="G730" s="118" t="e">
        <f t="shared" ca="1" si="125"/>
        <v>#REF!</v>
      </c>
      <c r="H730" s="118" t="e">
        <f t="shared" ca="1" si="126"/>
        <v>#REF!</v>
      </c>
      <c r="I730" s="118" t="e">
        <f t="shared" ca="1" si="127"/>
        <v>#REF!</v>
      </c>
      <c r="J730" s="118" t="e">
        <f t="shared" ca="1" si="128"/>
        <v>#REF!</v>
      </c>
      <c r="K730" s="118" t="e">
        <f t="shared" ca="1" si="129"/>
        <v>#REF!</v>
      </c>
      <c r="L730" s="118" t="e">
        <f t="shared" ca="1" si="130"/>
        <v>#REF!</v>
      </c>
      <c r="M730" s="118" t="e">
        <f t="shared" ca="1" si="131"/>
        <v>#REF!</v>
      </c>
    </row>
    <row r="731" spans="1:13" x14ac:dyDescent="0.25">
      <c r="A731" s="119">
        <v>45184</v>
      </c>
      <c r="B731" s="119">
        <v>45184</v>
      </c>
      <c r="C731" s="118" t="e">
        <f t="shared" ca="1" si="121"/>
        <v>#REF!</v>
      </c>
      <c r="D731" s="118" t="e">
        <f t="shared" ca="1" si="122"/>
        <v>#REF!</v>
      </c>
      <c r="E731" s="118" t="e">
        <f t="shared" ca="1" si="123"/>
        <v>#REF!</v>
      </c>
      <c r="F731" s="118" t="e">
        <f t="shared" ca="1" si="124"/>
        <v>#REF!</v>
      </c>
      <c r="G731" s="118" t="e">
        <f t="shared" ca="1" si="125"/>
        <v>#REF!</v>
      </c>
      <c r="H731" s="118" t="e">
        <f t="shared" ca="1" si="126"/>
        <v>#REF!</v>
      </c>
      <c r="I731" s="118" t="e">
        <f t="shared" ca="1" si="127"/>
        <v>#REF!</v>
      </c>
      <c r="J731" s="118" t="e">
        <f t="shared" ca="1" si="128"/>
        <v>#REF!</v>
      </c>
      <c r="K731" s="118" t="e">
        <f t="shared" ca="1" si="129"/>
        <v>#REF!</v>
      </c>
      <c r="L731" s="118" t="e">
        <f t="shared" ca="1" si="130"/>
        <v>#REF!</v>
      </c>
      <c r="M731" s="118" t="e">
        <f t="shared" ca="1" si="131"/>
        <v>#REF!</v>
      </c>
    </row>
    <row r="732" spans="1:13" x14ac:dyDescent="0.25">
      <c r="A732" s="119">
        <v>45185</v>
      </c>
      <c r="B732" s="119">
        <v>45185</v>
      </c>
      <c r="C732" s="118" t="e">
        <f t="shared" ca="1" si="121"/>
        <v>#REF!</v>
      </c>
      <c r="D732" s="118" t="e">
        <f t="shared" ca="1" si="122"/>
        <v>#REF!</v>
      </c>
      <c r="E732" s="118" t="e">
        <f t="shared" ca="1" si="123"/>
        <v>#REF!</v>
      </c>
      <c r="F732" s="118" t="e">
        <f t="shared" ca="1" si="124"/>
        <v>#REF!</v>
      </c>
      <c r="G732" s="118" t="e">
        <f t="shared" ca="1" si="125"/>
        <v>#REF!</v>
      </c>
      <c r="H732" s="118" t="e">
        <f t="shared" ca="1" si="126"/>
        <v>#REF!</v>
      </c>
      <c r="I732" s="118" t="e">
        <f t="shared" ca="1" si="127"/>
        <v>#REF!</v>
      </c>
      <c r="J732" s="118" t="e">
        <f t="shared" ca="1" si="128"/>
        <v>#REF!</v>
      </c>
      <c r="K732" s="118" t="e">
        <f t="shared" ca="1" si="129"/>
        <v>#REF!</v>
      </c>
      <c r="L732" s="118" t="e">
        <f t="shared" ca="1" si="130"/>
        <v>#REF!</v>
      </c>
      <c r="M732" s="118" t="e">
        <f t="shared" ca="1" si="131"/>
        <v>#REF!</v>
      </c>
    </row>
    <row r="733" spans="1:13" x14ac:dyDescent="0.25">
      <c r="A733" s="119">
        <v>45186</v>
      </c>
      <c r="B733" s="119">
        <v>45186</v>
      </c>
      <c r="C733" s="118" t="e">
        <f t="shared" ca="1" si="121"/>
        <v>#REF!</v>
      </c>
      <c r="D733" s="118" t="e">
        <f t="shared" ca="1" si="122"/>
        <v>#REF!</v>
      </c>
      <c r="E733" s="118" t="e">
        <f t="shared" ca="1" si="123"/>
        <v>#REF!</v>
      </c>
      <c r="F733" s="118" t="e">
        <f t="shared" ca="1" si="124"/>
        <v>#REF!</v>
      </c>
      <c r="G733" s="118" t="e">
        <f t="shared" ca="1" si="125"/>
        <v>#REF!</v>
      </c>
      <c r="H733" s="118" t="e">
        <f t="shared" ca="1" si="126"/>
        <v>#REF!</v>
      </c>
      <c r="I733" s="118" t="e">
        <f t="shared" ca="1" si="127"/>
        <v>#REF!</v>
      </c>
      <c r="J733" s="118" t="e">
        <f t="shared" ca="1" si="128"/>
        <v>#REF!</v>
      </c>
      <c r="K733" s="118" t="e">
        <f t="shared" ca="1" si="129"/>
        <v>#REF!</v>
      </c>
      <c r="L733" s="118" t="e">
        <f t="shared" ca="1" si="130"/>
        <v>#REF!</v>
      </c>
      <c r="M733" s="118" t="e">
        <f t="shared" ca="1" si="131"/>
        <v>#REF!</v>
      </c>
    </row>
    <row r="734" spans="1:13" x14ac:dyDescent="0.25">
      <c r="A734" s="119" t="s">
        <v>233</v>
      </c>
      <c r="B734" s="119">
        <v>45187</v>
      </c>
      <c r="C734" s="118" t="e">
        <f t="shared" ca="1" si="121"/>
        <v>#REF!</v>
      </c>
      <c r="D734" s="118" t="e">
        <f t="shared" ca="1" si="122"/>
        <v>#REF!</v>
      </c>
      <c r="E734" s="118" t="e">
        <f t="shared" ca="1" si="123"/>
        <v>#REF!</v>
      </c>
      <c r="F734" s="118" t="e">
        <f t="shared" ca="1" si="124"/>
        <v>#REF!</v>
      </c>
      <c r="G734" s="118" t="e">
        <f t="shared" ca="1" si="125"/>
        <v>#REF!</v>
      </c>
      <c r="H734" s="118" t="e">
        <f t="shared" ca="1" si="126"/>
        <v>#REF!</v>
      </c>
      <c r="I734" s="118" t="e">
        <f t="shared" ca="1" si="127"/>
        <v>#REF!</v>
      </c>
      <c r="J734" s="118" t="e">
        <f t="shared" ca="1" si="128"/>
        <v>#REF!</v>
      </c>
      <c r="K734" s="118" t="e">
        <f t="shared" ca="1" si="129"/>
        <v>#REF!</v>
      </c>
      <c r="L734" s="118" t="e">
        <f t="shared" ca="1" si="130"/>
        <v>#REF!</v>
      </c>
      <c r="M734" s="118" t="e">
        <f t="shared" ca="1" si="131"/>
        <v>#REF!</v>
      </c>
    </row>
    <row r="735" spans="1:13" x14ac:dyDescent="0.25">
      <c r="A735" s="119">
        <v>45188</v>
      </c>
      <c r="B735" s="119">
        <v>45188</v>
      </c>
      <c r="C735" s="118" t="e">
        <f t="shared" ca="1" si="121"/>
        <v>#REF!</v>
      </c>
      <c r="D735" s="118" t="e">
        <f t="shared" ca="1" si="122"/>
        <v>#REF!</v>
      </c>
      <c r="E735" s="118" t="e">
        <f t="shared" ca="1" si="123"/>
        <v>#REF!</v>
      </c>
      <c r="F735" s="118" t="e">
        <f t="shared" ca="1" si="124"/>
        <v>#REF!</v>
      </c>
      <c r="G735" s="118" t="e">
        <f t="shared" ca="1" si="125"/>
        <v>#REF!</v>
      </c>
      <c r="H735" s="118" t="e">
        <f t="shared" ca="1" si="126"/>
        <v>#REF!</v>
      </c>
      <c r="I735" s="118" t="e">
        <f t="shared" ca="1" si="127"/>
        <v>#REF!</v>
      </c>
      <c r="J735" s="118" t="e">
        <f t="shared" ca="1" si="128"/>
        <v>#REF!</v>
      </c>
      <c r="K735" s="118" t="e">
        <f t="shared" ca="1" si="129"/>
        <v>#REF!</v>
      </c>
      <c r="L735" s="118" t="e">
        <f t="shared" ca="1" si="130"/>
        <v>#REF!</v>
      </c>
      <c r="M735" s="118" t="e">
        <f t="shared" ca="1" si="131"/>
        <v>#REF!</v>
      </c>
    </row>
    <row r="736" spans="1:13" x14ac:dyDescent="0.25">
      <c r="A736" s="119">
        <v>45189</v>
      </c>
      <c r="B736" s="119">
        <v>45189</v>
      </c>
      <c r="C736" s="118" t="e">
        <f t="shared" ca="1" si="121"/>
        <v>#REF!</v>
      </c>
      <c r="D736" s="118" t="e">
        <f t="shared" ca="1" si="122"/>
        <v>#REF!</v>
      </c>
      <c r="E736" s="118" t="e">
        <f t="shared" ca="1" si="123"/>
        <v>#REF!</v>
      </c>
      <c r="F736" s="118" t="e">
        <f t="shared" ca="1" si="124"/>
        <v>#REF!</v>
      </c>
      <c r="G736" s="118" t="e">
        <f t="shared" ca="1" si="125"/>
        <v>#REF!</v>
      </c>
      <c r="H736" s="118" t="e">
        <f t="shared" ca="1" si="126"/>
        <v>#REF!</v>
      </c>
      <c r="I736" s="118" t="e">
        <f t="shared" ca="1" si="127"/>
        <v>#REF!</v>
      </c>
      <c r="J736" s="118" t="e">
        <f t="shared" ca="1" si="128"/>
        <v>#REF!</v>
      </c>
      <c r="K736" s="118" t="e">
        <f t="shared" ca="1" si="129"/>
        <v>#REF!</v>
      </c>
      <c r="L736" s="118" t="e">
        <f t="shared" ca="1" si="130"/>
        <v>#REF!</v>
      </c>
      <c r="M736" s="118" t="e">
        <f t="shared" ca="1" si="131"/>
        <v>#REF!</v>
      </c>
    </row>
    <row r="737" spans="1:13" x14ac:dyDescent="0.25">
      <c r="A737" s="119">
        <v>45190</v>
      </c>
      <c r="B737" s="119">
        <v>45190</v>
      </c>
      <c r="C737" s="118" t="e">
        <f t="shared" ca="1" si="121"/>
        <v>#REF!</v>
      </c>
      <c r="D737" s="118" t="e">
        <f t="shared" ca="1" si="122"/>
        <v>#REF!</v>
      </c>
      <c r="E737" s="118" t="e">
        <f t="shared" ca="1" si="123"/>
        <v>#REF!</v>
      </c>
      <c r="F737" s="118" t="e">
        <f t="shared" ca="1" si="124"/>
        <v>#REF!</v>
      </c>
      <c r="G737" s="118" t="e">
        <f t="shared" ca="1" si="125"/>
        <v>#REF!</v>
      </c>
      <c r="H737" s="118" t="e">
        <f t="shared" ca="1" si="126"/>
        <v>#REF!</v>
      </c>
      <c r="I737" s="118" t="e">
        <f t="shared" ca="1" si="127"/>
        <v>#REF!</v>
      </c>
      <c r="J737" s="118" t="e">
        <f t="shared" ca="1" si="128"/>
        <v>#REF!</v>
      </c>
      <c r="K737" s="118" t="e">
        <f t="shared" ca="1" si="129"/>
        <v>#REF!</v>
      </c>
      <c r="L737" s="118" t="e">
        <f t="shared" ca="1" si="130"/>
        <v>#REF!</v>
      </c>
      <c r="M737" s="118" t="e">
        <f t="shared" ca="1" si="131"/>
        <v>#REF!</v>
      </c>
    </row>
    <row r="738" spans="1:13" x14ac:dyDescent="0.25">
      <c r="A738" s="119">
        <v>45191</v>
      </c>
      <c r="B738" s="119">
        <v>45191</v>
      </c>
      <c r="C738" s="118" t="e">
        <f t="shared" ca="1" si="121"/>
        <v>#REF!</v>
      </c>
      <c r="D738" s="118" t="e">
        <f t="shared" ca="1" si="122"/>
        <v>#REF!</v>
      </c>
      <c r="E738" s="118" t="e">
        <f t="shared" ca="1" si="123"/>
        <v>#REF!</v>
      </c>
      <c r="F738" s="118" t="e">
        <f t="shared" ca="1" si="124"/>
        <v>#REF!</v>
      </c>
      <c r="G738" s="118" t="e">
        <f t="shared" ca="1" si="125"/>
        <v>#REF!</v>
      </c>
      <c r="H738" s="118" t="e">
        <f t="shared" ca="1" si="126"/>
        <v>#REF!</v>
      </c>
      <c r="I738" s="118" t="e">
        <f t="shared" ca="1" si="127"/>
        <v>#REF!</v>
      </c>
      <c r="J738" s="118" t="e">
        <f t="shared" ca="1" si="128"/>
        <v>#REF!</v>
      </c>
      <c r="K738" s="118" t="e">
        <f t="shared" ca="1" si="129"/>
        <v>#REF!</v>
      </c>
      <c r="L738" s="118" t="e">
        <f t="shared" ca="1" si="130"/>
        <v>#REF!</v>
      </c>
      <c r="M738" s="118" t="e">
        <f t="shared" ca="1" si="131"/>
        <v>#REF!</v>
      </c>
    </row>
    <row r="739" spans="1:13" x14ac:dyDescent="0.25">
      <c r="A739" s="119">
        <v>45192</v>
      </c>
      <c r="B739" s="119">
        <v>45192</v>
      </c>
      <c r="C739" s="118" t="e">
        <f t="shared" ca="1" si="121"/>
        <v>#REF!</v>
      </c>
      <c r="D739" s="118" t="e">
        <f t="shared" ca="1" si="122"/>
        <v>#REF!</v>
      </c>
      <c r="E739" s="118" t="e">
        <f t="shared" ca="1" si="123"/>
        <v>#REF!</v>
      </c>
      <c r="F739" s="118" t="e">
        <f t="shared" ca="1" si="124"/>
        <v>#REF!</v>
      </c>
      <c r="G739" s="118" t="e">
        <f t="shared" ca="1" si="125"/>
        <v>#REF!</v>
      </c>
      <c r="H739" s="118" t="e">
        <f t="shared" ca="1" si="126"/>
        <v>#REF!</v>
      </c>
      <c r="I739" s="118" t="e">
        <f t="shared" ca="1" si="127"/>
        <v>#REF!</v>
      </c>
      <c r="J739" s="118" t="e">
        <f t="shared" ca="1" si="128"/>
        <v>#REF!</v>
      </c>
      <c r="K739" s="118" t="e">
        <f t="shared" ca="1" si="129"/>
        <v>#REF!</v>
      </c>
      <c r="L739" s="118" t="e">
        <f t="shared" ca="1" si="130"/>
        <v>#REF!</v>
      </c>
      <c r="M739" s="118" t="e">
        <f t="shared" ca="1" si="131"/>
        <v>#REF!</v>
      </c>
    </row>
    <row r="740" spans="1:13" x14ac:dyDescent="0.25">
      <c r="A740" s="119">
        <v>45193</v>
      </c>
      <c r="B740" s="119">
        <v>45193</v>
      </c>
      <c r="C740" s="118" t="e">
        <f t="shared" ca="1" si="121"/>
        <v>#REF!</v>
      </c>
      <c r="D740" s="118" t="e">
        <f t="shared" ca="1" si="122"/>
        <v>#REF!</v>
      </c>
      <c r="E740" s="118" t="e">
        <f t="shared" ca="1" si="123"/>
        <v>#REF!</v>
      </c>
      <c r="F740" s="118" t="e">
        <f t="shared" ca="1" si="124"/>
        <v>#REF!</v>
      </c>
      <c r="G740" s="118" t="e">
        <f t="shared" ca="1" si="125"/>
        <v>#REF!</v>
      </c>
      <c r="H740" s="118" t="e">
        <f t="shared" ca="1" si="126"/>
        <v>#REF!</v>
      </c>
      <c r="I740" s="118" t="e">
        <f t="shared" ca="1" si="127"/>
        <v>#REF!</v>
      </c>
      <c r="J740" s="118" t="e">
        <f t="shared" ca="1" si="128"/>
        <v>#REF!</v>
      </c>
      <c r="K740" s="118" t="e">
        <f t="shared" ca="1" si="129"/>
        <v>#REF!</v>
      </c>
      <c r="L740" s="118" t="e">
        <f t="shared" ca="1" si="130"/>
        <v>#REF!</v>
      </c>
      <c r="M740" s="118" t="e">
        <f t="shared" ca="1" si="131"/>
        <v>#REF!</v>
      </c>
    </row>
    <row r="741" spans="1:13" x14ac:dyDescent="0.25">
      <c r="A741" s="119" t="s">
        <v>234</v>
      </c>
      <c r="B741" s="119">
        <v>45194</v>
      </c>
      <c r="C741" s="118" t="e">
        <f t="shared" ca="1" si="121"/>
        <v>#REF!</v>
      </c>
      <c r="D741" s="118" t="e">
        <f t="shared" ca="1" si="122"/>
        <v>#REF!</v>
      </c>
      <c r="E741" s="118" t="e">
        <f t="shared" ca="1" si="123"/>
        <v>#REF!</v>
      </c>
      <c r="F741" s="118" t="e">
        <f t="shared" ca="1" si="124"/>
        <v>#REF!</v>
      </c>
      <c r="G741" s="118" t="e">
        <f t="shared" ca="1" si="125"/>
        <v>#REF!</v>
      </c>
      <c r="H741" s="118" t="e">
        <f t="shared" ca="1" si="126"/>
        <v>#REF!</v>
      </c>
      <c r="I741" s="118" t="e">
        <f t="shared" ca="1" si="127"/>
        <v>#REF!</v>
      </c>
      <c r="J741" s="118" t="e">
        <f t="shared" ca="1" si="128"/>
        <v>#REF!</v>
      </c>
      <c r="K741" s="118" t="e">
        <f t="shared" ca="1" si="129"/>
        <v>#REF!</v>
      </c>
      <c r="L741" s="118" t="e">
        <f t="shared" ca="1" si="130"/>
        <v>#REF!</v>
      </c>
      <c r="M741" s="118" t="e">
        <f t="shared" ca="1" si="131"/>
        <v>#REF!</v>
      </c>
    </row>
    <row r="742" spans="1:13" x14ac:dyDescent="0.25">
      <c r="A742" s="119">
        <v>45195</v>
      </c>
      <c r="B742" s="119">
        <v>45195</v>
      </c>
      <c r="C742" s="118" t="e">
        <f t="shared" ca="1" si="121"/>
        <v>#REF!</v>
      </c>
      <c r="D742" s="118" t="e">
        <f t="shared" ca="1" si="122"/>
        <v>#REF!</v>
      </c>
      <c r="E742" s="118" t="e">
        <f t="shared" ca="1" si="123"/>
        <v>#REF!</v>
      </c>
      <c r="F742" s="118" t="e">
        <f t="shared" ca="1" si="124"/>
        <v>#REF!</v>
      </c>
      <c r="G742" s="118" t="e">
        <f t="shared" ca="1" si="125"/>
        <v>#REF!</v>
      </c>
      <c r="H742" s="118" t="e">
        <f t="shared" ca="1" si="126"/>
        <v>#REF!</v>
      </c>
      <c r="I742" s="118" t="e">
        <f t="shared" ca="1" si="127"/>
        <v>#REF!</v>
      </c>
      <c r="J742" s="118" t="e">
        <f t="shared" ca="1" si="128"/>
        <v>#REF!</v>
      </c>
      <c r="K742" s="118" t="e">
        <f t="shared" ca="1" si="129"/>
        <v>#REF!</v>
      </c>
      <c r="L742" s="118" t="e">
        <f t="shared" ca="1" si="130"/>
        <v>#REF!</v>
      </c>
      <c r="M742" s="118" t="e">
        <f t="shared" ca="1" si="131"/>
        <v>#REF!</v>
      </c>
    </row>
    <row r="743" spans="1:13" x14ac:dyDescent="0.25">
      <c r="A743" s="119">
        <v>45196</v>
      </c>
      <c r="B743" s="119">
        <v>45196</v>
      </c>
      <c r="C743" s="118" t="e">
        <f t="shared" ca="1" si="121"/>
        <v>#REF!</v>
      </c>
      <c r="D743" s="118" t="e">
        <f t="shared" ca="1" si="122"/>
        <v>#REF!</v>
      </c>
      <c r="E743" s="118" t="e">
        <f t="shared" ca="1" si="123"/>
        <v>#REF!</v>
      </c>
      <c r="F743" s="118" t="e">
        <f t="shared" ca="1" si="124"/>
        <v>#REF!</v>
      </c>
      <c r="G743" s="118" t="e">
        <f t="shared" ca="1" si="125"/>
        <v>#REF!</v>
      </c>
      <c r="H743" s="118" t="e">
        <f t="shared" ca="1" si="126"/>
        <v>#REF!</v>
      </c>
      <c r="I743" s="118" t="e">
        <f t="shared" ca="1" si="127"/>
        <v>#REF!</v>
      </c>
      <c r="J743" s="118" t="e">
        <f t="shared" ca="1" si="128"/>
        <v>#REF!</v>
      </c>
      <c r="K743" s="118" t="e">
        <f t="shared" ca="1" si="129"/>
        <v>#REF!</v>
      </c>
      <c r="L743" s="118" t="e">
        <f t="shared" ca="1" si="130"/>
        <v>#REF!</v>
      </c>
      <c r="M743" s="118" t="e">
        <f t="shared" ca="1" si="131"/>
        <v>#REF!</v>
      </c>
    </row>
    <row r="744" spans="1:13" x14ac:dyDescent="0.25">
      <c r="A744" s="119">
        <v>45197</v>
      </c>
      <c r="B744" s="119">
        <v>45197</v>
      </c>
      <c r="C744" s="118" t="e">
        <f t="shared" ca="1" si="121"/>
        <v>#REF!</v>
      </c>
      <c r="D744" s="118" t="e">
        <f t="shared" ca="1" si="122"/>
        <v>#REF!</v>
      </c>
      <c r="E744" s="118" t="e">
        <f t="shared" ca="1" si="123"/>
        <v>#REF!</v>
      </c>
      <c r="F744" s="118" t="e">
        <f t="shared" ca="1" si="124"/>
        <v>#REF!</v>
      </c>
      <c r="G744" s="118" t="e">
        <f t="shared" ca="1" si="125"/>
        <v>#REF!</v>
      </c>
      <c r="H744" s="118" t="e">
        <f t="shared" ca="1" si="126"/>
        <v>#REF!</v>
      </c>
      <c r="I744" s="118" t="e">
        <f t="shared" ca="1" si="127"/>
        <v>#REF!</v>
      </c>
      <c r="J744" s="118" t="e">
        <f t="shared" ca="1" si="128"/>
        <v>#REF!</v>
      </c>
      <c r="K744" s="118" t="e">
        <f t="shared" ca="1" si="129"/>
        <v>#REF!</v>
      </c>
      <c r="L744" s="118" t="e">
        <f t="shared" ca="1" si="130"/>
        <v>#REF!</v>
      </c>
      <c r="M744" s="118" t="e">
        <f t="shared" ca="1" si="131"/>
        <v>#REF!</v>
      </c>
    </row>
    <row r="745" spans="1:13" x14ac:dyDescent="0.25">
      <c r="A745" s="119">
        <v>45198</v>
      </c>
      <c r="B745" s="119">
        <v>45198</v>
      </c>
      <c r="C745" s="118" t="e">
        <f t="shared" ca="1" si="121"/>
        <v>#REF!</v>
      </c>
      <c r="D745" s="118" t="e">
        <f t="shared" ca="1" si="122"/>
        <v>#REF!</v>
      </c>
      <c r="E745" s="118" t="e">
        <f t="shared" ca="1" si="123"/>
        <v>#REF!</v>
      </c>
      <c r="F745" s="118" t="e">
        <f t="shared" ca="1" si="124"/>
        <v>#REF!</v>
      </c>
      <c r="G745" s="118" t="e">
        <f t="shared" ca="1" si="125"/>
        <v>#REF!</v>
      </c>
      <c r="H745" s="118" t="e">
        <f t="shared" ca="1" si="126"/>
        <v>#REF!</v>
      </c>
      <c r="I745" s="118" t="e">
        <f t="shared" ca="1" si="127"/>
        <v>#REF!</v>
      </c>
      <c r="J745" s="118" t="e">
        <f t="shared" ca="1" si="128"/>
        <v>#REF!</v>
      </c>
      <c r="K745" s="118" t="e">
        <f t="shared" ca="1" si="129"/>
        <v>#REF!</v>
      </c>
      <c r="L745" s="118" t="e">
        <f t="shared" ca="1" si="130"/>
        <v>#REF!</v>
      </c>
      <c r="M745" s="118" t="e">
        <f t="shared" ca="1" si="131"/>
        <v>#REF!</v>
      </c>
    </row>
    <row r="746" spans="1:13" x14ac:dyDescent="0.25">
      <c r="A746" s="119">
        <v>45199</v>
      </c>
      <c r="B746" s="119">
        <v>45199</v>
      </c>
      <c r="C746" s="118" t="e">
        <f t="shared" ca="1" si="121"/>
        <v>#REF!</v>
      </c>
      <c r="D746" s="118" t="e">
        <f t="shared" ca="1" si="122"/>
        <v>#REF!</v>
      </c>
      <c r="E746" s="118" t="e">
        <f t="shared" ca="1" si="123"/>
        <v>#REF!</v>
      </c>
      <c r="F746" s="118" t="e">
        <f t="shared" ca="1" si="124"/>
        <v>#REF!</v>
      </c>
      <c r="G746" s="118" t="e">
        <f t="shared" ca="1" si="125"/>
        <v>#REF!</v>
      </c>
      <c r="H746" s="118" t="e">
        <f t="shared" ca="1" si="126"/>
        <v>#REF!</v>
      </c>
      <c r="I746" s="118" t="e">
        <f t="shared" ca="1" si="127"/>
        <v>#REF!</v>
      </c>
      <c r="J746" s="118" t="e">
        <f t="shared" ca="1" si="128"/>
        <v>#REF!</v>
      </c>
      <c r="K746" s="118" t="e">
        <f t="shared" ca="1" si="129"/>
        <v>#REF!</v>
      </c>
      <c r="L746" s="118" t="e">
        <f t="shared" ca="1" si="130"/>
        <v>#REF!</v>
      </c>
      <c r="M746" s="118" t="e">
        <f t="shared" ca="1" si="131"/>
        <v>#REF!</v>
      </c>
    </row>
    <row r="747" spans="1:13" x14ac:dyDescent="0.25">
      <c r="A747" s="119">
        <v>45200</v>
      </c>
      <c r="B747" s="119">
        <v>45200</v>
      </c>
      <c r="C747" s="118" t="e">
        <f t="shared" ca="1" si="121"/>
        <v>#REF!</v>
      </c>
      <c r="D747" s="118" t="e">
        <f t="shared" ca="1" si="122"/>
        <v>#REF!</v>
      </c>
      <c r="E747" s="118" t="e">
        <f t="shared" ca="1" si="123"/>
        <v>#REF!</v>
      </c>
      <c r="F747" s="118" t="e">
        <f t="shared" ca="1" si="124"/>
        <v>#REF!</v>
      </c>
      <c r="G747" s="118" t="e">
        <f t="shared" ca="1" si="125"/>
        <v>#REF!</v>
      </c>
      <c r="H747" s="118" t="e">
        <f t="shared" ca="1" si="126"/>
        <v>#REF!</v>
      </c>
      <c r="I747" s="118" t="e">
        <f t="shared" ca="1" si="127"/>
        <v>#REF!</v>
      </c>
      <c r="J747" s="118" t="e">
        <f t="shared" ca="1" si="128"/>
        <v>#REF!</v>
      </c>
      <c r="K747" s="118" t="e">
        <f t="shared" ca="1" si="129"/>
        <v>#REF!</v>
      </c>
      <c r="L747" s="118" t="e">
        <f t="shared" ca="1" si="130"/>
        <v>#REF!</v>
      </c>
      <c r="M747" s="118" t="e">
        <f t="shared" ca="1" si="131"/>
        <v>#REF!</v>
      </c>
    </row>
    <row r="748" spans="1:13" x14ac:dyDescent="0.25">
      <c r="A748" s="119" t="s">
        <v>235</v>
      </c>
      <c r="B748" s="119">
        <v>45201</v>
      </c>
      <c r="C748" s="118" t="e">
        <f t="shared" ca="1" si="121"/>
        <v>#REF!</v>
      </c>
      <c r="D748" s="118" t="e">
        <f t="shared" ca="1" si="122"/>
        <v>#REF!</v>
      </c>
      <c r="E748" s="118" t="e">
        <f t="shared" ca="1" si="123"/>
        <v>#REF!</v>
      </c>
      <c r="F748" s="118" t="e">
        <f t="shared" ca="1" si="124"/>
        <v>#REF!</v>
      </c>
      <c r="G748" s="118" t="e">
        <f t="shared" ca="1" si="125"/>
        <v>#REF!</v>
      </c>
      <c r="H748" s="118" t="e">
        <f t="shared" ca="1" si="126"/>
        <v>#REF!</v>
      </c>
      <c r="I748" s="118" t="e">
        <f t="shared" ca="1" si="127"/>
        <v>#REF!</v>
      </c>
      <c r="J748" s="118" t="e">
        <f t="shared" ca="1" si="128"/>
        <v>#REF!</v>
      </c>
      <c r="K748" s="118" t="e">
        <f t="shared" ca="1" si="129"/>
        <v>#REF!</v>
      </c>
      <c r="L748" s="118" t="e">
        <f t="shared" ca="1" si="130"/>
        <v>#REF!</v>
      </c>
      <c r="M748" s="118" t="e">
        <f t="shared" ca="1" si="131"/>
        <v>#REF!</v>
      </c>
    </row>
    <row r="749" spans="1:13" x14ac:dyDescent="0.25">
      <c r="A749" s="119">
        <v>45202</v>
      </c>
      <c r="B749" s="119">
        <v>45202</v>
      </c>
      <c r="C749" s="118" t="e">
        <f t="shared" ca="1" si="121"/>
        <v>#REF!</v>
      </c>
      <c r="D749" s="118" t="e">
        <f t="shared" ca="1" si="122"/>
        <v>#REF!</v>
      </c>
      <c r="E749" s="118" t="e">
        <f t="shared" ca="1" si="123"/>
        <v>#REF!</v>
      </c>
      <c r="F749" s="118" t="e">
        <f t="shared" ca="1" si="124"/>
        <v>#REF!</v>
      </c>
      <c r="G749" s="118" t="e">
        <f t="shared" ca="1" si="125"/>
        <v>#REF!</v>
      </c>
      <c r="H749" s="118" t="e">
        <f t="shared" ca="1" si="126"/>
        <v>#REF!</v>
      </c>
      <c r="I749" s="118" t="e">
        <f t="shared" ca="1" si="127"/>
        <v>#REF!</v>
      </c>
      <c r="J749" s="118" t="e">
        <f t="shared" ca="1" si="128"/>
        <v>#REF!</v>
      </c>
      <c r="K749" s="118" t="e">
        <f t="shared" ca="1" si="129"/>
        <v>#REF!</v>
      </c>
      <c r="L749" s="118" t="e">
        <f t="shared" ca="1" si="130"/>
        <v>#REF!</v>
      </c>
      <c r="M749" s="118" t="e">
        <f t="shared" ca="1" si="131"/>
        <v>#REF!</v>
      </c>
    </row>
    <row r="750" spans="1:13" x14ac:dyDescent="0.25">
      <c r="A750" s="119">
        <v>45203</v>
      </c>
      <c r="B750" s="119">
        <v>45203</v>
      </c>
      <c r="C750" s="118" t="e">
        <f t="shared" ca="1" si="121"/>
        <v>#REF!</v>
      </c>
      <c r="D750" s="118" t="e">
        <f t="shared" ca="1" si="122"/>
        <v>#REF!</v>
      </c>
      <c r="E750" s="118" t="e">
        <f t="shared" ca="1" si="123"/>
        <v>#REF!</v>
      </c>
      <c r="F750" s="118" t="e">
        <f t="shared" ca="1" si="124"/>
        <v>#REF!</v>
      </c>
      <c r="G750" s="118" t="e">
        <f t="shared" ca="1" si="125"/>
        <v>#REF!</v>
      </c>
      <c r="H750" s="118" t="e">
        <f t="shared" ca="1" si="126"/>
        <v>#REF!</v>
      </c>
      <c r="I750" s="118" t="e">
        <f t="shared" ca="1" si="127"/>
        <v>#REF!</v>
      </c>
      <c r="J750" s="118" t="e">
        <f t="shared" ca="1" si="128"/>
        <v>#REF!</v>
      </c>
      <c r="K750" s="118" t="e">
        <f t="shared" ca="1" si="129"/>
        <v>#REF!</v>
      </c>
      <c r="L750" s="118" t="e">
        <f t="shared" ca="1" si="130"/>
        <v>#REF!</v>
      </c>
      <c r="M750" s="118" t="e">
        <f t="shared" ca="1" si="131"/>
        <v>#REF!</v>
      </c>
    </row>
    <row r="751" spans="1:13" x14ac:dyDescent="0.25">
      <c r="A751" s="119">
        <v>45204</v>
      </c>
      <c r="B751" s="119">
        <v>45204</v>
      </c>
      <c r="C751" s="118" t="e">
        <f t="shared" ca="1" si="121"/>
        <v>#REF!</v>
      </c>
      <c r="D751" s="118" t="e">
        <f t="shared" ca="1" si="122"/>
        <v>#REF!</v>
      </c>
      <c r="E751" s="118" t="e">
        <f t="shared" ca="1" si="123"/>
        <v>#REF!</v>
      </c>
      <c r="F751" s="118" t="e">
        <f t="shared" ca="1" si="124"/>
        <v>#REF!</v>
      </c>
      <c r="G751" s="118" t="e">
        <f t="shared" ca="1" si="125"/>
        <v>#REF!</v>
      </c>
      <c r="H751" s="118" t="e">
        <f t="shared" ca="1" si="126"/>
        <v>#REF!</v>
      </c>
      <c r="I751" s="118" t="e">
        <f t="shared" ca="1" si="127"/>
        <v>#REF!</v>
      </c>
      <c r="J751" s="118" t="e">
        <f t="shared" ca="1" si="128"/>
        <v>#REF!</v>
      </c>
      <c r="K751" s="118" t="e">
        <f t="shared" ca="1" si="129"/>
        <v>#REF!</v>
      </c>
      <c r="L751" s="118" t="e">
        <f t="shared" ca="1" si="130"/>
        <v>#REF!</v>
      </c>
      <c r="M751" s="118" t="e">
        <f t="shared" ca="1" si="131"/>
        <v>#REF!</v>
      </c>
    </row>
    <row r="752" spans="1:13" x14ac:dyDescent="0.25">
      <c r="A752" s="119">
        <v>45205</v>
      </c>
      <c r="B752" s="119">
        <v>45205</v>
      </c>
      <c r="C752" s="118" t="e">
        <f t="shared" ca="1" si="121"/>
        <v>#REF!</v>
      </c>
      <c r="D752" s="118" t="e">
        <f t="shared" ca="1" si="122"/>
        <v>#REF!</v>
      </c>
      <c r="E752" s="118" t="e">
        <f t="shared" ca="1" si="123"/>
        <v>#REF!</v>
      </c>
      <c r="F752" s="118" t="e">
        <f t="shared" ca="1" si="124"/>
        <v>#REF!</v>
      </c>
      <c r="G752" s="118" t="e">
        <f t="shared" ca="1" si="125"/>
        <v>#REF!</v>
      </c>
      <c r="H752" s="118" t="e">
        <f t="shared" ca="1" si="126"/>
        <v>#REF!</v>
      </c>
      <c r="I752" s="118" t="e">
        <f t="shared" ca="1" si="127"/>
        <v>#REF!</v>
      </c>
      <c r="J752" s="118" t="e">
        <f t="shared" ca="1" si="128"/>
        <v>#REF!</v>
      </c>
      <c r="K752" s="118" t="e">
        <f t="shared" ca="1" si="129"/>
        <v>#REF!</v>
      </c>
      <c r="L752" s="118" t="e">
        <f t="shared" ca="1" si="130"/>
        <v>#REF!</v>
      </c>
      <c r="M752" s="118" t="e">
        <f t="shared" ca="1" si="131"/>
        <v>#REF!</v>
      </c>
    </row>
    <row r="753" spans="1:13" x14ac:dyDescent="0.25">
      <c r="A753" s="119">
        <v>45206</v>
      </c>
      <c r="B753" s="119">
        <v>45206</v>
      </c>
      <c r="C753" s="118" t="e">
        <f t="shared" ca="1" si="121"/>
        <v>#REF!</v>
      </c>
      <c r="D753" s="118" t="e">
        <f t="shared" ca="1" si="122"/>
        <v>#REF!</v>
      </c>
      <c r="E753" s="118" t="e">
        <f t="shared" ca="1" si="123"/>
        <v>#REF!</v>
      </c>
      <c r="F753" s="118" t="e">
        <f t="shared" ca="1" si="124"/>
        <v>#REF!</v>
      </c>
      <c r="G753" s="118" t="e">
        <f t="shared" ca="1" si="125"/>
        <v>#REF!</v>
      </c>
      <c r="H753" s="118" t="e">
        <f t="shared" ca="1" si="126"/>
        <v>#REF!</v>
      </c>
      <c r="I753" s="118" t="e">
        <f t="shared" ca="1" si="127"/>
        <v>#REF!</v>
      </c>
      <c r="J753" s="118" t="e">
        <f t="shared" ca="1" si="128"/>
        <v>#REF!</v>
      </c>
      <c r="K753" s="118" t="e">
        <f t="shared" ca="1" si="129"/>
        <v>#REF!</v>
      </c>
      <c r="L753" s="118" t="e">
        <f t="shared" ca="1" si="130"/>
        <v>#REF!</v>
      </c>
      <c r="M753" s="118" t="e">
        <f t="shared" ca="1" si="131"/>
        <v>#REF!</v>
      </c>
    </row>
    <row r="754" spans="1:13" x14ac:dyDescent="0.25">
      <c r="A754" s="119">
        <v>45207</v>
      </c>
      <c r="B754" s="119">
        <v>45207</v>
      </c>
      <c r="C754" s="118" t="e">
        <f t="shared" ca="1" si="121"/>
        <v>#REF!</v>
      </c>
      <c r="D754" s="118" t="e">
        <f t="shared" ca="1" si="122"/>
        <v>#REF!</v>
      </c>
      <c r="E754" s="118" t="e">
        <f t="shared" ca="1" si="123"/>
        <v>#REF!</v>
      </c>
      <c r="F754" s="118" t="e">
        <f t="shared" ca="1" si="124"/>
        <v>#REF!</v>
      </c>
      <c r="G754" s="118" t="e">
        <f t="shared" ca="1" si="125"/>
        <v>#REF!</v>
      </c>
      <c r="H754" s="118" t="e">
        <f t="shared" ca="1" si="126"/>
        <v>#REF!</v>
      </c>
      <c r="I754" s="118" t="e">
        <f t="shared" ca="1" si="127"/>
        <v>#REF!</v>
      </c>
      <c r="J754" s="118" t="e">
        <f t="shared" ca="1" si="128"/>
        <v>#REF!</v>
      </c>
      <c r="K754" s="118" t="e">
        <f t="shared" ca="1" si="129"/>
        <v>#REF!</v>
      </c>
      <c r="L754" s="118" t="e">
        <f t="shared" ca="1" si="130"/>
        <v>#REF!</v>
      </c>
      <c r="M754" s="118" t="e">
        <f t="shared" ca="1" si="131"/>
        <v>#REF!</v>
      </c>
    </row>
    <row r="755" spans="1:13" x14ac:dyDescent="0.25">
      <c r="A755" s="119">
        <v>45208</v>
      </c>
      <c r="B755" s="119">
        <v>45208</v>
      </c>
      <c r="C755" s="118" t="e">
        <f t="shared" ca="1" si="121"/>
        <v>#REF!</v>
      </c>
      <c r="D755" s="118" t="e">
        <f t="shared" ca="1" si="122"/>
        <v>#REF!</v>
      </c>
      <c r="E755" s="118" t="e">
        <f t="shared" ca="1" si="123"/>
        <v>#REF!</v>
      </c>
      <c r="F755" s="118" t="e">
        <f t="shared" ca="1" si="124"/>
        <v>#REF!</v>
      </c>
      <c r="G755" s="118" t="e">
        <f t="shared" ca="1" si="125"/>
        <v>#REF!</v>
      </c>
      <c r="H755" s="118" t="e">
        <f t="shared" ca="1" si="126"/>
        <v>#REF!</v>
      </c>
      <c r="I755" s="118" t="e">
        <f t="shared" ca="1" si="127"/>
        <v>#REF!</v>
      </c>
      <c r="J755" s="118" t="e">
        <f t="shared" ca="1" si="128"/>
        <v>#REF!</v>
      </c>
      <c r="K755" s="118" t="e">
        <f t="shared" ca="1" si="129"/>
        <v>#REF!</v>
      </c>
      <c r="L755" s="118" t="e">
        <f t="shared" ca="1" si="130"/>
        <v>#REF!</v>
      </c>
      <c r="M755" s="118" t="e">
        <f t="shared" ca="1" si="131"/>
        <v>#REF!</v>
      </c>
    </row>
    <row r="756" spans="1:13" x14ac:dyDescent="0.25">
      <c r="A756" s="119">
        <v>45209</v>
      </c>
      <c r="B756" s="119">
        <v>45209</v>
      </c>
      <c r="C756" s="118" t="e">
        <f t="shared" ca="1" si="121"/>
        <v>#REF!</v>
      </c>
      <c r="D756" s="118" t="e">
        <f t="shared" ca="1" si="122"/>
        <v>#REF!</v>
      </c>
      <c r="E756" s="118" t="e">
        <f t="shared" ca="1" si="123"/>
        <v>#REF!</v>
      </c>
      <c r="F756" s="118" t="e">
        <f t="shared" ca="1" si="124"/>
        <v>#REF!</v>
      </c>
      <c r="G756" s="118" t="e">
        <f t="shared" ca="1" si="125"/>
        <v>#REF!</v>
      </c>
      <c r="H756" s="118" t="e">
        <f t="shared" ca="1" si="126"/>
        <v>#REF!</v>
      </c>
      <c r="I756" s="118" t="e">
        <f t="shared" ca="1" si="127"/>
        <v>#REF!</v>
      </c>
      <c r="J756" s="118" t="e">
        <f t="shared" ca="1" si="128"/>
        <v>#REF!</v>
      </c>
      <c r="K756" s="118" t="e">
        <f t="shared" ca="1" si="129"/>
        <v>#REF!</v>
      </c>
      <c r="L756" s="118" t="e">
        <f t="shared" ca="1" si="130"/>
        <v>#REF!</v>
      </c>
      <c r="M756" s="118" t="e">
        <f t="shared" ca="1" si="131"/>
        <v>#REF!</v>
      </c>
    </row>
    <row r="757" spans="1:13" x14ac:dyDescent="0.25">
      <c r="A757" s="119">
        <v>45210</v>
      </c>
      <c r="B757" s="119">
        <v>45210</v>
      </c>
      <c r="C757" s="118" t="e">
        <f t="shared" ca="1" si="121"/>
        <v>#REF!</v>
      </c>
      <c r="D757" s="118" t="e">
        <f t="shared" ca="1" si="122"/>
        <v>#REF!</v>
      </c>
      <c r="E757" s="118" t="e">
        <f t="shared" ca="1" si="123"/>
        <v>#REF!</v>
      </c>
      <c r="F757" s="118" t="e">
        <f t="shared" ca="1" si="124"/>
        <v>#REF!</v>
      </c>
      <c r="G757" s="118" t="e">
        <f t="shared" ca="1" si="125"/>
        <v>#REF!</v>
      </c>
      <c r="H757" s="118" t="e">
        <f t="shared" ca="1" si="126"/>
        <v>#REF!</v>
      </c>
      <c r="I757" s="118" t="e">
        <f t="shared" ca="1" si="127"/>
        <v>#REF!</v>
      </c>
      <c r="J757" s="118" t="e">
        <f t="shared" ca="1" si="128"/>
        <v>#REF!</v>
      </c>
      <c r="K757" s="118" t="e">
        <f t="shared" ca="1" si="129"/>
        <v>#REF!</v>
      </c>
      <c r="L757" s="118" t="e">
        <f t="shared" ca="1" si="130"/>
        <v>#REF!</v>
      </c>
      <c r="M757" s="118" t="e">
        <f t="shared" ca="1" si="131"/>
        <v>#REF!</v>
      </c>
    </row>
    <row r="758" spans="1:13" x14ac:dyDescent="0.25">
      <c r="A758" s="119" t="s">
        <v>236</v>
      </c>
      <c r="B758" s="119">
        <v>45211</v>
      </c>
      <c r="C758" s="118" t="e">
        <f t="shared" ca="1" si="121"/>
        <v>#REF!</v>
      </c>
      <c r="D758" s="118" t="e">
        <f t="shared" ca="1" si="122"/>
        <v>#REF!</v>
      </c>
      <c r="E758" s="118" t="e">
        <f t="shared" ca="1" si="123"/>
        <v>#REF!</v>
      </c>
      <c r="F758" s="118" t="e">
        <f t="shared" ca="1" si="124"/>
        <v>#REF!</v>
      </c>
      <c r="G758" s="118" t="e">
        <f t="shared" ca="1" si="125"/>
        <v>#REF!</v>
      </c>
      <c r="H758" s="118" t="e">
        <f t="shared" ca="1" si="126"/>
        <v>#REF!</v>
      </c>
      <c r="I758" s="118" t="e">
        <f t="shared" ca="1" si="127"/>
        <v>#REF!</v>
      </c>
      <c r="J758" s="118" t="e">
        <f t="shared" ca="1" si="128"/>
        <v>#REF!</v>
      </c>
      <c r="K758" s="118" t="e">
        <f t="shared" ca="1" si="129"/>
        <v>#REF!</v>
      </c>
      <c r="L758" s="118" t="e">
        <f t="shared" ca="1" si="130"/>
        <v>#REF!</v>
      </c>
      <c r="M758" s="118" t="e">
        <f t="shared" ca="1" si="131"/>
        <v>#REF!</v>
      </c>
    </row>
    <row r="759" spans="1:13" x14ac:dyDescent="0.25">
      <c r="A759" s="119">
        <v>45212</v>
      </c>
      <c r="B759" s="119">
        <v>45212</v>
      </c>
      <c r="C759" s="118" t="e">
        <f t="shared" ca="1" si="121"/>
        <v>#REF!</v>
      </c>
      <c r="D759" s="118" t="e">
        <f t="shared" ca="1" si="122"/>
        <v>#REF!</v>
      </c>
      <c r="E759" s="118" t="e">
        <f t="shared" ca="1" si="123"/>
        <v>#REF!</v>
      </c>
      <c r="F759" s="118" t="e">
        <f t="shared" ca="1" si="124"/>
        <v>#REF!</v>
      </c>
      <c r="G759" s="118" t="e">
        <f t="shared" ca="1" si="125"/>
        <v>#REF!</v>
      </c>
      <c r="H759" s="118" t="e">
        <f t="shared" ca="1" si="126"/>
        <v>#REF!</v>
      </c>
      <c r="I759" s="118" t="e">
        <f t="shared" ca="1" si="127"/>
        <v>#REF!</v>
      </c>
      <c r="J759" s="118" t="e">
        <f t="shared" ca="1" si="128"/>
        <v>#REF!</v>
      </c>
      <c r="K759" s="118" t="e">
        <f t="shared" ca="1" si="129"/>
        <v>#REF!</v>
      </c>
      <c r="L759" s="118" t="e">
        <f t="shared" ca="1" si="130"/>
        <v>#REF!</v>
      </c>
      <c r="M759" s="118" t="e">
        <f t="shared" ca="1" si="131"/>
        <v>#REF!</v>
      </c>
    </row>
    <row r="760" spans="1:13" x14ac:dyDescent="0.25">
      <c r="A760" s="119">
        <v>45213</v>
      </c>
      <c r="B760" s="119">
        <v>45213</v>
      </c>
      <c r="C760" s="118" t="e">
        <f t="shared" ca="1" si="121"/>
        <v>#REF!</v>
      </c>
      <c r="D760" s="118" t="e">
        <f t="shared" ca="1" si="122"/>
        <v>#REF!</v>
      </c>
      <c r="E760" s="118" t="e">
        <f t="shared" ca="1" si="123"/>
        <v>#REF!</v>
      </c>
      <c r="F760" s="118" t="e">
        <f t="shared" ca="1" si="124"/>
        <v>#REF!</v>
      </c>
      <c r="G760" s="118" t="e">
        <f t="shared" ca="1" si="125"/>
        <v>#REF!</v>
      </c>
      <c r="H760" s="118" t="e">
        <f t="shared" ca="1" si="126"/>
        <v>#REF!</v>
      </c>
      <c r="I760" s="118" t="e">
        <f t="shared" ca="1" si="127"/>
        <v>#REF!</v>
      </c>
      <c r="J760" s="118" t="e">
        <f t="shared" ca="1" si="128"/>
        <v>#REF!</v>
      </c>
      <c r="K760" s="118" t="e">
        <f t="shared" ca="1" si="129"/>
        <v>#REF!</v>
      </c>
      <c r="L760" s="118" t="e">
        <f t="shared" ca="1" si="130"/>
        <v>#REF!</v>
      </c>
      <c r="M760" s="118" t="e">
        <f t="shared" ca="1" si="131"/>
        <v>#REF!</v>
      </c>
    </row>
    <row r="761" spans="1:13" x14ac:dyDescent="0.25">
      <c r="A761" s="119">
        <v>45214</v>
      </c>
      <c r="B761" s="119">
        <v>45214</v>
      </c>
      <c r="C761" s="118" t="e">
        <f t="shared" ca="1" si="121"/>
        <v>#REF!</v>
      </c>
      <c r="D761" s="118" t="e">
        <f t="shared" ca="1" si="122"/>
        <v>#REF!</v>
      </c>
      <c r="E761" s="118" t="e">
        <f t="shared" ca="1" si="123"/>
        <v>#REF!</v>
      </c>
      <c r="F761" s="118" t="e">
        <f t="shared" ca="1" si="124"/>
        <v>#REF!</v>
      </c>
      <c r="G761" s="118" t="e">
        <f t="shared" ca="1" si="125"/>
        <v>#REF!</v>
      </c>
      <c r="H761" s="118" t="e">
        <f t="shared" ca="1" si="126"/>
        <v>#REF!</v>
      </c>
      <c r="I761" s="118" t="e">
        <f t="shared" ca="1" si="127"/>
        <v>#REF!</v>
      </c>
      <c r="J761" s="118" t="e">
        <f t="shared" ca="1" si="128"/>
        <v>#REF!</v>
      </c>
      <c r="K761" s="118" t="e">
        <f t="shared" ca="1" si="129"/>
        <v>#REF!</v>
      </c>
      <c r="L761" s="118" t="e">
        <f t="shared" ca="1" si="130"/>
        <v>#REF!</v>
      </c>
      <c r="M761" s="118" t="e">
        <f t="shared" ca="1" si="131"/>
        <v>#REF!</v>
      </c>
    </row>
    <row r="762" spans="1:13" x14ac:dyDescent="0.25">
      <c r="A762" s="119" t="s">
        <v>237</v>
      </c>
      <c r="B762" s="119">
        <v>45215</v>
      </c>
      <c r="C762" s="118" t="e">
        <f t="shared" ca="1" si="121"/>
        <v>#REF!</v>
      </c>
      <c r="D762" s="118" t="e">
        <f t="shared" ca="1" si="122"/>
        <v>#REF!</v>
      </c>
      <c r="E762" s="118" t="e">
        <f t="shared" ca="1" si="123"/>
        <v>#REF!</v>
      </c>
      <c r="F762" s="118" t="e">
        <f t="shared" ca="1" si="124"/>
        <v>#REF!</v>
      </c>
      <c r="G762" s="118" t="e">
        <f t="shared" ca="1" si="125"/>
        <v>#REF!</v>
      </c>
      <c r="H762" s="118" t="e">
        <f t="shared" ca="1" si="126"/>
        <v>#REF!</v>
      </c>
      <c r="I762" s="118" t="e">
        <f t="shared" ca="1" si="127"/>
        <v>#REF!</v>
      </c>
      <c r="J762" s="118" t="e">
        <f t="shared" ca="1" si="128"/>
        <v>#REF!</v>
      </c>
      <c r="K762" s="118" t="e">
        <f t="shared" ca="1" si="129"/>
        <v>#REF!</v>
      </c>
      <c r="L762" s="118" t="e">
        <f t="shared" ca="1" si="130"/>
        <v>#REF!</v>
      </c>
      <c r="M762" s="118" t="e">
        <f t="shared" ca="1" si="131"/>
        <v>#REF!</v>
      </c>
    </row>
    <row r="763" spans="1:13" x14ac:dyDescent="0.25">
      <c r="A763" s="119">
        <v>45216</v>
      </c>
      <c r="B763" s="119">
        <v>45216</v>
      </c>
      <c r="C763" s="118" t="e">
        <f t="shared" ca="1" si="121"/>
        <v>#REF!</v>
      </c>
      <c r="D763" s="118" t="e">
        <f t="shared" ca="1" si="122"/>
        <v>#REF!</v>
      </c>
      <c r="E763" s="118" t="e">
        <f t="shared" ca="1" si="123"/>
        <v>#REF!</v>
      </c>
      <c r="F763" s="118" t="e">
        <f t="shared" ca="1" si="124"/>
        <v>#REF!</v>
      </c>
      <c r="G763" s="118" t="e">
        <f t="shared" ca="1" si="125"/>
        <v>#REF!</v>
      </c>
      <c r="H763" s="118" t="e">
        <f t="shared" ca="1" si="126"/>
        <v>#REF!</v>
      </c>
      <c r="I763" s="118" t="e">
        <f t="shared" ca="1" si="127"/>
        <v>#REF!</v>
      </c>
      <c r="J763" s="118" t="e">
        <f t="shared" ca="1" si="128"/>
        <v>#REF!</v>
      </c>
      <c r="K763" s="118" t="e">
        <f t="shared" ca="1" si="129"/>
        <v>#REF!</v>
      </c>
      <c r="L763" s="118" t="e">
        <f t="shared" ca="1" si="130"/>
        <v>#REF!</v>
      </c>
      <c r="M763" s="118" t="e">
        <f t="shared" ca="1" si="131"/>
        <v>#REF!</v>
      </c>
    </row>
    <row r="764" spans="1:13" x14ac:dyDescent="0.25">
      <c r="A764" s="119">
        <v>45217</v>
      </c>
      <c r="B764" s="119">
        <v>45217</v>
      </c>
      <c r="C764" s="118" t="e">
        <f t="shared" ca="1" si="121"/>
        <v>#REF!</v>
      </c>
      <c r="D764" s="118" t="e">
        <f t="shared" ca="1" si="122"/>
        <v>#REF!</v>
      </c>
      <c r="E764" s="118" t="e">
        <f t="shared" ca="1" si="123"/>
        <v>#REF!</v>
      </c>
      <c r="F764" s="118" t="e">
        <f t="shared" ca="1" si="124"/>
        <v>#REF!</v>
      </c>
      <c r="G764" s="118" t="e">
        <f t="shared" ca="1" si="125"/>
        <v>#REF!</v>
      </c>
      <c r="H764" s="118" t="e">
        <f t="shared" ca="1" si="126"/>
        <v>#REF!</v>
      </c>
      <c r="I764" s="118" t="e">
        <f t="shared" ca="1" si="127"/>
        <v>#REF!</v>
      </c>
      <c r="J764" s="118" t="e">
        <f t="shared" ca="1" si="128"/>
        <v>#REF!</v>
      </c>
      <c r="K764" s="118" t="e">
        <f t="shared" ca="1" si="129"/>
        <v>#REF!</v>
      </c>
      <c r="L764" s="118" t="e">
        <f t="shared" ca="1" si="130"/>
        <v>#REF!</v>
      </c>
      <c r="M764" s="118" t="e">
        <f t="shared" ca="1" si="131"/>
        <v>#REF!</v>
      </c>
    </row>
    <row r="765" spans="1:13" x14ac:dyDescent="0.25">
      <c r="A765" s="119">
        <v>45218</v>
      </c>
      <c r="B765" s="119">
        <v>45218</v>
      </c>
      <c r="C765" s="118" t="e">
        <f t="shared" ca="1" si="121"/>
        <v>#REF!</v>
      </c>
      <c r="D765" s="118" t="e">
        <f t="shared" ca="1" si="122"/>
        <v>#REF!</v>
      </c>
      <c r="E765" s="118" t="e">
        <f t="shared" ca="1" si="123"/>
        <v>#REF!</v>
      </c>
      <c r="F765" s="118" t="e">
        <f t="shared" ca="1" si="124"/>
        <v>#REF!</v>
      </c>
      <c r="G765" s="118" t="e">
        <f t="shared" ca="1" si="125"/>
        <v>#REF!</v>
      </c>
      <c r="H765" s="118" t="e">
        <f t="shared" ca="1" si="126"/>
        <v>#REF!</v>
      </c>
      <c r="I765" s="118" t="e">
        <f t="shared" ca="1" si="127"/>
        <v>#REF!</v>
      </c>
      <c r="J765" s="118" t="e">
        <f t="shared" ca="1" si="128"/>
        <v>#REF!</v>
      </c>
      <c r="K765" s="118" t="e">
        <f t="shared" ca="1" si="129"/>
        <v>#REF!</v>
      </c>
      <c r="L765" s="118" t="e">
        <f t="shared" ca="1" si="130"/>
        <v>#REF!</v>
      </c>
      <c r="M765" s="118" t="e">
        <f t="shared" ca="1" si="131"/>
        <v>#REF!</v>
      </c>
    </row>
    <row r="766" spans="1:13" x14ac:dyDescent="0.25">
      <c r="A766" s="119">
        <v>45219</v>
      </c>
      <c r="B766" s="119">
        <v>45219</v>
      </c>
      <c r="C766" s="118" t="e">
        <f t="shared" ca="1" si="121"/>
        <v>#REF!</v>
      </c>
      <c r="D766" s="118" t="e">
        <f t="shared" ca="1" si="122"/>
        <v>#REF!</v>
      </c>
      <c r="E766" s="118" t="e">
        <f t="shared" ca="1" si="123"/>
        <v>#REF!</v>
      </c>
      <c r="F766" s="118" t="e">
        <f t="shared" ca="1" si="124"/>
        <v>#REF!</v>
      </c>
      <c r="G766" s="118" t="e">
        <f t="shared" ca="1" si="125"/>
        <v>#REF!</v>
      </c>
      <c r="H766" s="118" t="e">
        <f t="shared" ca="1" si="126"/>
        <v>#REF!</v>
      </c>
      <c r="I766" s="118" t="e">
        <f t="shared" ca="1" si="127"/>
        <v>#REF!</v>
      </c>
      <c r="J766" s="118" t="e">
        <f t="shared" ca="1" si="128"/>
        <v>#REF!</v>
      </c>
      <c r="K766" s="118" t="e">
        <f t="shared" ca="1" si="129"/>
        <v>#REF!</v>
      </c>
      <c r="L766" s="118" t="e">
        <f t="shared" ca="1" si="130"/>
        <v>#REF!</v>
      </c>
      <c r="M766" s="118" t="e">
        <f t="shared" ca="1" si="131"/>
        <v>#REF!</v>
      </c>
    </row>
    <row r="767" spans="1:13" x14ac:dyDescent="0.25">
      <c r="A767" s="119">
        <v>45220</v>
      </c>
      <c r="B767" s="119">
        <v>45220</v>
      </c>
      <c r="C767" s="118" t="e">
        <f t="shared" ca="1" si="121"/>
        <v>#REF!</v>
      </c>
      <c r="D767" s="118" t="e">
        <f t="shared" ca="1" si="122"/>
        <v>#REF!</v>
      </c>
      <c r="E767" s="118" t="e">
        <f t="shared" ca="1" si="123"/>
        <v>#REF!</v>
      </c>
      <c r="F767" s="118" t="e">
        <f t="shared" ca="1" si="124"/>
        <v>#REF!</v>
      </c>
      <c r="G767" s="118" t="e">
        <f t="shared" ca="1" si="125"/>
        <v>#REF!</v>
      </c>
      <c r="H767" s="118" t="e">
        <f t="shared" ca="1" si="126"/>
        <v>#REF!</v>
      </c>
      <c r="I767" s="118" t="e">
        <f t="shared" ca="1" si="127"/>
        <v>#REF!</v>
      </c>
      <c r="J767" s="118" t="e">
        <f t="shared" ca="1" si="128"/>
        <v>#REF!</v>
      </c>
      <c r="K767" s="118" t="e">
        <f t="shared" ca="1" si="129"/>
        <v>#REF!</v>
      </c>
      <c r="L767" s="118" t="e">
        <f t="shared" ca="1" si="130"/>
        <v>#REF!</v>
      </c>
      <c r="M767" s="118" t="e">
        <f t="shared" ca="1" si="131"/>
        <v>#REF!</v>
      </c>
    </row>
    <row r="768" spans="1:13" x14ac:dyDescent="0.25">
      <c r="A768" s="119">
        <v>45221</v>
      </c>
      <c r="B768" s="119">
        <v>45221</v>
      </c>
      <c r="C768" s="118" t="e">
        <f t="shared" ca="1" si="121"/>
        <v>#REF!</v>
      </c>
      <c r="D768" s="118" t="e">
        <f t="shared" ca="1" si="122"/>
        <v>#REF!</v>
      </c>
      <c r="E768" s="118" t="e">
        <f t="shared" ca="1" si="123"/>
        <v>#REF!</v>
      </c>
      <c r="F768" s="118" t="e">
        <f t="shared" ca="1" si="124"/>
        <v>#REF!</v>
      </c>
      <c r="G768" s="118" t="e">
        <f t="shared" ca="1" si="125"/>
        <v>#REF!</v>
      </c>
      <c r="H768" s="118" t="e">
        <f t="shared" ca="1" si="126"/>
        <v>#REF!</v>
      </c>
      <c r="I768" s="118" t="e">
        <f t="shared" ca="1" si="127"/>
        <v>#REF!</v>
      </c>
      <c r="J768" s="118" t="e">
        <f t="shared" ca="1" si="128"/>
        <v>#REF!</v>
      </c>
      <c r="K768" s="118" t="e">
        <f t="shared" ca="1" si="129"/>
        <v>#REF!</v>
      </c>
      <c r="L768" s="118" t="e">
        <f t="shared" ca="1" si="130"/>
        <v>#REF!</v>
      </c>
      <c r="M768" s="118" t="e">
        <f t="shared" ca="1" si="131"/>
        <v>#REF!</v>
      </c>
    </row>
    <row r="769" spans="1:13" x14ac:dyDescent="0.25">
      <c r="A769" s="119">
        <v>45222</v>
      </c>
      <c r="B769" s="119">
        <v>45222</v>
      </c>
      <c r="C769" s="118" t="e">
        <f t="shared" ca="1" si="121"/>
        <v>#REF!</v>
      </c>
      <c r="D769" s="118" t="e">
        <f t="shared" ca="1" si="122"/>
        <v>#REF!</v>
      </c>
      <c r="E769" s="118" t="e">
        <f t="shared" ca="1" si="123"/>
        <v>#REF!</v>
      </c>
      <c r="F769" s="118" t="e">
        <f t="shared" ca="1" si="124"/>
        <v>#REF!</v>
      </c>
      <c r="G769" s="118" t="e">
        <f t="shared" ca="1" si="125"/>
        <v>#REF!</v>
      </c>
      <c r="H769" s="118" t="e">
        <f t="shared" ca="1" si="126"/>
        <v>#REF!</v>
      </c>
      <c r="I769" s="118" t="e">
        <f t="shared" ca="1" si="127"/>
        <v>#REF!</v>
      </c>
      <c r="J769" s="118" t="e">
        <f t="shared" ca="1" si="128"/>
        <v>#REF!</v>
      </c>
      <c r="K769" s="118" t="e">
        <f t="shared" ca="1" si="129"/>
        <v>#REF!</v>
      </c>
      <c r="L769" s="118" t="e">
        <f t="shared" ca="1" si="130"/>
        <v>#REF!</v>
      </c>
      <c r="M769" s="118" t="e">
        <f t="shared" ca="1" si="131"/>
        <v>#REF!</v>
      </c>
    </row>
    <row r="770" spans="1:13" x14ac:dyDescent="0.25">
      <c r="A770" s="119">
        <v>45223</v>
      </c>
      <c r="B770" s="119">
        <v>45223</v>
      </c>
      <c r="C770" s="118" t="e">
        <f t="shared" ca="1" si="121"/>
        <v>#REF!</v>
      </c>
      <c r="D770" s="118" t="e">
        <f t="shared" ca="1" si="122"/>
        <v>#REF!</v>
      </c>
      <c r="E770" s="118" t="e">
        <f t="shared" ca="1" si="123"/>
        <v>#REF!</v>
      </c>
      <c r="F770" s="118" t="e">
        <f t="shared" ca="1" si="124"/>
        <v>#REF!</v>
      </c>
      <c r="G770" s="118" t="e">
        <f t="shared" ca="1" si="125"/>
        <v>#REF!</v>
      </c>
      <c r="H770" s="118" t="e">
        <f t="shared" ca="1" si="126"/>
        <v>#REF!</v>
      </c>
      <c r="I770" s="118" t="e">
        <f t="shared" ca="1" si="127"/>
        <v>#REF!</v>
      </c>
      <c r="J770" s="118" t="e">
        <f t="shared" ca="1" si="128"/>
        <v>#REF!</v>
      </c>
      <c r="K770" s="118" t="e">
        <f t="shared" ca="1" si="129"/>
        <v>#REF!</v>
      </c>
      <c r="L770" s="118" t="e">
        <f t="shared" ca="1" si="130"/>
        <v>#REF!</v>
      </c>
      <c r="M770" s="118" t="e">
        <f t="shared" ca="1" si="131"/>
        <v>#REF!</v>
      </c>
    </row>
    <row r="771" spans="1:13" x14ac:dyDescent="0.25">
      <c r="A771" s="119">
        <v>45224</v>
      </c>
      <c r="B771" s="119">
        <v>45224</v>
      </c>
      <c r="C771" s="118" t="e">
        <f t="shared" ref="C771:C834" ca="1" si="132">INDIRECT(CONCATENATE("",$A771,"!H10"))</f>
        <v>#REF!</v>
      </c>
      <c r="D771" s="118" t="e">
        <f t="shared" ref="D771:D834" ca="1" si="133">INDIRECT(CONCATENATE("",$A771,"!H11"))</f>
        <v>#REF!</v>
      </c>
      <c r="E771" s="118" t="e">
        <f t="shared" ref="E771:E834" ca="1" si="134">INDIRECT(CONCATENATE("",$A771,"!H12"))</f>
        <v>#REF!</v>
      </c>
      <c r="F771" s="118" t="e">
        <f t="shared" ref="F771:F834" ca="1" si="135">INDIRECT(CONCATENATE("",$A771,"!H13"))</f>
        <v>#REF!</v>
      </c>
      <c r="G771" s="118" t="e">
        <f t="shared" ref="G771:G834" ca="1" si="136">INDIRECT(CONCATENATE("",$A771,"!H14"))</f>
        <v>#REF!</v>
      </c>
      <c r="H771" s="118" t="e">
        <f t="shared" ref="H771:H834" ca="1" si="137">INDIRECT(CONCATENATE("",$A771,"!i12"))</f>
        <v>#REF!</v>
      </c>
      <c r="I771" s="118" t="e">
        <f t="shared" ref="I771:I834" ca="1" si="138">INDIRECT(CONCATENATE("",$A771,"!i13"))</f>
        <v>#REF!</v>
      </c>
      <c r="J771" s="118" t="e">
        <f t="shared" ref="J771:J834" ca="1" si="139">INDIRECT(CONCATENATE("",$A771,"!i14"))</f>
        <v>#REF!</v>
      </c>
      <c r="K771" s="118" t="e">
        <f t="shared" ref="K771:K834" ca="1" si="140">INDIRECT(CONCATENATE("",$A771,"!J12"))</f>
        <v>#REF!</v>
      </c>
      <c r="L771" s="118" t="e">
        <f t="shared" ref="L771:L834" ca="1" si="141">INDIRECT(CONCATENATE("",$A771,"!J13"))</f>
        <v>#REF!</v>
      </c>
      <c r="M771" s="118" t="e">
        <f t="shared" ref="M771:M834" ca="1" si="142">INDIRECT(CONCATENATE("",$A771,"!J14"))</f>
        <v>#REF!</v>
      </c>
    </row>
    <row r="772" spans="1:13" x14ac:dyDescent="0.25">
      <c r="A772" s="119" t="s">
        <v>238</v>
      </c>
      <c r="B772" s="119">
        <v>45225</v>
      </c>
      <c r="C772" s="118" t="e">
        <f t="shared" ca="1" si="132"/>
        <v>#REF!</v>
      </c>
      <c r="D772" s="118" t="e">
        <f t="shared" ca="1" si="133"/>
        <v>#REF!</v>
      </c>
      <c r="E772" s="118" t="e">
        <f t="shared" ca="1" si="134"/>
        <v>#REF!</v>
      </c>
      <c r="F772" s="118" t="e">
        <f t="shared" ca="1" si="135"/>
        <v>#REF!</v>
      </c>
      <c r="G772" s="118" t="e">
        <f t="shared" ca="1" si="136"/>
        <v>#REF!</v>
      </c>
      <c r="H772" s="118" t="e">
        <f t="shared" ca="1" si="137"/>
        <v>#REF!</v>
      </c>
      <c r="I772" s="118" t="e">
        <f t="shared" ca="1" si="138"/>
        <v>#REF!</v>
      </c>
      <c r="J772" s="118" t="e">
        <f t="shared" ca="1" si="139"/>
        <v>#REF!</v>
      </c>
      <c r="K772" s="118" t="e">
        <f t="shared" ca="1" si="140"/>
        <v>#REF!</v>
      </c>
      <c r="L772" s="118" t="e">
        <f t="shared" ca="1" si="141"/>
        <v>#REF!</v>
      </c>
      <c r="M772" s="118" t="e">
        <f t="shared" ca="1" si="142"/>
        <v>#REF!</v>
      </c>
    </row>
    <row r="773" spans="1:13" x14ac:dyDescent="0.25">
      <c r="A773" s="119">
        <v>45226</v>
      </c>
      <c r="B773" s="119">
        <v>45226</v>
      </c>
      <c r="C773" s="118" t="e">
        <f t="shared" ca="1" si="132"/>
        <v>#REF!</v>
      </c>
      <c r="D773" s="118" t="e">
        <f t="shared" ca="1" si="133"/>
        <v>#REF!</v>
      </c>
      <c r="E773" s="118" t="e">
        <f t="shared" ca="1" si="134"/>
        <v>#REF!</v>
      </c>
      <c r="F773" s="118" t="e">
        <f t="shared" ca="1" si="135"/>
        <v>#REF!</v>
      </c>
      <c r="G773" s="118" t="e">
        <f t="shared" ca="1" si="136"/>
        <v>#REF!</v>
      </c>
      <c r="H773" s="118" t="e">
        <f t="shared" ca="1" si="137"/>
        <v>#REF!</v>
      </c>
      <c r="I773" s="118" t="e">
        <f t="shared" ca="1" si="138"/>
        <v>#REF!</v>
      </c>
      <c r="J773" s="118" t="e">
        <f t="shared" ca="1" si="139"/>
        <v>#REF!</v>
      </c>
      <c r="K773" s="118" t="e">
        <f t="shared" ca="1" si="140"/>
        <v>#REF!</v>
      </c>
      <c r="L773" s="118" t="e">
        <f t="shared" ca="1" si="141"/>
        <v>#REF!</v>
      </c>
      <c r="M773" s="118" t="e">
        <f t="shared" ca="1" si="142"/>
        <v>#REF!</v>
      </c>
    </row>
    <row r="774" spans="1:13" x14ac:dyDescent="0.25">
      <c r="A774" s="119">
        <v>45227</v>
      </c>
      <c r="B774" s="119">
        <v>45227</v>
      </c>
      <c r="C774" s="118" t="e">
        <f t="shared" ca="1" si="132"/>
        <v>#REF!</v>
      </c>
      <c r="D774" s="118" t="e">
        <f t="shared" ca="1" si="133"/>
        <v>#REF!</v>
      </c>
      <c r="E774" s="118" t="e">
        <f t="shared" ca="1" si="134"/>
        <v>#REF!</v>
      </c>
      <c r="F774" s="118" t="e">
        <f t="shared" ca="1" si="135"/>
        <v>#REF!</v>
      </c>
      <c r="G774" s="118" t="e">
        <f t="shared" ca="1" si="136"/>
        <v>#REF!</v>
      </c>
      <c r="H774" s="118" t="e">
        <f t="shared" ca="1" si="137"/>
        <v>#REF!</v>
      </c>
      <c r="I774" s="118" t="e">
        <f t="shared" ca="1" si="138"/>
        <v>#REF!</v>
      </c>
      <c r="J774" s="118" t="e">
        <f t="shared" ca="1" si="139"/>
        <v>#REF!</v>
      </c>
      <c r="K774" s="118" t="e">
        <f t="shared" ca="1" si="140"/>
        <v>#REF!</v>
      </c>
      <c r="L774" s="118" t="e">
        <f t="shared" ca="1" si="141"/>
        <v>#REF!</v>
      </c>
      <c r="M774" s="118" t="e">
        <f t="shared" ca="1" si="142"/>
        <v>#REF!</v>
      </c>
    </row>
    <row r="775" spans="1:13" x14ac:dyDescent="0.25">
      <c r="A775" s="119">
        <v>45228</v>
      </c>
      <c r="B775" s="119">
        <v>45228</v>
      </c>
      <c r="C775" s="118" t="e">
        <f t="shared" ca="1" si="132"/>
        <v>#REF!</v>
      </c>
      <c r="D775" s="118" t="e">
        <f t="shared" ca="1" si="133"/>
        <v>#REF!</v>
      </c>
      <c r="E775" s="118" t="e">
        <f t="shared" ca="1" si="134"/>
        <v>#REF!</v>
      </c>
      <c r="F775" s="118" t="e">
        <f t="shared" ca="1" si="135"/>
        <v>#REF!</v>
      </c>
      <c r="G775" s="118" t="e">
        <f t="shared" ca="1" si="136"/>
        <v>#REF!</v>
      </c>
      <c r="H775" s="118" t="e">
        <f t="shared" ca="1" si="137"/>
        <v>#REF!</v>
      </c>
      <c r="I775" s="118" t="e">
        <f t="shared" ca="1" si="138"/>
        <v>#REF!</v>
      </c>
      <c r="J775" s="118" t="e">
        <f t="shared" ca="1" si="139"/>
        <v>#REF!</v>
      </c>
      <c r="K775" s="118" t="e">
        <f t="shared" ca="1" si="140"/>
        <v>#REF!</v>
      </c>
      <c r="L775" s="118" t="e">
        <f t="shared" ca="1" si="141"/>
        <v>#REF!</v>
      </c>
      <c r="M775" s="118" t="e">
        <f t="shared" ca="1" si="142"/>
        <v>#REF!</v>
      </c>
    </row>
    <row r="776" spans="1:13" x14ac:dyDescent="0.25">
      <c r="A776" s="119">
        <v>45229</v>
      </c>
      <c r="B776" s="119">
        <v>45229</v>
      </c>
      <c r="C776" s="118" t="e">
        <f t="shared" ca="1" si="132"/>
        <v>#REF!</v>
      </c>
      <c r="D776" s="118" t="e">
        <f t="shared" ca="1" si="133"/>
        <v>#REF!</v>
      </c>
      <c r="E776" s="118" t="e">
        <f t="shared" ca="1" si="134"/>
        <v>#REF!</v>
      </c>
      <c r="F776" s="118" t="e">
        <f t="shared" ca="1" si="135"/>
        <v>#REF!</v>
      </c>
      <c r="G776" s="118" t="e">
        <f t="shared" ca="1" si="136"/>
        <v>#REF!</v>
      </c>
      <c r="H776" s="118" t="e">
        <f t="shared" ca="1" si="137"/>
        <v>#REF!</v>
      </c>
      <c r="I776" s="118" t="e">
        <f t="shared" ca="1" si="138"/>
        <v>#REF!</v>
      </c>
      <c r="J776" s="118" t="e">
        <f t="shared" ca="1" si="139"/>
        <v>#REF!</v>
      </c>
      <c r="K776" s="118" t="e">
        <f t="shared" ca="1" si="140"/>
        <v>#REF!</v>
      </c>
      <c r="L776" s="118" t="e">
        <f t="shared" ca="1" si="141"/>
        <v>#REF!</v>
      </c>
      <c r="M776" s="118" t="e">
        <f t="shared" ca="1" si="142"/>
        <v>#REF!</v>
      </c>
    </row>
    <row r="777" spans="1:13" x14ac:dyDescent="0.25">
      <c r="A777" s="119">
        <v>45230</v>
      </c>
      <c r="B777" s="119">
        <v>45230</v>
      </c>
      <c r="C777" s="118" t="e">
        <f t="shared" ca="1" si="132"/>
        <v>#REF!</v>
      </c>
      <c r="D777" s="118" t="e">
        <f t="shared" ca="1" si="133"/>
        <v>#REF!</v>
      </c>
      <c r="E777" s="118" t="e">
        <f t="shared" ca="1" si="134"/>
        <v>#REF!</v>
      </c>
      <c r="F777" s="118" t="e">
        <f t="shared" ca="1" si="135"/>
        <v>#REF!</v>
      </c>
      <c r="G777" s="118" t="e">
        <f t="shared" ca="1" si="136"/>
        <v>#REF!</v>
      </c>
      <c r="H777" s="118" t="e">
        <f t="shared" ca="1" si="137"/>
        <v>#REF!</v>
      </c>
      <c r="I777" s="118" t="e">
        <f t="shared" ca="1" si="138"/>
        <v>#REF!</v>
      </c>
      <c r="J777" s="118" t="e">
        <f t="shared" ca="1" si="139"/>
        <v>#REF!</v>
      </c>
      <c r="K777" s="118" t="e">
        <f t="shared" ca="1" si="140"/>
        <v>#REF!</v>
      </c>
      <c r="L777" s="118" t="e">
        <f t="shared" ca="1" si="141"/>
        <v>#REF!</v>
      </c>
      <c r="M777" s="118" t="e">
        <f t="shared" ca="1" si="142"/>
        <v>#REF!</v>
      </c>
    </row>
    <row r="778" spans="1:13" x14ac:dyDescent="0.25">
      <c r="A778" s="119" t="s">
        <v>239</v>
      </c>
      <c r="B778" s="119">
        <v>45231</v>
      </c>
      <c r="C778" s="118" t="e">
        <f t="shared" ca="1" si="132"/>
        <v>#REF!</v>
      </c>
      <c r="D778" s="118" t="e">
        <f t="shared" ca="1" si="133"/>
        <v>#REF!</v>
      </c>
      <c r="E778" s="118" t="e">
        <f t="shared" ca="1" si="134"/>
        <v>#REF!</v>
      </c>
      <c r="F778" s="118" t="e">
        <f t="shared" ca="1" si="135"/>
        <v>#REF!</v>
      </c>
      <c r="G778" s="118" t="e">
        <f t="shared" ca="1" si="136"/>
        <v>#REF!</v>
      </c>
      <c r="H778" s="118" t="e">
        <f t="shared" ca="1" si="137"/>
        <v>#REF!</v>
      </c>
      <c r="I778" s="118" t="e">
        <f t="shared" ca="1" si="138"/>
        <v>#REF!</v>
      </c>
      <c r="J778" s="118" t="e">
        <f t="shared" ca="1" si="139"/>
        <v>#REF!</v>
      </c>
      <c r="K778" s="118" t="e">
        <f t="shared" ca="1" si="140"/>
        <v>#REF!</v>
      </c>
      <c r="L778" s="118" t="e">
        <f t="shared" ca="1" si="141"/>
        <v>#REF!</v>
      </c>
      <c r="M778" s="118" t="e">
        <f t="shared" ca="1" si="142"/>
        <v>#REF!</v>
      </c>
    </row>
    <row r="779" spans="1:13" x14ac:dyDescent="0.25">
      <c r="A779" s="119">
        <v>45232</v>
      </c>
      <c r="B779" s="119">
        <v>45232</v>
      </c>
      <c r="C779" s="118" t="e">
        <f t="shared" ca="1" si="132"/>
        <v>#REF!</v>
      </c>
      <c r="D779" s="118" t="e">
        <f t="shared" ca="1" si="133"/>
        <v>#REF!</v>
      </c>
      <c r="E779" s="118" t="e">
        <f t="shared" ca="1" si="134"/>
        <v>#REF!</v>
      </c>
      <c r="F779" s="118" t="e">
        <f t="shared" ca="1" si="135"/>
        <v>#REF!</v>
      </c>
      <c r="G779" s="118" t="e">
        <f t="shared" ca="1" si="136"/>
        <v>#REF!</v>
      </c>
      <c r="H779" s="118" t="e">
        <f t="shared" ca="1" si="137"/>
        <v>#REF!</v>
      </c>
      <c r="I779" s="118" t="e">
        <f t="shared" ca="1" si="138"/>
        <v>#REF!</v>
      </c>
      <c r="J779" s="118" t="e">
        <f t="shared" ca="1" si="139"/>
        <v>#REF!</v>
      </c>
      <c r="K779" s="118" t="e">
        <f t="shared" ca="1" si="140"/>
        <v>#REF!</v>
      </c>
      <c r="L779" s="118" t="e">
        <f t="shared" ca="1" si="141"/>
        <v>#REF!</v>
      </c>
      <c r="M779" s="118" t="e">
        <f t="shared" ca="1" si="142"/>
        <v>#REF!</v>
      </c>
    </row>
    <row r="780" spans="1:13" x14ac:dyDescent="0.25">
      <c r="A780" s="119">
        <v>45233</v>
      </c>
      <c r="B780" s="119">
        <v>45233</v>
      </c>
      <c r="C780" s="118" t="e">
        <f t="shared" ca="1" si="132"/>
        <v>#REF!</v>
      </c>
      <c r="D780" s="118" t="e">
        <f t="shared" ca="1" si="133"/>
        <v>#REF!</v>
      </c>
      <c r="E780" s="118" t="e">
        <f t="shared" ca="1" si="134"/>
        <v>#REF!</v>
      </c>
      <c r="F780" s="118" t="e">
        <f t="shared" ca="1" si="135"/>
        <v>#REF!</v>
      </c>
      <c r="G780" s="118" t="e">
        <f t="shared" ca="1" si="136"/>
        <v>#REF!</v>
      </c>
      <c r="H780" s="118" t="e">
        <f t="shared" ca="1" si="137"/>
        <v>#REF!</v>
      </c>
      <c r="I780" s="118" t="e">
        <f t="shared" ca="1" si="138"/>
        <v>#REF!</v>
      </c>
      <c r="J780" s="118" t="e">
        <f t="shared" ca="1" si="139"/>
        <v>#REF!</v>
      </c>
      <c r="K780" s="118" t="e">
        <f t="shared" ca="1" si="140"/>
        <v>#REF!</v>
      </c>
      <c r="L780" s="118" t="e">
        <f t="shared" ca="1" si="141"/>
        <v>#REF!</v>
      </c>
      <c r="M780" s="118" t="e">
        <f t="shared" ca="1" si="142"/>
        <v>#REF!</v>
      </c>
    </row>
    <row r="781" spans="1:13" x14ac:dyDescent="0.25">
      <c r="A781" s="119">
        <v>45234</v>
      </c>
      <c r="B781" s="119">
        <v>45234</v>
      </c>
      <c r="C781" s="118" t="e">
        <f t="shared" ca="1" si="132"/>
        <v>#REF!</v>
      </c>
      <c r="D781" s="118" t="e">
        <f t="shared" ca="1" si="133"/>
        <v>#REF!</v>
      </c>
      <c r="E781" s="118" t="e">
        <f t="shared" ca="1" si="134"/>
        <v>#REF!</v>
      </c>
      <c r="F781" s="118" t="e">
        <f t="shared" ca="1" si="135"/>
        <v>#REF!</v>
      </c>
      <c r="G781" s="118" t="e">
        <f t="shared" ca="1" si="136"/>
        <v>#REF!</v>
      </c>
      <c r="H781" s="118" t="e">
        <f t="shared" ca="1" si="137"/>
        <v>#REF!</v>
      </c>
      <c r="I781" s="118" t="e">
        <f t="shared" ca="1" si="138"/>
        <v>#REF!</v>
      </c>
      <c r="J781" s="118" t="e">
        <f t="shared" ca="1" si="139"/>
        <v>#REF!</v>
      </c>
      <c r="K781" s="118" t="e">
        <f t="shared" ca="1" si="140"/>
        <v>#REF!</v>
      </c>
      <c r="L781" s="118" t="e">
        <f t="shared" ca="1" si="141"/>
        <v>#REF!</v>
      </c>
      <c r="M781" s="118" t="e">
        <f t="shared" ca="1" si="142"/>
        <v>#REF!</v>
      </c>
    </row>
    <row r="782" spans="1:13" x14ac:dyDescent="0.25">
      <c r="A782" s="119">
        <v>45235</v>
      </c>
      <c r="B782" s="119">
        <v>45235</v>
      </c>
      <c r="C782" s="118" t="e">
        <f t="shared" ca="1" si="132"/>
        <v>#REF!</v>
      </c>
      <c r="D782" s="118" t="e">
        <f t="shared" ca="1" si="133"/>
        <v>#REF!</v>
      </c>
      <c r="E782" s="118" t="e">
        <f t="shared" ca="1" si="134"/>
        <v>#REF!</v>
      </c>
      <c r="F782" s="118" t="e">
        <f t="shared" ca="1" si="135"/>
        <v>#REF!</v>
      </c>
      <c r="G782" s="118" t="e">
        <f t="shared" ca="1" si="136"/>
        <v>#REF!</v>
      </c>
      <c r="H782" s="118" t="e">
        <f t="shared" ca="1" si="137"/>
        <v>#REF!</v>
      </c>
      <c r="I782" s="118" t="e">
        <f t="shared" ca="1" si="138"/>
        <v>#REF!</v>
      </c>
      <c r="J782" s="118" t="e">
        <f t="shared" ca="1" si="139"/>
        <v>#REF!</v>
      </c>
      <c r="K782" s="118" t="e">
        <f t="shared" ca="1" si="140"/>
        <v>#REF!</v>
      </c>
      <c r="L782" s="118" t="e">
        <f t="shared" ca="1" si="141"/>
        <v>#REF!</v>
      </c>
      <c r="M782" s="118" t="e">
        <f t="shared" ca="1" si="142"/>
        <v>#REF!</v>
      </c>
    </row>
    <row r="783" spans="1:13" x14ac:dyDescent="0.25">
      <c r="A783" s="119">
        <v>45236</v>
      </c>
      <c r="B783" s="119">
        <v>45236</v>
      </c>
      <c r="C783" s="118" t="e">
        <f t="shared" ca="1" si="132"/>
        <v>#REF!</v>
      </c>
      <c r="D783" s="118" t="e">
        <f t="shared" ca="1" si="133"/>
        <v>#REF!</v>
      </c>
      <c r="E783" s="118" t="e">
        <f t="shared" ca="1" si="134"/>
        <v>#REF!</v>
      </c>
      <c r="F783" s="118" t="e">
        <f t="shared" ca="1" si="135"/>
        <v>#REF!</v>
      </c>
      <c r="G783" s="118" t="e">
        <f t="shared" ca="1" si="136"/>
        <v>#REF!</v>
      </c>
      <c r="H783" s="118" t="e">
        <f t="shared" ca="1" si="137"/>
        <v>#REF!</v>
      </c>
      <c r="I783" s="118" t="e">
        <f t="shared" ca="1" si="138"/>
        <v>#REF!</v>
      </c>
      <c r="J783" s="118" t="e">
        <f t="shared" ca="1" si="139"/>
        <v>#REF!</v>
      </c>
      <c r="K783" s="118" t="e">
        <f t="shared" ca="1" si="140"/>
        <v>#REF!</v>
      </c>
      <c r="L783" s="118" t="e">
        <f t="shared" ca="1" si="141"/>
        <v>#REF!</v>
      </c>
      <c r="M783" s="118" t="e">
        <f t="shared" ca="1" si="142"/>
        <v>#REF!</v>
      </c>
    </row>
    <row r="784" spans="1:13" x14ac:dyDescent="0.25">
      <c r="A784" s="119" t="s">
        <v>240</v>
      </c>
      <c r="B784" s="119">
        <v>45237</v>
      </c>
      <c r="C784" s="118" t="e">
        <f t="shared" ca="1" si="132"/>
        <v>#REF!</v>
      </c>
      <c r="D784" s="118" t="e">
        <f t="shared" ca="1" si="133"/>
        <v>#REF!</v>
      </c>
      <c r="E784" s="118" t="e">
        <f t="shared" ca="1" si="134"/>
        <v>#REF!</v>
      </c>
      <c r="F784" s="118" t="e">
        <f t="shared" ca="1" si="135"/>
        <v>#REF!</v>
      </c>
      <c r="G784" s="118" t="e">
        <f t="shared" ca="1" si="136"/>
        <v>#REF!</v>
      </c>
      <c r="H784" s="118" t="e">
        <f t="shared" ca="1" si="137"/>
        <v>#REF!</v>
      </c>
      <c r="I784" s="118" t="e">
        <f t="shared" ca="1" si="138"/>
        <v>#REF!</v>
      </c>
      <c r="J784" s="118" t="e">
        <f t="shared" ca="1" si="139"/>
        <v>#REF!</v>
      </c>
      <c r="K784" s="118" t="e">
        <f t="shared" ca="1" si="140"/>
        <v>#REF!</v>
      </c>
      <c r="L784" s="118" t="e">
        <f t="shared" ca="1" si="141"/>
        <v>#REF!</v>
      </c>
      <c r="M784" s="118" t="e">
        <f t="shared" ca="1" si="142"/>
        <v>#REF!</v>
      </c>
    </row>
    <row r="785" spans="1:13" x14ac:dyDescent="0.25">
      <c r="A785" s="119">
        <v>45238</v>
      </c>
      <c r="B785" s="119">
        <v>45238</v>
      </c>
      <c r="C785" s="118" t="e">
        <f t="shared" ca="1" si="132"/>
        <v>#REF!</v>
      </c>
      <c r="D785" s="118" t="e">
        <f t="shared" ca="1" si="133"/>
        <v>#REF!</v>
      </c>
      <c r="E785" s="118" t="e">
        <f t="shared" ca="1" si="134"/>
        <v>#REF!</v>
      </c>
      <c r="F785" s="118" t="e">
        <f t="shared" ca="1" si="135"/>
        <v>#REF!</v>
      </c>
      <c r="G785" s="118" t="e">
        <f t="shared" ca="1" si="136"/>
        <v>#REF!</v>
      </c>
      <c r="H785" s="118" t="e">
        <f t="shared" ca="1" si="137"/>
        <v>#REF!</v>
      </c>
      <c r="I785" s="118" t="e">
        <f t="shared" ca="1" si="138"/>
        <v>#REF!</v>
      </c>
      <c r="J785" s="118" t="e">
        <f t="shared" ca="1" si="139"/>
        <v>#REF!</v>
      </c>
      <c r="K785" s="118" t="e">
        <f t="shared" ca="1" si="140"/>
        <v>#REF!</v>
      </c>
      <c r="L785" s="118" t="e">
        <f t="shared" ca="1" si="141"/>
        <v>#REF!</v>
      </c>
      <c r="M785" s="118" t="e">
        <f t="shared" ca="1" si="142"/>
        <v>#REF!</v>
      </c>
    </row>
    <row r="786" spans="1:13" x14ac:dyDescent="0.25">
      <c r="A786" s="119">
        <v>45239</v>
      </c>
      <c r="B786" s="119">
        <v>45239</v>
      </c>
      <c r="C786" s="118" t="e">
        <f t="shared" ca="1" si="132"/>
        <v>#REF!</v>
      </c>
      <c r="D786" s="118" t="e">
        <f t="shared" ca="1" si="133"/>
        <v>#REF!</v>
      </c>
      <c r="E786" s="118" t="e">
        <f t="shared" ca="1" si="134"/>
        <v>#REF!</v>
      </c>
      <c r="F786" s="118" t="e">
        <f t="shared" ca="1" si="135"/>
        <v>#REF!</v>
      </c>
      <c r="G786" s="118" t="e">
        <f t="shared" ca="1" si="136"/>
        <v>#REF!</v>
      </c>
      <c r="H786" s="118" t="e">
        <f t="shared" ca="1" si="137"/>
        <v>#REF!</v>
      </c>
      <c r="I786" s="118" t="e">
        <f t="shared" ca="1" si="138"/>
        <v>#REF!</v>
      </c>
      <c r="J786" s="118" t="e">
        <f t="shared" ca="1" si="139"/>
        <v>#REF!</v>
      </c>
      <c r="K786" s="118" t="e">
        <f t="shared" ca="1" si="140"/>
        <v>#REF!</v>
      </c>
      <c r="L786" s="118" t="e">
        <f t="shared" ca="1" si="141"/>
        <v>#REF!</v>
      </c>
      <c r="M786" s="118" t="e">
        <f t="shared" ca="1" si="142"/>
        <v>#REF!</v>
      </c>
    </row>
    <row r="787" spans="1:13" x14ac:dyDescent="0.25">
      <c r="A787" s="119">
        <v>45240</v>
      </c>
      <c r="B787" s="119">
        <v>45240</v>
      </c>
      <c r="C787" s="118" t="e">
        <f t="shared" ca="1" si="132"/>
        <v>#REF!</v>
      </c>
      <c r="D787" s="118" t="e">
        <f t="shared" ca="1" si="133"/>
        <v>#REF!</v>
      </c>
      <c r="E787" s="118" t="e">
        <f t="shared" ca="1" si="134"/>
        <v>#REF!</v>
      </c>
      <c r="F787" s="118" t="e">
        <f t="shared" ca="1" si="135"/>
        <v>#REF!</v>
      </c>
      <c r="G787" s="118" t="e">
        <f t="shared" ca="1" si="136"/>
        <v>#REF!</v>
      </c>
      <c r="H787" s="118" t="e">
        <f t="shared" ca="1" si="137"/>
        <v>#REF!</v>
      </c>
      <c r="I787" s="118" t="e">
        <f t="shared" ca="1" si="138"/>
        <v>#REF!</v>
      </c>
      <c r="J787" s="118" t="e">
        <f t="shared" ca="1" si="139"/>
        <v>#REF!</v>
      </c>
      <c r="K787" s="118" t="e">
        <f t="shared" ca="1" si="140"/>
        <v>#REF!</v>
      </c>
      <c r="L787" s="118" t="e">
        <f t="shared" ca="1" si="141"/>
        <v>#REF!</v>
      </c>
      <c r="M787" s="118" t="e">
        <f t="shared" ca="1" si="142"/>
        <v>#REF!</v>
      </c>
    </row>
    <row r="788" spans="1:13" x14ac:dyDescent="0.25">
      <c r="A788" s="119">
        <v>45241</v>
      </c>
      <c r="B788" s="119">
        <v>45241</v>
      </c>
      <c r="C788" s="118" t="e">
        <f t="shared" ca="1" si="132"/>
        <v>#REF!</v>
      </c>
      <c r="D788" s="118" t="e">
        <f t="shared" ca="1" si="133"/>
        <v>#REF!</v>
      </c>
      <c r="E788" s="118" t="e">
        <f t="shared" ca="1" si="134"/>
        <v>#REF!</v>
      </c>
      <c r="F788" s="118" t="e">
        <f t="shared" ca="1" si="135"/>
        <v>#REF!</v>
      </c>
      <c r="G788" s="118" t="e">
        <f t="shared" ca="1" si="136"/>
        <v>#REF!</v>
      </c>
      <c r="H788" s="118" t="e">
        <f t="shared" ca="1" si="137"/>
        <v>#REF!</v>
      </c>
      <c r="I788" s="118" t="e">
        <f t="shared" ca="1" si="138"/>
        <v>#REF!</v>
      </c>
      <c r="J788" s="118" t="e">
        <f t="shared" ca="1" si="139"/>
        <v>#REF!</v>
      </c>
      <c r="K788" s="118" t="e">
        <f t="shared" ca="1" si="140"/>
        <v>#REF!</v>
      </c>
      <c r="L788" s="118" t="e">
        <f t="shared" ca="1" si="141"/>
        <v>#REF!</v>
      </c>
      <c r="M788" s="118" t="e">
        <f t="shared" ca="1" si="142"/>
        <v>#REF!</v>
      </c>
    </row>
    <row r="789" spans="1:13" x14ac:dyDescent="0.25">
      <c r="A789" s="119">
        <v>45242</v>
      </c>
      <c r="B789" s="119">
        <v>45242</v>
      </c>
      <c r="C789" s="118" t="e">
        <f t="shared" ca="1" si="132"/>
        <v>#REF!</v>
      </c>
      <c r="D789" s="118" t="e">
        <f t="shared" ca="1" si="133"/>
        <v>#REF!</v>
      </c>
      <c r="E789" s="118" t="e">
        <f t="shared" ca="1" si="134"/>
        <v>#REF!</v>
      </c>
      <c r="F789" s="118" t="e">
        <f t="shared" ca="1" si="135"/>
        <v>#REF!</v>
      </c>
      <c r="G789" s="118" t="e">
        <f t="shared" ca="1" si="136"/>
        <v>#REF!</v>
      </c>
      <c r="H789" s="118" t="e">
        <f t="shared" ca="1" si="137"/>
        <v>#REF!</v>
      </c>
      <c r="I789" s="118" t="e">
        <f t="shared" ca="1" si="138"/>
        <v>#REF!</v>
      </c>
      <c r="J789" s="118" t="e">
        <f t="shared" ca="1" si="139"/>
        <v>#REF!</v>
      </c>
      <c r="K789" s="118" t="e">
        <f t="shared" ca="1" si="140"/>
        <v>#REF!</v>
      </c>
      <c r="L789" s="118" t="e">
        <f t="shared" ca="1" si="141"/>
        <v>#REF!</v>
      </c>
      <c r="M789" s="118" t="e">
        <f t="shared" ca="1" si="142"/>
        <v>#REF!</v>
      </c>
    </row>
    <row r="790" spans="1:13" x14ac:dyDescent="0.25">
      <c r="A790" s="119">
        <v>45243</v>
      </c>
      <c r="B790" s="119">
        <v>45243</v>
      </c>
      <c r="C790" s="118" t="e">
        <f t="shared" ca="1" si="132"/>
        <v>#REF!</v>
      </c>
      <c r="D790" s="118" t="e">
        <f t="shared" ca="1" si="133"/>
        <v>#REF!</v>
      </c>
      <c r="E790" s="118" t="e">
        <f t="shared" ca="1" si="134"/>
        <v>#REF!</v>
      </c>
      <c r="F790" s="118" t="e">
        <f t="shared" ca="1" si="135"/>
        <v>#REF!</v>
      </c>
      <c r="G790" s="118" t="e">
        <f t="shared" ca="1" si="136"/>
        <v>#REF!</v>
      </c>
      <c r="H790" s="118" t="e">
        <f t="shared" ca="1" si="137"/>
        <v>#REF!</v>
      </c>
      <c r="I790" s="118" t="e">
        <f t="shared" ca="1" si="138"/>
        <v>#REF!</v>
      </c>
      <c r="J790" s="118" t="e">
        <f t="shared" ca="1" si="139"/>
        <v>#REF!</v>
      </c>
      <c r="K790" s="118" t="e">
        <f t="shared" ca="1" si="140"/>
        <v>#REF!</v>
      </c>
      <c r="L790" s="118" t="e">
        <f t="shared" ca="1" si="141"/>
        <v>#REF!</v>
      </c>
      <c r="M790" s="118" t="e">
        <f t="shared" ca="1" si="142"/>
        <v>#REF!</v>
      </c>
    </row>
    <row r="791" spans="1:13" x14ac:dyDescent="0.25">
      <c r="A791" s="119" t="s">
        <v>241</v>
      </c>
      <c r="B791" s="119">
        <v>45244</v>
      </c>
      <c r="C791" s="118" t="e">
        <f t="shared" ca="1" si="132"/>
        <v>#REF!</v>
      </c>
      <c r="D791" s="118" t="e">
        <f t="shared" ca="1" si="133"/>
        <v>#REF!</v>
      </c>
      <c r="E791" s="118" t="e">
        <f t="shared" ca="1" si="134"/>
        <v>#REF!</v>
      </c>
      <c r="F791" s="118" t="e">
        <f t="shared" ca="1" si="135"/>
        <v>#REF!</v>
      </c>
      <c r="G791" s="118" t="e">
        <f t="shared" ca="1" si="136"/>
        <v>#REF!</v>
      </c>
      <c r="H791" s="118" t="e">
        <f t="shared" ca="1" si="137"/>
        <v>#REF!</v>
      </c>
      <c r="I791" s="118" t="e">
        <f t="shared" ca="1" si="138"/>
        <v>#REF!</v>
      </c>
      <c r="J791" s="118" t="e">
        <f t="shared" ca="1" si="139"/>
        <v>#REF!</v>
      </c>
      <c r="K791" s="118" t="e">
        <f t="shared" ca="1" si="140"/>
        <v>#REF!</v>
      </c>
      <c r="L791" s="118" t="e">
        <f t="shared" ca="1" si="141"/>
        <v>#REF!</v>
      </c>
      <c r="M791" s="118" t="e">
        <f t="shared" ca="1" si="142"/>
        <v>#REF!</v>
      </c>
    </row>
    <row r="792" spans="1:13" x14ac:dyDescent="0.25">
      <c r="A792" s="119">
        <v>45245</v>
      </c>
      <c r="B792" s="119">
        <v>45245</v>
      </c>
      <c r="C792" s="118" t="e">
        <f t="shared" ca="1" si="132"/>
        <v>#REF!</v>
      </c>
      <c r="D792" s="118" t="e">
        <f t="shared" ca="1" si="133"/>
        <v>#REF!</v>
      </c>
      <c r="E792" s="118" t="e">
        <f t="shared" ca="1" si="134"/>
        <v>#REF!</v>
      </c>
      <c r="F792" s="118" t="e">
        <f t="shared" ca="1" si="135"/>
        <v>#REF!</v>
      </c>
      <c r="G792" s="118" t="e">
        <f t="shared" ca="1" si="136"/>
        <v>#REF!</v>
      </c>
      <c r="H792" s="118" t="e">
        <f t="shared" ca="1" si="137"/>
        <v>#REF!</v>
      </c>
      <c r="I792" s="118" t="e">
        <f t="shared" ca="1" si="138"/>
        <v>#REF!</v>
      </c>
      <c r="J792" s="118" t="e">
        <f t="shared" ca="1" si="139"/>
        <v>#REF!</v>
      </c>
      <c r="K792" s="118" t="e">
        <f t="shared" ca="1" si="140"/>
        <v>#REF!</v>
      </c>
      <c r="L792" s="118" t="e">
        <f t="shared" ca="1" si="141"/>
        <v>#REF!</v>
      </c>
      <c r="M792" s="118" t="e">
        <f t="shared" ca="1" si="142"/>
        <v>#REF!</v>
      </c>
    </row>
    <row r="793" spans="1:13" x14ac:dyDescent="0.25">
      <c r="A793" s="119">
        <v>45246</v>
      </c>
      <c r="B793" s="119">
        <v>45246</v>
      </c>
      <c r="C793" s="118" t="e">
        <f t="shared" ca="1" si="132"/>
        <v>#REF!</v>
      </c>
      <c r="D793" s="118" t="e">
        <f t="shared" ca="1" si="133"/>
        <v>#REF!</v>
      </c>
      <c r="E793" s="118" t="e">
        <f t="shared" ca="1" si="134"/>
        <v>#REF!</v>
      </c>
      <c r="F793" s="118" t="e">
        <f t="shared" ca="1" si="135"/>
        <v>#REF!</v>
      </c>
      <c r="G793" s="118" t="e">
        <f t="shared" ca="1" si="136"/>
        <v>#REF!</v>
      </c>
      <c r="H793" s="118" t="e">
        <f t="shared" ca="1" si="137"/>
        <v>#REF!</v>
      </c>
      <c r="I793" s="118" t="e">
        <f t="shared" ca="1" si="138"/>
        <v>#REF!</v>
      </c>
      <c r="J793" s="118" t="e">
        <f t="shared" ca="1" si="139"/>
        <v>#REF!</v>
      </c>
      <c r="K793" s="118" t="e">
        <f t="shared" ca="1" si="140"/>
        <v>#REF!</v>
      </c>
      <c r="L793" s="118" t="e">
        <f t="shared" ca="1" si="141"/>
        <v>#REF!</v>
      </c>
      <c r="M793" s="118" t="e">
        <f t="shared" ca="1" si="142"/>
        <v>#REF!</v>
      </c>
    </row>
    <row r="794" spans="1:13" x14ac:dyDescent="0.25">
      <c r="A794" s="119">
        <v>45247</v>
      </c>
      <c r="B794" s="119">
        <v>45247</v>
      </c>
      <c r="C794" s="118" t="e">
        <f t="shared" ca="1" si="132"/>
        <v>#REF!</v>
      </c>
      <c r="D794" s="118" t="e">
        <f t="shared" ca="1" si="133"/>
        <v>#REF!</v>
      </c>
      <c r="E794" s="118" t="e">
        <f t="shared" ca="1" si="134"/>
        <v>#REF!</v>
      </c>
      <c r="F794" s="118" t="e">
        <f t="shared" ca="1" si="135"/>
        <v>#REF!</v>
      </c>
      <c r="G794" s="118" t="e">
        <f t="shared" ca="1" si="136"/>
        <v>#REF!</v>
      </c>
      <c r="H794" s="118" t="e">
        <f t="shared" ca="1" si="137"/>
        <v>#REF!</v>
      </c>
      <c r="I794" s="118" t="e">
        <f t="shared" ca="1" si="138"/>
        <v>#REF!</v>
      </c>
      <c r="J794" s="118" t="e">
        <f t="shared" ca="1" si="139"/>
        <v>#REF!</v>
      </c>
      <c r="K794" s="118" t="e">
        <f t="shared" ca="1" si="140"/>
        <v>#REF!</v>
      </c>
      <c r="L794" s="118" t="e">
        <f t="shared" ca="1" si="141"/>
        <v>#REF!</v>
      </c>
      <c r="M794" s="118" t="e">
        <f t="shared" ca="1" si="142"/>
        <v>#REF!</v>
      </c>
    </row>
    <row r="795" spans="1:13" x14ac:dyDescent="0.25">
      <c r="A795" s="119">
        <v>45248</v>
      </c>
      <c r="B795" s="119">
        <v>45248</v>
      </c>
      <c r="C795" s="118" t="e">
        <f t="shared" ca="1" si="132"/>
        <v>#REF!</v>
      </c>
      <c r="D795" s="118" t="e">
        <f t="shared" ca="1" si="133"/>
        <v>#REF!</v>
      </c>
      <c r="E795" s="118" t="e">
        <f t="shared" ca="1" si="134"/>
        <v>#REF!</v>
      </c>
      <c r="F795" s="118" t="e">
        <f t="shared" ca="1" si="135"/>
        <v>#REF!</v>
      </c>
      <c r="G795" s="118" t="e">
        <f t="shared" ca="1" si="136"/>
        <v>#REF!</v>
      </c>
      <c r="H795" s="118" t="e">
        <f t="shared" ca="1" si="137"/>
        <v>#REF!</v>
      </c>
      <c r="I795" s="118" t="e">
        <f t="shared" ca="1" si="138"/>
        <v>#REF!</v>
      </c>
      <c r="J795" s="118" t="e">
        <f t="shared" ca="1" si="139"/>
        <v>#REF!</v>
      </c>
      <c r="K795" s="118" t="e">
        <f t="shared" ca="1" si="140"/>
        <v>#REF!</v>
      </c>
      <c r="L795" s="118" t="e">
        <f t="shared" ca="1" si="141"/>
        <v>#REF!</v>
      </c>
      <c r="M795" s="118" t="e">
        <f t="shared" ca="1" si="142"/>
        <v>#REF!</v>
      </c>
    </row>
    <row r="796" spans="1:13" x14ac:dyDescent="0.25">
      <c r="A796" s="119">
        <v>45249</v>
      </c>
      <c r="B796" s="119">
        <v>45249</v>
      </c>
      <c r="C796" s="118" t="e">
        <f t="shared" ca="1" si="132"/>
        <v>#REF!</v>
      </c>
      <c r="D796" s="118" t="e">
        <f t="shared" ca="1" si="133"/>
        <v>#REF!</v>
      </c>
      <c r="E796" s="118" t="e">
        <f t="shared" ca="1" si="134"/>
        <v>#REF!</v>
      </c>
      <c r="F796" s="118" t="e">
        <f t="shared" ca="1" si="135"/>
        <v>#REF!</v>
      </c>
      <c r="G796" s="118" t="e">
        <f t="shared" ca="1" si="136"/>
        <v>#REF!</v>
      </c>
      <c r="H796" s="118" t="e">
        <f t="shared" ca="1" si="137"/>
        <v>#REF!</v>
      </c>
      <c r="I796" s="118" t="e">
        <f t="shared" ca="1" si="138"/>
        <v>#REF!</v>
      </c>
      <c r="J796" s="118" t="e">
        <f t="shared" ca="1" si="139"/>
        <v>#REF!</v>
      </c>
      <c r="K796" s="118" t="e">
        <f t="shared" ca="1" si="140"/>
        <v>#REF!</v>
      </c>
      <c r="L796" s="118" t="e">
        <f t="shared" ca="1" si="141"/>
        <v>#REF!</v>
      </c>
      <c r="M796" s="118" t="e">
        <f t="shared" ca="1" si="142"/>
        <v>#REF!</v>
      </c>
    </row>
    <row r="797" spans="1:13" x14ac:dyDescent="0.25">
      <c r="A797" s="119">
        <v>45250</v>
      </c>
      <c r="B797" s="119">
        <v>45250</v>
      </c>
      <c r="C797" s="118" t="e">
        <f t="shared" ca="1" si="132"/>
        <v>#REF!</v>
      </c>
      <c r="D797" s="118" t="e">
        <f t="shared" ca="1" si="133"/>
        <v>#REF!</v>
      </c>
      <c r="E797" s="118" t="e">
        <f t="shared" ca="1" si="134"/>
        <v>#REF!</v>
      </c>
      <c r="F797" s="118" t="e">
        <f t="shared" ca="1" si="135"/>
        <v>#REF!</v>
      </c>
      <c r="G797" s="118" t="e">
        <f t="shared" ca="1" si="136"/>
        <v>#REF!</v>
      </c>
      <c r="H797" s="118" t="e">
        <f t="shared" ca="1" si="137"/>
        <v>#REF!</v>
      </c>
      <c r="I797" s="118" t="e">
        <f t="shared" ca="1" si="138"/>
        <v>#REF!</v>
      </c>
      <c r="J797" s="118" t="e">
        <f t="shared" ca="1" si="139"/>
        <v>#REF!</v>
      </c>
      <c r="K797" s="118" t="e">
        <f t="shared" ca="1" si="140"/>
        <v>#REF!</v>
      </c>
      <c r="L797" s="118" t="e">
        <f t="shared" ca="1" si="141"/>
        <v>#REF!</v>
      </c>
      <c r="M797" s="118" t="e">
        <f t="shared" ca="1" si="142"/>
        <v>#REF!</v>
      </c>
    </row>
    <row r="798" spans="1:13" x14ac:dyDescent="0.25">
      <c r="A798" s="119" t="s">
        <v>242</v>
      </c>
      <c r="B798" s="119">
        <v>45251</v>
      </c>
      <c r="C798" s="118" t="e">
        <f t="shared" ca="1" si="132"/>
        <v>#REF!</v>
      </c>
      <c r="D798" s="118" t="e">
        <f t="shared" ca="1" si="133"/>
        <v>#REF!</v>
      </c>
      <c r="E798" s="118" t="e">
        <f t="shared" ca="1" si="134"/>
        <v>#REF!</v>
      </c>
      <c r="F798" s="118" t="e">
        <f t="shared" ca="1" si="135"/>
        <v>#REF!</v>
      </c>
      <c r="G798" s="118" t="e">
        <f t="shared" ca="1" si="136"/>
        <v>#REF!</v>
      </c>
      <c r="H798" s="118" t="e">
        <f t="shared" ca="1" si="137"/>
        <v>#REF!</v>
      </c>
      <c r="I798" s="118" t="e">
        <f t="shared" ca="1" si="138"/>
        <v>#REF!</v>
      </c>
      <c r="J798" s="118" t="e">
        <f t="shared" ca="1" si="139"/>
        <v>#REF!</v>
      </c>
      <c r="K798" s="118" t="e">
        <f t="shared" ca="1" si="140"/>
        <v>#REF!</v>
      </c>
      <c r="L798" s="118" t="e">
        <f t="shared" ca="1" si="141"/>
        <v>#REF!</v>
      </c>
      <c r="M798" s="118" t="e">
        <f t="shared" ca="1" si="142"/>
        <v>#REF!</v>
      </c>
    </row>
    <row r="799" spans="1:13" x14ac:dyDescent="0.25">
      <c r="A799" s="119">
        <v>45252</v>
      </c>
      <c r="B799" s="119">
        <v>45252</v>
      </c>
      <c r="C799" s="118" t="e">
        <f t="shared" ca="1" si="132"/>
        <v>#REF!</v>
      </c>
      <c r="D799" s="118" t="e">
        <f t="shared" ca="1" si="133"/>
        <v>#REF!</v>
      </c>
      <c r="E799" s="118" t="e">
        <f t="shared" ca="1" si="134"/>
        <v>#REF!</v>
      </c>
      <c r="F799" s="118" t="e">
        <f t="shared" ca="1" si="135"/>
        <v>#REF!</v>
      </c>
      <c r="G799" s="118" t="e">
        <f t="shared" ca="1" si="136"/>
        <v>#REF!</v>
      </c>
      <c r="H799" s="118" t="e">
        <f t="shared" ca="1" si="137"/>
        <v>#REF!</v>
      </c>
      <c r="I799" s="118" t="e">
        <f t="shared" ca="1" si="138"/>
        <v>#REF!</v>
      </c>
      <c r="J799" s="118" t="e">
        <f t="shared" ca="1" si="139"/>
        <v>#REF!</v>
      </c>
      <c r="K799" s="118" t="e">
        <f t="shared" ca="1" si="140"/>
        <v>#REF!</v>
      </c>
      <c r="L799" s="118" t="e">
        <f t="shared" ca="1" si="141"/>
        <v>#REF!</v>
      </c>
      <c r="M799" s="118" t="e">
        <f t="shared" ca="1" si="142"/>
        <v>#REF!</v>
      </c>
    </row>
    <row r="800" spans="1:13" x14ac:dyDescent="0.25">
      <c r="A800" s="119">
        <v>45253</v>
      </c>
      <c r="B800" s="119">
        <v>45253</v>
      </c>
      <c r="C800" s="118" t="e">
        <f t="shared" ca="1" si="132"/>
        <v>#REF!</v>
      </c>
      <c r="D800" s="118" t="e">
        <f t="shared" ca="1" si="133"/>
        <v>#REF!</v>
      </c>
      <c r="E800" s="118" t="e">
        <f t="shared" ca="1" si="134"/>
        <v>#REF!</v>
      </c>
      <c r="F800" s="118" t="e">
        <f t="shared" ca="1" si="135"/>
        <v>#REF!</v>
      </c>
      <c r="G800" s="118" t="e">
        <f t="shared" ca="1" si="136"/>
        <v>#REF!</v>
      </c>
      <c r="H800" s="118" t="e">
        <f t="shared" ca="1" si="137"/>
        <v>#REF!</v>
      </c>
      <c r="I800" s="118" t="e">
        <f t="shared" ca="1" si="138"/>
        <v>#REF!</v>
      </c>
      <c r="J800" s="118" t="e">
        <f t="shared" ca="1" si="139"/>
        <v>#REF!</v>
      </c>
      <c r="K800" s="118" t="e">
        <f t="shared" ca="1" si="140"/>
        <v>#REF!</v>
      </c>
      <c r="L800" s="118" t="e">
        <f t="shared" ca="1" si="141"/>
        <v>#REF!</v>
      </c>
      <c r="M800" s="118" t="e">
        <f t="shared" ca="1" si="142"/>
        <v>#REF!</v>
      </c>
    </row>
    <row r="801" spans="1:13" x14ac:dyDescent="0.25">
      <c r="A801" s="119">
        <v>45254</v>
      </c>
      <c r="B801" s="119">
        <v>45254</v>
      </c>
      <c r="C801" s="118" t="e">
        <f t="shared" ca="1" si="132"/>
        <v>#REF!</v>
      </c>
      <c r="D801" s="118" t="e">
        <f t="shared" ca="1" si="133"/>
        <v>#REF!</v>
      </c>
      <c r="E801" s="118" t="e">
        <f t="shared" ca="1" si="134"/>
        <v>#REF!</v>
      </c>
      <c r="F801" s="118" t="e">
        <f t="shared" ca="1" si="135"/>
        <v>#REF!</v>
      </c>
      <c r="G801" s="118" t="e">
        <f t="shared" ca="1" si="136"/>
        <v>#REF!</v>
      </c>
      <c r="H801" s="118" t="e">
        <f t="shared" ca="1" si="137"/>
        <v>#REF!</v>
      </c>
      <c r="I801" s="118" t="e">
        <f t="shared" ca="1" si="138"/>
        <v>#REF!</v>
      </c>
      <c r="J801" s="118" t="e">
        <f t="shared" ca="1" si="139"/>
        <v>#REF!</v>
      </c>
      <c r="K801" s="118" t="e">
        <f t="shared" ca="1" si="140"/>
        <v>#REF!</v>
      </c>
      <c r="L801" s="118" t="e">
        <f t="shared" ca="1" si="141"/>
        <v>#REF!</v>
      </c>
      <c r="M801" s="118" t="e">
        <f t="shared" ca="1" si="142"/>
        <v>#REF!</v>
      </c>
    </row>
    <row r="802" spans="1:13" x14ac:dyDescent="0.25">
      <c r="A802" s="119">
        <v>45255</v>
      </c>
      <c r="B802" s="119">
        <v>45255</v>
      </c>
      <c r="C802" s="118" t="e">
        <f t="shared" ca="1" si="132"/>
        <v>#REF!</v>
      </c>
      <c r="D802" s="118" t="e">
        <f t="shared" ca="1" si="133"/>
        <v>#REF!</v>
      </c>
      <c r="E802" s="118" t="e">
        <f t="shared" ca="1" si="134"/>
        <v>#REF!</v>
      </c>
      <c r="F802" s="118" t="e">
        <f t="shared" ca="1" si="135"/>
        <v>#REF!</v>
      </c>
      <c r="G802" s="118" t="e">
        <f t="shared" ca="1" si="136"/>
        <v>#REF!</v>
      </c>
      <c r="H802" s="118" t="e">
        <f t="shared" ca="1" si="137"/>
        <v>#REF!</v>
      </c>
      <c r="I802" s="118" t="e">
        <f t="shared" ca="1" si="138"/>
        <v>#REF!</v>
      </c>
      <c r="J802" s="118" t="e">
        <f t="shared" ca="1" si="139"/>
        <v>#REF!</v>
      </c>
      <c r="K802" s="118" t="e">
        <f t="shared" ca="1" si="140"/>
        <v>#REF!</v>
      </c>
      <c r="L802" s="118" t="e">
        <f t="shared" ca="1" si="141"/>
        <v>#REF!</v>
      </c>
      <c r="M802" s="118" t="e">
        <f t="shared" ca="1" si="142"/>
        <v>#REF!</v>
      </c>
    </row>
    <row r="803" spans="1:13" x14ac:dyDescent="0.25">
      <c r="A803" s="119">
        <v>45256</v>
      </c>
      <c r="B803" s="119">
        <v>45256</v>
      </c>
      <c r="C803" s="118" t="e">
        <f t="shared" ca="1" si="132"/>
        <v>#REF!</v>
      </c>
      <c r="D803" s="118" t="e">
        <f t="shared" ca="1" si="133"/>
        <v>#REF!</v>
      </c>
      <c r="E803" s="118" t="e">
        <f t="shared" ca="1" si="134"/>
        <v>#REF!</v>
      </c>
      <c r="F803" s="118" t="e">
        <f t="shared" ca="1" si="135"/>
        <v>#REF!</v>
      </c>
      <c r="G803" s="118" t="e">
        <f t="shared" ca="1" si="136"/>
        <v>#REF!</v>
      </c>
      <c r="H803" s="118" t="e">
        <f t="shared" ca="1" si="137"/>
        <v>#REF!</v>
      </c>
      <c r="I803" s="118" t="e">
        <f t="shared" ca="1" si="138"/>
        <v>#REF!</v>
      </c>
      <c r="J803" s="118" t="e">
        <f t="shared" ca="1" si="139"/>
        <v>#REF!</v>
      </c>
      <c r="K803" s="118" t="e">
        <f t="shared" ca="1" si="140"/>
        <v>#REF!</v>
      </c>
      <c r="L803" s="118" t="e">
        <f t="shared" ca="1" si="141"/>
        <v>#REF!</v>
      </c>
      <c r="M803" s="118" t="e">
        <f t="shared" ca="1" si="142"/>
        <v>#REF!</v>
      </c>
    </row>
    <row r="804" spans="1:13" x14ac:dyDescent="0.25">
      <c r="A804" s="119">
        <v>45257</v>
      </c>
      <c r="B804" s="119">
        <v>45257</v>
      </c>
      <c r="C804" s="118" t="e">
        <f t="shared" ca="1" si="132"/>
        <v>#REF!</v>
      </c>
      <c r="D804" s="118" t="e">
        <f t="shared" ca="1" si="133"/>
        <v>#REF!</v>
      </c>
      <c r="E804" s="118" t="e">
        <f t="shared" ca="1" si="134"/>
        <v>#REF!</v>
      </c>
      <c r="F804" s="118" t="e">
        <f t="shared" ca="1" si="135"/>
        <v>#REF!</v>
      </c>
      <c r="G804" s="118" t="e">
        <f t="shared" ca="1" si="136"/>
        <v>#REF!</v>
      </c>
      <c r="H804" s="118" t="e">
        <f t="shared" ca="1" si="137"/>
        <v>#REF!</v>
      </c>
      <c r="I804" s="118" t="e">
        <f t="shared" ca="1" si="138"/>
        <v>#REF!</v>
      </c>
      <c r="J804" s="118" t="e">
        <f t="shared" ca="1" si="139"/>
        <v>#REF!</v>
      </c>
      <c r="K804" s="118" t="e">
        <f t="shared" ca="1" si="140"/>
        <v>#REF!</v>
      </c>
      <c r="L804" s="118" t="e">
        <f t="shared" ca="1" si="141"/>
        <v>#REF!</v>
      </c>
      <c r="M804" s="118" t="e">
        <f t="shared" ca="1" si="142"/>
        <v>#REF!</v>
      </c>
    </row>
    <row r="805" spans="1:13" x14ac:dyDescent="0.25">
      <c r="A805" s="119">
        <v>45258</v>
      </c>
      <c r="B805" s="119">
        <v>45258</v>
      </c>
      <c r="C805" s="118" t="e">
        <f t="shared" ca="1" si="132"/>
        <v>#REF!</v>
      </c>
      <c r="D805" s="118" t="e">
        <f t="shared" ca="1" si="133"/>
        <v>#REF!</v>
      </c>
      <c r="E805" s="118" t="e">
        <f t="shared" ca="1" si="134"/>
        <v>#REF!</v>
      </c>
      <c r="F805" s="118" t="e">
        <f t="shared" ca="1" si="135"/>
        <v>#REF!</v>
      </c>
      <c r="G805" s="118" t="e">
        <f t="shared" ca="1" si="136"/>
        <v>#REF!</v>
      </c>
      <c r="H805" s="118" t="e">
        <f t="shared" ca="1" si="137"/>
        <v>#REF!</v>
      </c>
      <c r="I805" s="118" t="e">
        <f t="shared" ca="1" si="138"/>
        <v>#REF!</v>
      </c>
      <c r="J805" s="118" t="e">
        <f t="shared" ca="1" si="139"/>
        <v>#REF!</v>
      </c>
      <c r="K805" s="118" t="e">
        <f t="shared" ca="1" si="140"/>
        <v>#REF!</v>
      </c>
      <c r="L805" s="118" t="e">
        <f t="shared" ca="1" si="141"/>
        <v>#REF!</v>
      </c>
      <c r="M805" s="118" t="e">
        <f t="shared" ca="1" si="142"/>
        <v>#REF!</v>
      </c>
    </row>
    <row r="806" spans="1:13" x14ac:dyDescent="0.25">
      <c r="A806" s="119" t="s">
        <v>243</v>
      </c>
      <c r="B806" s="119">
        <v>45259</v>
      </c>
      <c r="C806" s="118" t="e">
        <f t="shared" ca="1" si="132"/>
        <v>#REF!</v>
      </c>
      <c r="D806" s="118" t="e">
        <f t="shared" ca="1" si="133"/>
        <v>#REF!</v>
      </c>
      <c r="E806" s="118" t="e">
        <f t="shared" ca="1" si="134"/>
        <v>#REF!</v>
      </c>
      <c r="F806" s="118" t="e">
        <f t="shared" ca="1" si="135"/>
        <v>#REF!</v>
      </c>
      <c r="G806" s="118" t="e">
        <f t="shared" ca="1" si="136"/>
        <v>#REF!</v>
      </c>
      <c r="H806" s="118" t="e">
        <f t="shared" ca="1" si="137"/>
        <v>#REF!</v>
      </c>
      <c r="I806" s="118" t="e">
        <f t="shared" ca="1" si="138"/>
        <v>#REF!</v>
      </c>
      <c r="J806" s="118" t="e">
        <f t="shared" ca="1" si="139"/>
        <v>#REF!</v>
      </c>
      <c r="K806" s="118" t="e">
        <f t="shared" ca="1" si="140"/>
        <v>#REF!</v>
      </c>
      <c r="L806" s="118" t="e">
        <f t="shared" ca="1" si="141"/>
        <v>#REF!</v>
      </c>
      <c r="M806" s="118" t="e">
        <f t="shared" ca="1" si="142"/>
        <v>#REF!</v>
      </c>
    </row>
    <row r="807" spans="1:13" x14ac:dyDescent="0.25">
      <c r="A807" s="119">
        <v>45260</v>
      </c>
      <c r="B807" s="119">
        <v>45260</v>
      </c>
      <c r="C807" s="118" t="e">
        <f t="shared" ca="1" si="132"/>
        <v>#REF!</v>
      </c>
      <c r="D807" s="118" t="e">
        <f t="shared" ca="1" si="133"/>
        <v>#REF!</v>
      </c>
      <c r="E807" s="118" t="e">
        <f t="shared" ca="1" si="134"/>
        <v>#REF!</v>
      </c>
      <c r="F807" s="118" t="e">
        <f t="shared" ca="1" si="135"/>
        <v>#REF!</v>
      </c>
      <c r="G807" s="118" t="e">
        <f t="shared" ca="1" si="136"/>
        <v>#REF!</v>
      </c>
      <c r="H807" s="118" t="e">
        <f t="shared" ca="1" si="137"/>
        <v>#REF!</v>
      </c>
      <c r="I807" s="118" t="e">
        <f t="shared" ca="1" si="138"/>
        <v>#REF!</v>
      </c>
      <c r="J807" s="118" t="e">
        <f t="shared" ca="1" si="139"/>
        <v>#REF!</v>
      </c>
      <c r="K807" s="118" t="e">
        <f t="shared" ca="1" si="140"/>
        <v>#REF!</v>
      </c>
      <c r="L807" s="118" t="e">
        <f t="shared" ca="1" si="141"/>
        <v>#REF!</v>
      </c>
      <c r="M807" s="118" t="e">
        <f t="shared" ca="1" si="142"/>
        <v>#REF!</v>
      </c>
    </row>
    <row r="808" spans="1:13" x14ac:dyDescent="0.25">
      <c r="A808" s="119">
        <v>45261</v>
      </c>
      <c r="B808" s="119">
        <v>45261</v>
      </c>
      <c r="C808" s="118" t="e">
        <f t="shared" ca="1" si="132"/>
        <v>#REF!</v>
      </c>
      <c r="D808" s="118" t="e">
        <f t="shared" ca="1" si="133"/>
        <v>#REF!</v>
      </c>
      <c r="E808" s="118" t="e">
        <f t="shared" ca="1" si="134"/>
        <v>#REF!</v>
      </c>
      <c r="F808" s="118" t="e">
        <f t="shared" ca="1" si="135"/>
        <v>#REF!</v>
      </c>
      <c r="G808" s="118" t="e">
        <f t="shared" ca="1" si="136"/>
        <v>#REF!</v>
      </c>
      <c r="H808" s="118" t="e">
        <f t="shared" ca="1" si="137"/>
        <v>#REF!</v>
      </c>
      <c r="I808" s="118" t="e">
        <f t="shared" ca="1" si="138"/>
        <v>#REF!</v>
      </c>
      <c r="J808" s="118" t="e">
        <f t="shared" ca="1" si="139"/>
        <v>#REF!</v>
      </c>
      <c r="K808" s="118" t="e">
        <f t="shared" ca="1" si="140"/>
        <v>#REF!</v>
      </c>
      <c r="L808" s="118" t="e">
        <f t="shared" ca="1" si="141"/>
        <v>#REF!</v>
      </c>
      <c r="M808" s="118" t="e">
        <f t="shared" ca="1" si="142"/>
        <v>#REF!</v>
      </c>
    </row>
    <row r="809" spans="1:13" x14ac:dyDescent="0.25">
      <c r="A809" s="119">
        <v>45262</v>
      </c>
      <c r="B809" s="119">
        <v>45262</v>
      </c>
      <c r="C809" s="118" t="e">
        <f t="shared" ca="1" si="132"/>
        <v>#REF!</v>
      </c>
      <c r="D809" s="118" t="e">
        <f t="shared" ca="1" si="133"/>
        <v>#REF!</v>
      </c>
      <c r="E809" s="118" t="e">
        <f t="shared" ca="1" si="134"/>
        <v>#REF!</v>
      </c>
      <c r="F809" s="118" t="e">
        <f t="shared" ca="1" si="135"/>
        <v>#REF!</v>
      </c>
      <c r="G809" s="118" t="e">
        <f t="shared" ca="1" si="136"/>
        <v>#REF!</v>
      </c>
      <c r="H809" s="118" t="e">
        <f t="shared" ca="1" si="137"/>
        <v>#REF!</v>
      </c>
      <c r="I809" s="118" t="e">
        <f t="shared" ca="1" si="138"/>
        <v>#REF!</v>
      </c>
      <c r="J809" s="118" t="e">
        <f t="shared" ca="1" si="139"/>
        <v>#REF!</v>
      </c>
      <c r="K809" s="118" t="e">
        <f t="shared" ca="1" si="140"/>
        <v>#REF!</v>
      </c>
      <c r="L809" s="118" t="e">
        <f t="shared" ca="1" si="141"/>
        <v>#REF!</v>
      </c>
      <c r="M809" s="118" t="e">
        <f t="shared" ca="1" si="142"/>
        <v>#REF!</v>
      </c>
    </row>
    <row r="810" spans="1:13" x14ac:dyDescent="0.25">
      <c r="A810" s="119">
        <v>45263</v>
      </c>
      <c r="B810" s="119">
        <v>45263</v>
      </c>
      <c r="C810" s="118" t="e">
        <f t="shared" ca="1" si="132"/>
        <v>#REF!</v>
      </c>
      <c r="D810" s="118" t="e">
        <f t="shared" ca="1" si="133"/>
        <v>#REF!</v>
      </c>
      <c r="E810" s="118" t="e">
        <f t="shared" ca="1" si="134"/>
        <v>#REF!</v>
      </c>
      <c r="F810" s="118" t="e">
        <f t="shared" ca="1" si="135"/>
        <v>#REF!</v>
      </c>
      <c r="G810" s="118" t="e">
        <f t="shared" ca="1" si="136"/>
        <v>#REF!</v>
      </c>
      <c r="H810" s="118" t="e">
        <f t="shared" ca="1" si="137"/>
        <v>#REF!</v>
      </c>
      <c r="I810" s="118" t="e">
        <f t="shared" ca="1" si="138"/>
        <v>#REF!</v>
      </c>
      <c r="J810" s="118" t="e">
        <f t="shared" ca="1" si="139"/>
        <v>#REF!</v>
      </c>
      <c r="K810" s="118" t="e">
        <f t="shared" ca="1" si="140"/>
        <v>#REF!</v>
      </c>
      <c r="L810" s="118" t="e">
        <f t="shared" ca="1" si="141"/>
        <v>#REF!</v>
      </c>
      <c r="M810" s="118" t="e">
        <f t="shared" ca="1" si="142"/>
        <v>#REF!</v>
      </c>
    </row>
    <row r="811" spans="1:13" x14ac:dyDescent="0.25">
      <c r="A811" s="119">
        <v>45264</v>
      </c>
      <c r="B811" s="119">
        <v>45264</v>
      </c>
      <c r="C811" s="118" t="e">
        <f t="shared" ca="1" si="132"/>
        <v>#REF!</v>
      </c>
      <c r="D811" s="118" t="e">
        <f t="shared" ca="1" si="133"/>
        <v>#REF!</v>
      </c>
      <c r="E811" s="118" t="e">
        <f t="shared" ca="1" si="134"/>
        <v>#REF!</v>
      </c>
      <c r="F811" s="118" t="e">
        <f t="shared" ca="1" si="135"/>
        <v>#REF!</v>
      </c>
      <c r="G811" s="118" t="e">
        <f t="shared" ca="1" si="136"/>
        <v>#REF!</v>
      </c>
      <c r="H811" s="118" t="e">
        <f t="shared" ca="1" si="137"/>
        <v>#REF!</v>
      </c>
      <c r="I811" s="118" t="e">
        <f t="shared" ca="1" si="138"/>
        <v>#REF!</v>
      </c>
      <c r="J811" s="118" t="e">
        <f t="shared" ca="1" si="139"/>
        <v>#REF!</v>
      </c>
      <c r="K811" s="118" t="e">
        <f t="shared" ca="1" si="140"/>
        <v>#REF!</v>
      </c>
      <c r="L811" s="118" t="e">
        <f t="shared" ca="1" si="141"/>
        <v>#REF!</v>
      </c>
      <c r="M811" s="118" t="e">
        <f t="shared" ca="1" si="142"/>
        <v>#REF!</v>
      </c>
    </row>
    <row r="812" spans="1:13" x14ac:dyDescent="0.25">
      <c r="A812" s="119">
        <v>45265</v>
      </c>
      <c r="B812" s="119">
        <v>45265</v>
      </c>
      <c r="C812" s="118" t="e">
        <f t="shared" ca="1" si="132"/>
        <v>#REF!</v>
      </c>
      <c r="D812" s="118" t="e">
        <f t="shared" ca="1" si="133"/>
        <v>#REF!</v>
      </c>
      <c r="E812" s="118" t="e">
        <f t="shared" ca="1" si="134"/>
        <v>#REF!</v>
      </c>
      <c r="F812" s="118" t="e">
        <f t="shared" ca="1" si="135"/>
        <v>#REF!</v>
      </c>
      <c r="G812" s="118" t="e">
        <f t="shared" ca="1" si="136"/>
        <v>#REF!</v>
      </c>
      <c r="H812" s="118" t="e">
        <f t="shared" ca="1" si="137"/>
        <v>#REF!</v>
      </c>
      <c r="I812" s="118" t="e">
        <f t="shared" ca="1" si="138"/>
        <v>#REF!</v>
      </c>
      <c r="J812" s="118" t="e">
        <f t="shared" ca="1" si="139"/>
        <v>#REF!</v>
      </c>
      <c r="K812" s="118" t="e">
        <f t="shared" ca="1" si="140"/>
        <v>#REF!</v>
      </c>
      <c r="L812" s="118" t="e">
        <f t="shared" ca="1" si="141"/>
        <v>#REF!</v>
      </c>
      <c r="M812" s="118" t="e">
        <f t="shared" ca="1" si="142"/>
        <v>#REF!</v>
      </c>
    </row>
    <row r="813" spans="1:13" x14ac:dyDescent="0.25">
      <c r="A813" s="119" t="s">
        <v>244</v>
      </c>
      <c r="B813" s="119">
        <v>45266</v>
      </c>
      <c r="C813" s="118" t="e">
        <f t="shared" ca="1" si="132"/>
        <v>#REF!</v>
      </c>
      <c r="D813" s="118" t="e">
        <f t="shared" ca="1" si="133"/>
        <v>#REF!</v>
      </c>
      <c r="E813" s="118" t="e">
        <f t="shared" ca="1" si="134"/>
        <v>#REF!</v>
      </c>
      <c r="F813" s="118" t="e">
        <f t="shared" ca="1" si="135"/>
        <v>#REF!</v>
      </c>
      <c r="G813" s="118" t="e">
        <f t="shared" ca="1" si="136"/>
        <v>#REF!</v>
      </c>
      <c r="H813" s="118" t="e">
        <f t="shared" ca="1" si="137"/>
        <v>#REF!</v>
      </c>
      <c r="I813" s="118" t="e">
        <f t="shared" ca="1" si="138"/>
        <v>#REF!</v>
      </c>
      <c r="J813" s="118" t="e">
        <f t="shared" ca="1" si="139"/>
        <v>#REF!</v>
      </c>
      <c r="K813" s="118" t="e">
        <f t="shared" ca="1" si="140"/>
        <v>#REF!</v>
      </c>
      <c r="L813" s="118" t="e">
        <f t="shared" ca="1" si="141"/>
        <v>#REF!</v>
      </c>
      <c r="M813" s="118" t="e">
        <f t="shared" ca="1" si="142"/>
        <v>#REF!</v>
      </c>
    </row>
    <row r="814" spans="1:13" x14ac:dyDescent="0.25">
      <c r="A814" s="119">
        <v>45267</v>
      </c>
      <c r="B814" s="119">
        <v>45267</v>
      </c>
      <c r="C814" s="118" t="e">
        <f t="shared" ca="1" si="132"/>
        <v>#REF!</v>
      </c>
      <c r="D814" s="118" t="e">
        <f t="shared" ca="1" si="133"/>
        <v>#REF!</v>
      </c>
      <c r="E814" s="118" t="e">
        <f t="shared" ca="1" si="134"/>
        <v>#REF!</v>
      </c>
      <c r="F814" s="118" t="e">
        <f t="shared" ca="1" si="135"/>
        <v>#REF!</v>
      </c>
      <c r="G814" s="118" t="e">
        <f t="shared" ca="1" si="136"/>
        <v>#REF!</v>
      </c>
      <c r="H814" s="118" t="e">
        <f t="shared" ca="1" si="137"/>
        <v>#REF!</v>
      </c>
      <c r="I814" s="118" t="e">
        <f t="shared" ca="1" si="138"/>
        <v>#REF!</v>
      </c>
      <c r="J814" s="118" t="e">
        <f t="shared" ca="1" si="139"/>
        <v>#REF!</v>
      </c>
      <c r="K814" s="118" t="e">
        <f t="shared" ca="1" si="140"/>
        <v>#REF!</v>
      </c>
      <c r="L814" s="118" t="e">
        <f t="shared" ca="1" si="141"/>
        <v>#REF!</v>
      </c>
      <c r="M814" s="118" t="e">
        <f t="shared" ca="1" si="142"/>
        <v>#REF!</v>
      </c>
    </row>
    <row r="815" spans="1:13" x14ac:dyDescent="0.25">
      <c r="A815" s="119">
        <v>45268</v>
      </c>
      <c r="B815" s="119">
        <v>45268</v>
      </c>
      <c r="C815" s="118" t="e">
        <f t="shared" ca="1" si="132"/>
        <v>#REF!</v>
      </c>
      <c r="D815" s="118" t="e">
        <f t="shared" ca="1" si="133"/>
        <v>#REF!</v>
      </c>
      <c r="E815" s="118" t="e">
        <f t="shared" ca="1" si="134"/>
        <v>#REF!</v>
      </c>
      <c r="F815" s="118" t="e">
        <f t="shared" ca="1" si="135"/>
        <v>#REF!</v>
      </c>
      <c r="G815" s="118" t="e">
        <f t="shared" ca="1" si="136"/>
        <v>#REF!</v>
      </c>
      <c r="H815" s="118" t="e">
        <f t="shared" ca="1" si="137"/>
        <v>#REF!</v>
      </c>
      <c r="I815" s="118" t="e">
        <f t="shared" ca="1" si="138"/>
        <v>#REF!</v>
      </c>
      <c r="J815" s="118" t="e">
        <f t="shared" ca="1" si="139"/>
        <v>#REF!</v>
      </c>
      <c r="K815" s="118" t="e">
        <f t="shared" ca="1" si="140"/>
        <v>#REF!</v>
      </c>
      <c r="L815" s="118" t="e">
        <f t="shared" ca="1" si="141"/>
        <v>#REF!</v>
      </c>
      <c r="M815" s="118" t="e">
        <f t="shared" ca="1" si="142"/>
        <v>#REF!</v>
      </c>
    </row>
    <row r="816" spans="1:13" x14ac:dyDescent="0.25">
      <c r="A816" s="119">
        <v>45269</v>
      </c>
      <c r="B816" s="119">
        <v>45269</v>
      </c>
      <c r="C816" s="118" t="e">
        <f t="shared" ca="1" si="132"/>
        <v>#REF!</v>
      </c>
      <c r="D816" s="118" t="e">
        <f t="shared" ca="1" si="133"/>
        <v>#REF!</v>
      </c>
      <c r="E816" s="118" t="e">
        <f t="shared" ca="1" si="134"/>
        <v>#REF!</v>
      </c>
      <c r="F816" s="118" t="e">
        <f t="shared" ca="1" si="135"/>
        <v>#REF!</v>
      </c>
      <c r="G816" s="118" t="e">
        <f t="shared" ca="1" si="136"/>
        <v>#REF!</v>
      </c>
      <c r="H816" s="118" t="e">
        <f t="shared" ca="1" si="137"/>
        <v>#REF!</v>
      </c>
      <c r="I816" s="118" t="e">
        <f t="shared" ca="1" si="138"/>
        <v>#REF!</v>
      </c>
      <c r="J816" s="118" t="e">
        <f t="shared" ca="1" si="139"/>
        <v>#REF!</v>
      </c>
      <c r="K816" s="118" t="e">
        <f t="shared" ca="1" si="140"/>
        <v>#REF!</v>
      </c>
      <c r="L816" s="118" t="e">
        <f t="shared" ca="1" si="141"/>
        <v>#REF!</v>
      </c>
      <c r="M816" s="118" t="e">
        <f t="shared" ca="1" si="142"/>
        <v>#REF!</v>
      </c>
    </row>
    <row r="817" spans="1:13" x14ac:dyDescent="0.25">
      <c r="A817" s="119">
        <v>45270</v>
      </c>
      <c r="B817" s="119">
        <v>45270</v>
      </c>
      <c r="C817" s="118" t="e">
        <f t="shared" ca="1" si="132"/>
        <v>#REF!</v>
      </c>
      <c r="D817" s="118" t="e">
        <f t="shared" ca="1" si="133"/>
        <v>#REF!</v>
      </c>
      <c r="E817" s="118" t="e">
        <f t="shared" ca="1" si="134"/>
        <v>#REF!</v>
      </c>
      <c r="F817" s="118" t="e">
        <f t="shared" ca="1" si="135"/>
        <v>#REF!</v>
      </c>
      <c r="G817" s="118" t="e">
        <f t="shared" ca="1" si="136"/>
        <v>#REF!</v>
      </c>
      <c r="H817" s="118" t="e">
        <f t="shared" ca="1" si="137"/>
        <v>#REF!</v>
      </c>
      <c r="I817" s="118" t="e">
        <f t="shared" ca="1" si="138"/>
        <v>#REF!</v>
      </c>
      <c r="J817" s="118" t="e">
        <f t="shared" ca="1" si="139"/>
        <v>#REF!</v>
      </c>
      <c r="K817" s="118" t="e">
        <f t="shared" ca="1" si="140"/>
        <v>#REF!</v>
      </c>
      <c r="L817" s="118" t="e">
        <f t="shared" ca="1" si="141"/>
        <v>#REF!</v>
      </c>
      <c r="M817" s="118" t="e">
        <f t="shared" ca="1" si="142"/>
        <v>#REF!</v>
      </c>
    </row>
    <row r="818" spans="1:13" x14ac:dyDescent="0.25">
      <c r="A818" s="119">
        <v>45271</v>
      </c>
      <c r="B818" s="119">
        <v>45271</v>
      </c>
      <c r="C818" s="118" t="e">
        <f t="shared" ca="1" si="132"/>
        <v>#REF!</v>
      </c>
      <c r="D818" s="118" t="e">
        <f t="shared" ca="1" si="133"/>
        <v>#REF!</v>
      </c>
      <c r="E818" s="118" t="e">
        <f t="shared" ca="1" si="134"/>
        <v>#REF!</v>
      </c>
      <c r="F818" s="118" t="e">
        <f t="shared" ca="1" si="135"/>
        <v>#REF!</v>
      </c>
      <c r="G818" s="118" t="e">
        <f t="shared" ca="1" si="136"/>
        <v>#REF!</v>
      </c>
      <c r="H818" s="118" t="e">
        <f t="shared" ca="1" si="137"/>
        <v>#REF!</v>
      </c>
      <c r="I818" s="118" t="e">
        <f t="shared" ca="1" si="138"/>
        <v>#REF!</v>
      </c>
      <c r="J818" s="118" t="e">
        <f t="shared" ca="1" si="139"/>
        <v>#REF!</v>
      </c>
      <c r="K818" s="118" t="e">
        <f t="shared" ca="1" si="140"/>
        <v>#REF!</v>
      </c>
      <c r="L818" s="118" t="e">
        <f t="shared" ca="1" si="141"/>
        <v>#REF!</v>
      </c>
      <c r="M818" s="118" t="e">
        <f t="shared" ca="1" si="142"/>
        <v>#REF!</v>
      </c>
    </row>
    <row r="819" spans="1:13" x14ac:dyDescent="0.25">
      <c r="A819" s="119">
        <v>45272</v>
      </c>
      <c r="B819" s="119">
        <v>45272</v>
      </c>
      <c r="C819" s="118" t="e">
        <f t="shared" ca="1" si="132"/>
        <v>#REF!</v>
      </c>
      <c r="D819" s="118" t="e">
        <f t="shared" ca="1" si="133"/>
        <v>#REF!</v>
      </c>
      <c r="E819" s="118" t="e">
        <f t="shared" ca="1" si="134"/>
        <v>#REF!</v>
      </c>
      <c r="F819" s="118" t="e">
        <f t="shared" ca="1" si="135"/>
        <v>#REF!</v>
      </c>
      <c r="G819" s="118" t="e">
        <f t="shared" ca="1" si="136"/>
        <v>#REF!</v>
      </c>
      <c r="H819" s="118" t="e">
        <f t="shared" ca="1" si="137"/>
        <v>#REF!</v>
      </c>
      <c r="I819" s="118" t="e">
        <f t="shared" ca="1" si="138"/>
        <v>#REF!</v>
      </c>
      <c r="J819" s="118" t="e">
        <f t="shared" ca="1" si="139"/>
        <v>#REF!</v>
      </c>
      <c r="K819" s="118" t="e">
        <f t="shared" ca="1" si="140"/>
        <v>#REF!</v>
      </c>
      <c r="L819" s="118" t="e">
        <f t="shared" ca="1" si="141"/>
        <v>#REF!</v>
      </c>
      <c r="M819" s="118" t="e">
        <f t="shared" ca="1" si="142"/>
        <v>#REF!</v>
      </c>
    </row>
    <row r="820" spans="1:13" x14ac:dyDescent="0.25">
      <c r="A820" s="119" t="s">
        <v>245</v>
      </c>
      <c r="B820" s="119">
        <v>45273</v>
      </c>
      <c r="C820" s="118" t="e">
        <f t="shared" ca="1" si="132"/>
        <v>#REF!</v>
      </c>
      <c r="D820" s="118" t="e">
        <f t="shared" ca="1" si="133"/>
        <v>#REF!</v>
      </c>
      <c r="E820" s="118" t="e">
        <f t="shared" ca="1" si="134"/>
        <v>#REF!</v>
      </c>
      <c r="F820" s="118" t="e">
        <f t="shared" ca="1" si="135"/>
        <v>#REF!</v>
      </c>
      <c r="G820" s="118" t="e">
        <f t="shared" ca="1" si="136"/>
        <v>#REF!</v>
      </c>
      <c r="H820" s="118" t="e">
        <f t="shared" ca="1" si="137"/>
        <v>#REF!</v>
      </c>
      <c r="I820" s="118" t="e">
        <f t="shared" ca="1" si="138"/>
        <v>#REF!</v>
      </c>
      <c r="J820" s="118" t="e">
        <f t="shared" ca="1" si="139"/>
        <v>#REF!</v>
      </c>
      <c r="K820" s="118" t="e">
        <f t="shared" ca="1" si="140"/>
        <v>#REF!</v>
      </c>
      <c r="L820" s="118" t="e">
        <f t="shared" ca="1" si="141"/>
        <v>#REF!</v>
      </c>
      <c r="M820" s="118" t="e">
        <f t="shared" ca="1" si="142"/>
        <v>#REF!</v>
      </c>
    </row>
    <row r="821" spans="1:13" x14ac:dyDescent="0.25">
      <c r="A821" s="119">
        <v>45274</v>
      </c>
      <c r="B821" s="119">
        <v>45274</v>
      </c>
      <c r="C821" s="118" t="e">
        <f t="shared" ca="1" si="132"/>
        <v>#REF!</v>
      </c>
      <c r="D821" s="118" t="e">
        <f t="shared" ca="1" si="133"/>
        <v>#REF!</v>
      </c>
      <c r="E821" s="118" t="e">
        <f t="shared" ca="1" si="134"/>
        <v>#REF!</v>
      </c>
      <c r="F821" s="118" t="e">
        <f t="shared" ca="1" si="135"/>
        <v>#REF!</v>
      </c>
      <c r="G821" s="118" t="e">
        <f t="shared" ca="1" si="136"/>
        <v>#REF!</v>
      </c>
      <c r="H821" s="118" t="e">
        <f t="shared" ca="1" si="137"/>
        <v>#REF!</v>
      </c>
      <c r="I821" s="118" t="e">
        <f t="shared" ca="1" si="138"/>
        <v>#REF!</v>
      </c>
      <c r="J821" s="118" t="e">
        <f t="shared" ca="1" si="139"/>
        <v>#REF!</v>
      </c>
      <c r="K821" s="118" t="e">
        <f t="shared" ca="1" si="140"/>
        <v>#REF!</v>
      </c>
      <c r="L821" s="118" t="e">
        <f t="shared" ca="1" si="141"/>
        <v>#REF!</v>
      </c>
      <c r="M821" s="118" t="e">
        <f t="shared" ca="1" si="142"/>
        <v>#REF!</v>
      </c>
    </row>
    <row r="822" spans="1:13" x14ac:dyDescent="0.25">
      <c r="A822" s="119">
        <v>45275</v>
      </c>
      <c r="B822" s="119">
        <v>45275</v>
      </c>
      <c r="C822" s="118" t="e">
        <f t="shared" ca="1" si="132"/>
        <v>#REF!</v>
      </c>
      <c r="D822" s="118" t="e">
        <f t="shared" ca="1" si="133"/>
        <v>#REF!</v>
      </c>
      <c r="E822" s="118" t="e">
        <f t="shared" ca="1" si="134"/>
        <v>#REF!</v>
      </c>
      <c r="F822" s="118" t="e">
        <f t="shared" ca="1" si="135"/>
        <v>#REF!</v>
      </c>
      <c r="G822" s="118" t="e">
        <f t="shared" ca="1" si="136"/>
        <v>#REF!</v>
      </c>
      <c r="H822" s="118" t="e">
        <f t="shared" ca="1" si="137"/>
        <v>#REF!</v>
      </c>
      <c r="I822" s="118" t="e">
        <f t="shared" ca="1" si="138"/>
        <v>#REF!</v>
      </c>
      <c r="J822" s="118" t="e">
        <f t="shared" ca="1" si="139"/>
        <v>#REF!</v>
      </c>
      <c r="K822" s="118" t="e">
        <f t="shared" ca="1" si="140"/>
        <v>#REF!</v>
      </c>
      <c r="L822" s="118" t="e">
        <f t="shared" ca="1" si="141"/>
        <v>#REF!</v>
      </c>
      <c r="M822" s="118" t="e">
        <f t="shared" ca="1" si="142"/>
        <v>#REF!</v>
      </c>
    </row>
    <row r="823" spans="1:13" x14ac:dyDescent="0.25">
      <c r="A823" s="119">
        <v>45276</v>
      </c>
      <c r="B823" s="119">
        <v>45276</v>
      </c>
      <c r="C823" s="118" t="e">
        <f t="shared" ca="1" si="132"/>
        <v>#REF!</v>
      </c>
      <c r="D823" s="118" t="e">
        <f t="shared" ca="1" si="133"/>
        <v>#REF!</v>
      </c>
      <c r="E823" s="118" t="e">
        <f t="shared" ca="1" si="134"/>
        <v>#REF!</v>
      </c>
      <c r="F823" s="118" t="e">
        <f t="shared" ca="1" si="135"/>
        <v>#REF!</v>
      </c>
      <c r="G823" s="118" t="e">
        <f t="shared" ca="1" si="136"/>
        <v>#REF!</v>
      </c>
      <c r="H823" s="118" t="e">
        <f t="shared" ca="1" si="137"/>
        <v>#REF!</v>
      </c>
      <c r="I823" s="118" t="e">
        <f t="shared" ca="1" si="138"/>
        <v>#REF!</v>
      </c>
      <c r="J823" s="118" t="e">
        <f t="shared" ca="1" si="139"/>
        <v>#REF!</v>
      </c>
      <c r="K823" s="118" t="e">
        <f t="shared" ca="1" si="140"/>
        <v>#REF!</v>
      </c>
      <c r="L823" s="118" t="e">
        <f t="shared" ca="1" si="141"/>
        <v>#REF!</v>
      </c>
      <c r="M823" s="118" t="e">
        <f t="shared" ca="1" si="142"/>
        <v>#REF!</v>
      </c>
    </row>
    <row r="824" spans="1:13" x14ac:dyDescent="0.25">
      <c r="A824" s="119">
        <v>45277</v>
      </c>
      <c r="B824" s="119">
        <v>45277</v>
      </c>
      <c r="C824" s="118" t="e">
        <f t="shared" ca="1" si="132"/>
        <v>#REF!</v>
      </c>
      <c r="D824" s="118" t="e">
        <f t="shared" ca="1" si="133"/>
        <v>#REF!</v>
      </c>
      <c r="E824" s="118" t="e">
        <f t="shared" ca="1" si="134"/>
        <v>#REF!</v>
      </c>
      <c r="F824" s="118" t="e">
        <f t="shared" ca="1" si="135"/>
        <v>#REF!</v>
      </c>
      <c r="G824" s="118" t="e">
        <f t="shared" ca="1" si="136"/>
        <v>#REF!</v>
      </c>
      <c r="H824" s="118" t="e">
        <f t="shared" ca="1" si="137"/>
        <v>#REF!</v>
      </c>
      <c r="I824" s="118" t="e">
        <f t="shared" ca="1" si="138"/>
        <v>#REF!</v>
      </c>
      <c r="J824" s="118" t="e">
        <f t="shared" ca="1" si="139"/>
        <v>#REF!</v>
      </c>
      <c r="K824" s="118" t="e">
        <f t="shared" ca="1" si="140"/>
        <v>#REF!</v>
      </c>
      <c r="L824" s="118" t="e">
        <f t="shared" ca="1" si="141"/>
        <v>#REF!</v>
      </c>
      <c r="M824" s="118" t="e">
        <f t="shared" ca="1" si="142"/>
        <v>#REF!</v>
      </c>
    </row>
    <row r="825" spans="1:13" x14ac:dyDescent="0.25">
      <c r="A825" s="119">
        <v>45278</v>
      </c>
      <c r="B825" s="119">
        <v>45278</v>
      </c>
      <c r="C825" s="118" t="e">
        <f t="shared" ca="1" si="132"/>
        <v>#REF!</v>
      </c>
      <c r="D825" s="118" t="e">
        <f t="shared" ca="1" si="133"/>
        <v>#REF!</v>
      </c>
      <c r="E825" s="118" t="e">
        <f t="shared" ca="1" si="134"/>
        <v>#REF!</v>
      </c>
      <c r="F825" s="118" t="e">
        <f t="shared" ca="1" si="135"/>
        <v>#REF!</v>
      </c>
      <c r="G825" s="118" t="e">
        <f t="shared" ca="1" si="136"/>
        <v>#REF!</v>
      </c>
      <c r="H825" s="118" t="e">
        <f t="shared" ca="1" si="137"/>
        <v>#REF!</v>
      </c>
      <c r="I825" s="118" t="e">
        <f t="shared" ca="1" si="138"/>
        <v>#REF!</v>
      </c>
      <c r="J825" s="118" t="e">
        <f t="shared" ca="1" si="139"/>
        <v>#REF!</v>
      </c>
      <c r="K825" s="118" t="e">
        <f t="shared" ca="1" si="140"/>
        <v>#REF!</v>
      </c>
      <c r="L825" s="118" t="e">
        <f t="shared" ca="1" si="141"/>
        <v>#REF!</v>
      </c>
      <c r="M825" s="118" t="e">
        <f t="shared" ca="1" si="142"/>
        <v>#REF!</v>
      </c>
    </row>
    <row r="826" spans="1:13" x14ac:dyDescent="0.25">
      <c r="A826" s="119" t="s">
        <v>246</v>
      </c>
      <c r="B826" s="119">
        <v>45279</v>
      </c>
      <c r="C826" s="118" t="e">
        <f t="shared" ca="1" si="132"/>
        <v>#REF!</v>
      </c>
      <c r="D826" s="118" t="e">
        <f t="shared" ca="1" si="133"/>
        <v>#REF!</v>
      </c>
      <c r="E826" s="118" t="e">
        <f t="shared" ca="1" si="134"/>
        <v>#REF!</v>
      </c>
      <c r="F826" s="118" t="e">
        <f t="shared" ca="1" si="135"/>
        <v>#REF!</v>
      </c>
      <c r="G826" s="118" t="e">
        <f t="shared" ca="1" si="136"/>
        <v>#REF!</v>
      </c>
      <c r="H826" s="118" t="e">
        <f t="shared" ca="1" si="137"/>
        <v>#REF!</v>
      </c>
      <c r="I826" s="118" t="e">
        <f t="shared" ca="1" si="138"/>
        <v>#REF!</v>
      </c>
      <c r="J826" s="118" t="e">
        <f t="shared" ca="1" si="139"/>
        <v>#REF!</v>
      </c>
      <c r="K826" s="118" t="e">
        <f t="shared" ca="1" si="140"/>
        <v>#REF!</v>
      </c>
      <c r="L826" s="118" t="e">
        <f t="shared" ca="1" si="141"/>
        <v>#REF!</v>
      </c>
      <c r="M826" s="118" t="e">
        <f t="shared" ca="1" si="142"/>
        <v>#REF!</v>
      </c>
    </row>
    <row r="827" spans="1:13" x14ac:dyDescent="0.25">
      <c r="A827" s="119">
        <v>45280</v>
      </c>
      <c r="B827" s="119">
        <v>45280</v>
      </c>
      <c r="C827" s="118" t="e">
        <f t="shared" ca="1" si="132"/>
        <v>#REF!</v>
      </c>
      <c r="D827" s="118" t="e">
        <f t="shared" ca="1" si="133"/>
        <v>#REF!</v>
      </c>
      <c r="E827" s="118" t="e">
        <f t="shared" ca="1" si="134"/>
        <v>#REF!</v>
      </c>
      <c r="F827" s="118" t="e">
        <f t="shared" ca="1" si="135"/>
        <v>#REF!</v>
      </c>
      <c r="G827" s="118" t="e">
        <f t="shared" ca="1" si="136"/>
        <v>#REF!</v>
      </c>
      <c r="H827" s="118" t="e">
        <f t="shared" ca="1" si="137"/>
        <v>#REF!</v>
      </c>
      <c r="I827" s="118" t="e">
        <f t="shared" ca="1" si="138"/>
        <v>#REF!</v>
      </c>
      <c r="J827" s="118" t="e">
        <f t="shared" ca="1" si="139"/>
        <v>#REF!</v>
      </c>
      <c r="K827" s="118" t="e">
        <f t="shared" ca="1" si="140"/>
        <v>#REF!</v>
      </c>
      <c r="L827" s="118" t="e">
        <f t="shared" ca="1" si="141"/>
        <v>#REF!</v>
      </c>
      <c r="M827" s="118" t="e">
        <f t="shared" ca="1" si="142"/>
        <v>#REF!</v>
      </c>
    </row>
    <row r="828" spans="1:13" x14ac:dyDescent="0.25">
      <c r="A828" s="119">
        <v>45281</v>
      </c>
      <c r="B828" s="119">
        <v>45281</v>
      </c>
      <c r="C828" s="118" t="e">
        <f t="shared" ca="1" si="132"/>
        <v>#REF!</v>
      </c>
      <c r="D828" s="118" t="e">
        <f t="shared" ca="1" si="133"/>
        <v>#REF!</v>
      </c>
      <c r="E828" s="118" t="e">
        <f t="shared" ca="1" si="134"/>
        <v>#REF!</v>
      </c>
      <c r="F828" s="118" t="e">
        <f t="shared" ca="1" si="135"/>
        <v>#REF!</v>
      </c>
      <c r="G828" s="118" t="e">
        <f t="shared" ca="1" si="136"/>
        <v>#REF!</v>
      </c>
      <c r="H828" s="118" t="e">
        <f t="shared" ca="1" si="137"/>
        <v>#REF!</v>
      </c>
      <c r="I828" s="118" t="e">
        <f t="shared" ca="1" si="138"/>
        <v>#REF!</v>
      </c>
      <c r="J828" s="118" t="e">
        <f t="shared" ca="1" si="139"/>
        <v>#REF!</v>
      </c>
      <c r="K828" s="118" t="e">
        <f t="shared" ca="1" si="140"/>
        <v>#REF!</v>
      </c>
      <c r="L828" s="118" t="e">
        <f t="shared" ca="1" si="141"/>
        <v>#REF!</v>
      </c>
      <c r="M828" s="118" t="e">
        <f t="shared" ca="1" si="142"/>
        <v>#REF!</v>
      </c>
    </row>
    <row r="829" spans="1:13" x14ac:dyDescent="0.25">
      <c r="A829" s="119">
        <v>45282</v>
      </c>
      <c r="B829" s="119">
        <v>45282</v>
      </c>
      <c r="C829" s="118" t="e">
        <f t="shared" ca="1" si="132"/>
        <v>#REF!</v>
      </c>
      <c r="D829" s="118" t="e">
        <f t="shared" ca="1" si="133"/>
        <v>#REF!</v>
      </c>
      <c r="E829" s="118" t="e">
        <f t="shared" ca="1" si="134"/>
        <v>#REF!</v>
      </c>
      <c r="F829" s="118" t="e">
        <f t="shared" ca="1" si="135"/>
        <v>#REF!</v>
      </c>
      <c r="G829" s="118" t="e">
        <f t="shared" ca="1" si="136"/>
        <v>#REF!</v>
      </c>
      <c r="H829" s="118" t="e">
        <f t="shared" ca="1" si="137"/>
        <v>#REF!</v>
      </c>
      <c r="I829" s="118" t="e">
        <f t="shared" ca="1" si="138"/>
        <v>#REF!</v>
      </c>
      <c r="J829" s="118" t="e">
        <f t="shared" ca="1" si="139"/>
        <v>#REF!</v>
      </c>
      <c r="K829" s="118" t="e">
        <f t="shared" ca="1" si="140"/>
        <v>#REF!</v>
      </c>
      <c r="L829" s="118" t="e">
        <f t="shared" ca="1" si="141"/>
        <v>#REF!</v>
      </c>
      <c r="M829" s="118" t="e">
        <f t="shared" ca="1" si="142"/>
        <v>#REF!</v>
      </c>
    </row>
    <row r="830" spans="1:13" x14ac:dyDescent="0.25">
      <c r="A830" s="119">
        <v>45283</v>
      </c>
      <c r="B830" s="119">
        <v>45283</v>
      </c>
      <c r="C830" s="118" t="e">
        <f t="shared" ca="1" si="132"/>
        <v>#REF!</v>
      </c>
      <c r="D830" s="118" t="e">
        <f t="shared" ca="1" si="133"/>
        <v>#REF!</v>
      </c>
      <c r="E830" s="118" t="e">
        <f t="shared" ca="1" si="134"/>
        <v>#REF!</v>
      </c>
      <c r="F830" s="118" t="e">
        <f t="shared" ca="1" si="135"/>
        <v>#REF!</v>
      </c>
      <c r="G830" s="118" t="e">
        <f t="shared" ca="1" si="136"/>
        <v>#REF!</v>
      </c>
      <c r="H830" s="118" t="e">
        <f t="shared" ca="1" si="137"/>
        <v>#REF!</v>
      </c>
      <c r="I830" s="118" t="e">
        <f t="shared" ca="1" si="138"/>
        <v>#REF!</v>
      </c>
      <c r="J830" s="118" t="e">
        <f t="shared" ca="1" si="139"/>
        <v>#REF!</v>
      </c>
      <c r="K830" s="118" t="e">
        <f t="shared" ca="1" si="140"/>
        <v>#REF!</v>
      </c>
      <c r="L830" s="118" t="e">
        <f t="shared" ca="1" si="141"/>
        <v>#REF!</v>
      </c>
      <c r="M830" s="118" t="e">
        <f t="shared" ca="1" si="142"/>
        <v>#REF!</v>
      </c>
    </row>
    <row r="831" spans="1:13" x14ac:dyDescent="0.25">
      <c r="A831" s="119">
        <v>45284</v>
      </c>
      <c r="B831" s="119">
        <v>45284</v>
      </c>
      <c r="C831" s="118" t="e">
        <f t="shared" ca="1" si="132"/>
        <v>#REF!</v>
      </c>
      <c r="D831" s="118" t="e">
        <f t="shared" ca="1" si="133"/>
        <v>#REF!</v>
      </c>
      <c r="E831" s="118" t="e">
        <f t="shared" ca="1" si="134"/>
        <v>#REF!</v>
      </c>
      <c r="F831" s="118" t="e">
        <f t="shared" ca="1" si="135"/>
        <v>#REF!</v>
      </c>
      <c r="G831" s="118" t="e">
        <f t="shared" ca="1" si="136"/>
        <v>#REF!</v>
      </c>
      <c r="H831" s="118" t="e">
        <f t="shared" ca="1" si="137"/>
        <v>#REF!</v>
      </c>
      <c r="I831" s="118" t="e">
        <f t="shared" ca="1" si="138"/>
        <v>#REF!</v>
      </c>
      <c r="J831" s="118" t="e">
        <f t="shared" ca="1" si="139"/>
        <v>#REF!</v>
      </c>
      <c r="K831" s="118" t="e">
        <f t="shared" ca="1" si="140"/>
        <v>#REF!</v>
      </c>
      <c r="L831" s="118" t="e">
        <f t="shared" ca="1" si="141"/>
        <v>#REF!</v>
      </c>
      <c r="M831" s="118" t="e">
        <f t="shared" ca="1" si="142"/>
        <v>#REF!</v>
      </c>
    </row>
    <row r="832" spans="1:13" x14ac:dyDescent="0.25">
      <c r="A832" s="119">
        <v>45285</v>
      </c>
      <c r="B832" s="119">
        <v>45285</v>
      </c>
      <c r="C832" s="118" t="e">
        <f t="shared" ca="1" si="132"/>
        <v>#REF!</v>
      </c>
      <c r="D832" s="118" t="e">
        <f t="shared" ca="1" si="133"/>
        <v>#REF!</v>
      </c>
      <c r="E832" s="118" t="e">
        <f t="shared" ca="1" si="134"/>
        <v>#REF!</v>
      </c>
      <c r="F832" s="118" t="e">
        <f t="shared" ca="1" si="135"/>
        <v>#REF!</v>
      </c>
      <c r="G832" s="118" t="e">
        <f t="shared" ca="1" si="136"/>
        <v>#REF!</v>
      </c>
      <c r="H832" s="118" t="e">
        <f t="shared" ca="1" si="137"/>
        <v>#REF!</v>
      </c>
      <c r="I832" s="118" t="e">
        <f t="shared" ca="1" si="138"/>
        <v>#REF!</v>
      </c>
      <c r="J832" s="118" t="e">
        <f t="shared" ca="1" si="139"/>
        <v>#REF!</v>
      </c>
      <c r="K832" s="118" t="e">
        <f t="shared" ca="1" si="140"/>
        <v>#REF!</v>
      </c>
      <c r="L832" s="118" t="e">
        <f t="shared" ca="1" si="141"/>
        <v>#REF!</v>
      </c>
      <c r="M832" s="118" t="e">
        <f t="shared" ca="1" si="142"/>
        <v>#REF!</v>
      </c>
    </row>
    <row r="833" spans="1:13" x14ac:dyDescent="0.25">
      <c r="A833" s="119">
        <v>45286</v>
      </c>
      <c r="B833" s="119">
        <v>45286</v>
      </c>
      <c r="C833" s="118" t="e">
        <f t="shared" ca="1" si="132"/>
        <v>#REF!</v>
      </c>
      <c r="D833" s="118" t="e">
        <f t="shared" ca="1" si="133"/>
        <v>#REF!</v>
      </c>
      <c r="E833" s="118" t="e">
        <f t="shared" ca="1" si="134"/>
        <v>#REF!</v>
      </c>
      <c r="F833" s="118" t="e">
        <f t="shared" ca="1" si="135"/>
        <v>#REF!</v>
      </c>
      <c r="G833" s="118" t="e">
        <f t="shared" ca="1" si="136"/>
        <v>#REF!</v>
      </c>
      <c r="H833" s="118" t="e">
        <f t="shared" ca="1" si="137"/>
        <v>#REF!</v>
      </c>
      <c r="I833" s="118" t="e">
        <f t="shared" ca="1" si="138"/>
        <v>#REF!</v>
      </c>
      <c r="J833" s="118" t="e">
        <f t="shared" ca="1" si="139"/>
        <v>#REF!</v>
      </c>
      <c r="K833" s="118" t="e">
        <f t="shared" ca="1" si="140"/>
        <v>#REF!</v>
      </c>
      <c r="L833" s="118" t="e">
        <f t="shared" ca="1" si="141"/>
        <v>#REF!</v>
      </c>
      <c r="M833" s="118" t="e">
        <f t="shared" ca="1" si="142"/>
        <v>#REF!</v>
      </c>
    </row>
    <row r="834" spans="1:13" x14ac:dyDescent="0.25">
      <c r="A834" s="119">
        <v>45287</v>
      </c>
      <c r="B834" s="119">
        <v>45287</v>
      </c>
      <c r="C834" s="118" t="e">
        <f t="shared" ca="1" si="132"/>
        <v>#REF!</v>
      </c>
      <c r="D834" s="118" t="e">
        <f t="shared" ca="1" si="133"/>
        <v>#REF!</v>
      </c>
      <c r="E834" s="118" t="e">
        <f t="shared" ca="1" si="134"/>
        <v>#REF!</v>
      </c>
      <c r="F834" s="118" t="e">
        <f t="shared" ca="1" si="135"/>
        <v>#REF!</v>
      </c>
      <c r="G834" s="118" t="e">
        <f t="shared" ca="1" si="136"/>
        <v>#REF!</v>
      </c>
      <c r="H834" s="118" t="e">
        <f t="shared" ca="1" si="137"/>
        <v>#REF!</v>
      </c>
      <c r="I834" s="118" t="e">
        <f t="shared" ca="1" si="138"/>
        <v>#REF!</v>
      </c>
      <c r="J834" s="118" t="e">
        <f t="shared" ca="1" si="139"/>
        <v>#REF!</v>
      </c>
      <c r="K834" s="118" t="e">
        <f t="shared" ca="1" si="140"/>
        <v>#REF!</v>
      </c>
      <c r="L834" s="118" t="e">
        <f t="shared" ca="1" si="141"/>
        <v>#REF!</v>
      </c>
      <c r="M834" s="118" t="e">
        <f t="shared" ca="1" si="142"/>
        <v>#REF!</v>
      </c>
    </row>
    <row r="835" spans="1:13" x14ac:dyDescent="0.25">
      <c r="A835" s="119" t="s">
        <v>247</v>
      </c>
      <c r="B835" s="119">
        <v>45288</v>
      </c>
      <c r="C835" s="118" t="e">
        <f t="shared" ref="C835:C898" ca="1" si="143">INDIRECT(CONCATENATE("",$A835,"!H10"))</f>
        <v>#REF!</v>
      </c>
      <c r="D835" s="118" t="e">
        <f t="shared" ref="D835:D898" ca="1" si="144">INDIRECT(CONCATENATE("",$A835,"!H11"))</f>
        <v>#REF!</v>
      </c>
      <c r="E835" s="118" t="e">
        <f t="shared" ref="E835:E898" ca="1" si="145">INDIRECT(CONCATENATE("",$A835,"!H12"))</f>
        <v>#REF!</v>
      </c>
      <c r="F835" s="118" t="e">
        <f t="shared" ref="F835:F898" ca="1" si="146">INDIRECT(CONCATENATE("",$A835,"!H13"))</f>
        <v>#REF!</v>
      </c>
      <c r="G835" s="118" t="e">
        <f t="shared" ref="G835:G898" ca="1" si="147">INDIRECT(CONCATENATE("",$A835,"!H14"))</f>
        <v>#REF!</v>
      </c>
      <c r="H835" s="118" t="e">
        <f t="shared" ref="H835:H898" ca="1" si="148">INDIRECT(CONCATENATE("",$A835,"!i12"))</f>
        <v>#REF!</v>
      </c>
      <c r="I835" s="118" t="e">
        <f t="shared" ref="I835:I898" ca="1" si="149">INDIRECT(CONCATENATE("",$A835,"!i13"))</f>
        <v>#REF!</v>
      </c>
      <c r="J835" s="118" t="e">
        <f t="shared" ref="J835:J898" ca="1" si="150">INDIRECT(CONCATENATE("",$A835,"!i14"))</f>
        <v>#REF!</v>
      </c>
      <c r="K835" s="118" t="e">
        <f t="shared" ref="K835:K898" ca="1" si="151">INDIRECT(CONCATENATE("",$A835,"!J12"))</f>
        <v>#REF!</v>
      </c>
      <c r="L835" s="118" t="e">
        <f t="shared" ref="L835:L898" ca="1" si="152">INDIRECT(CONCATENATE("",$A835,"!J13"))</f>
        <v>#REF!</v>
      </c>
      <c r="M835" s="118" t="e">
        <f t="shared" ref="M835:M898" ca="1" si="153">INDIRECT(CONCATENATE("",$A835,"!J14"))</f>
        <v>#REF!</v>
      </c>
    </row>
    <row r="836" spans="1:13" x14ac:dyDescent="0.25">
      <c r="A836" s="119">
        <v>45289</v>
      </c>
      <c r="B836" s="119">
        <v>45289</v>
      </c>
      <c r="C836" s="118" t="e">
        <f t="shared" ca="1" si="143"/>
        <v>#REF!</v>
      </c>
      <c r="D836" s="118" t="e">
        <f t="shared" ca="1" si="144"/>
        <v>#REF!</v>
      </c>
      <c r="E836" s="118" t="e">
        <f t="shared" ca="1" si="145"/>
        <v>#REF!</v>
      </c>
      <c r="F836" s="118" t="e">
        <f t="shared" ca="1" si="146"/>
        <v>#REF!</v>
      </c>
      <c r="G836" s="118" t="e">
        <f t="shared" ca="1" si="147"/>
        <v>#REF!</v>
      </c>
      <c r="H836" s="118" t="e">
        <f t="shared" ca="1" si="148"/>
        <v>#REF!</v>
      </c>
      <c r="I836" s="118" t="e">
        <f t="shared" ca="1" si="149"/>
        <v>#REF!</v>
      </c>
      <c r="J836" s="118" t="e">
        <f t="shared" ca="1" si="150"/>
        <v>#REF!</v>
      </c>
      <c r="K836" s="118" t="e">
        <f t="shared" ca="1" si="151"/>
        <v>#REF!</v>
      </c>
      <c r="L836" s="118" t="e">
        <f t="shared" ca="1" si="152"/>
        <v>#REF!</v>
      </c>
      <c r="M836" s="118" t="e">
        <f t="shared" ca="1" si="153"/>
        <v>#REF!</v>
      </c>
    </row>
    <row r="837" spans="1:13" x14ac:dyDescent="0.25">
      <c r="A837" s="119">
        <v>45290</v>
      </c>
      <c r="B837" s="119">
        <v>45290</v>
      </c>
      <c r="C837" s="118" t="e">
        <f t="shared" ca="1" si="143"/>
        <v>#REF!</v>
      </c>
      <c r="D837" s="118" t="e">
        <f t="shared" ca="1" si="144"/>
        <v>#REF!</v>
      </c>
      <c r="E837" s="118" t="e">
        <f t="shared" ca="1" si="145"/>
        <v>#REF!</v>
      </c>
      <c r="F837" s="118" t="e">
        <f t="shared" ca="1" si="146"/>
        <v>#REF!</v>
      </c>
      <c r="G837" s="118" t="e">
        <f t="shared" ca="1" si="147"/>
        <v>#REF!</v>
      </c>
      <c r="H837" s="118" t="e">
        <f t="shared" ca="1" si="148"/>
        <v>#REF!</v>
      </c>
      <c r="I837" s="118" t="e">
        <f t="shared" ca="1" si="149"/>
        <v>#REF!</v>
      </c>
      <c r="J837" s="118" t="e">
        <f t="shared" ca="1" si="150"/>
        <v>#REF!</v>
      </c>
      <c r="K837" s="118" t="e">
        <f t="shared" ca="1" si="151"/>
        <v>#REF!</v>
      </c>
      <c r="L837" s="118" t="e">
        <f t="shared" ca="1" si="152"/>
        <v>#REF!</v>
      </c>
      <c r="M837" s="118" t="e">
        <f t="shared" ca="1" si="153"/>
        <v>#REF!</v>
      </c>
    </row>
    <row r="838" spans="1:13" x14ac:dyDescent="0.25">
      <c r="A838" s="119">
        <v>45291</v>
      </c>
      <c r="B838" s="119">
        <v>45291</v>
      </c>
      <c r="C838" s="118" t="e">
        <f t="shared" ca="1" si="143"/>
        <v>#REF!</v>
      </c>
      <c r="D838" s="118" t="e">
        <f t="shared" ca="1" si="144"/>
        <v>#REF!</v>
      </c>
      <c r="E838" s="118" t="e">
        <f t="shared" ca="1" si="145"/>
        <v>#REF!</v>
      </c>
      <c r="F838" s="118" t="e">
        <f t="shared" ca="1" si="146"/>
        <v>#REF!</v>
      </c>
      <c r="G838" s="118" t="e">
        <f t="shared" ca="1" si="147"/>
        <v>#REF!</v>
      </c>
      <c r="H838" s="118" t="e">
        <f t="shared" ca="1" si="148"/>
        <v>#REF!</v>
      </c>
      <c r="I838" s="118" t="e">
        <f t="shared" ca="1" si="149"/>
        <v>#REF!</v>
      </c>
      <c r="J838" s="118" t="e">
        <f t="shared" ca="1" si="150"/>
        <v>#REF!</v>
      </c>
      <c r="K838" s="118" t="e">
        <f t="shared" ca="1" si="151"/>
        <v>#REF!</v>
      </c>
      <c r="L838" s="118" t="e">
        <f t="shared" ca="1" si="152"/>
        <v>#REF!</v>
      </c>
      <c r="M838" s="118" t="e">
        <f t="shared" ca="1" si="153"/>
        <v>#REF!</v>
      </c>
    </row>
    <row r="839" spans="1:13" x14ac:dyDescent="0.25">
      <c r="A839" s="119">
        <v>45292</v>
      </c>
      <c r="B839" s="119">
        <v>45292</v>
      </c>
      <c r="C839" s="118" t="e">
        <f t="shared" ca="1" si="143"/>
        <v>#REF!</v>
      </c>
      <c r="D839" s="118" t="e">
        <f t="shared" ca="1" si="144"/>
        <v>#REF!</v>
      </c>
      <c r="E839" s="118" t="e">
        <f t="shared" ca="1" si="145"/>
        <v>#REF!</v>
      </c>
      <c r="F839" s="118" t="e">
        <f t="shared" ca="1" si="146"/>
        <v>#REF!</v>
      </c>
      <c r="G839" s="118" t="e">
        <f t="shared" ca="1" si="147"/>
        <v>#REF!</v>
      </c>
      <c r="H839" s="118" t="e">
        <f t="shared" ca="1" si="148"/>
        <v>#REF!</v>
      </c>
      <c r="I839" s="118" t="e">
        <f t="shared" ca="1" si="149"/>
        <v>#REF!</v>
      </c>
      <c r="J839" s="118" t="e">
        <f t="shared" ca="1" si="150"/>
        <v>#REF!</v>
      </c>
      <c r="K839" s="118" t="e">
        <f t="shared" ca="1" si="151"/>
        <v>#REF!</v>
      </c>
      <c r="L839" s="118" t="e">
        <f t="shared" ca="1" si="152"/>
        <v>#REF!</v>
      </c>
      <c r="M839" s="118" t="e">
        <f t="shared" ca="1" si="153"/>
        <v>#REF!</v>
      </c>
    </row>
    <row r="840" spans="1:13" x14ac:dyDescent="0.25">
      <c r="A840" s="119">
        <v>45293</v>
      </c>
      <c r="B840" s="119">
        <v>45293</v>
      </c>
      <c r="C840" s="118" t="e">
        <f t="shared" ca="1" si="143"/>
        <v>#REF!</v>
      </c>
      <c r="D840" s="118" t="e">
        <f t="shared" ca="1" si="144"/>
        <v>#REF!</v>
      </c>
      <c r="E840" s="118" t="e">
        <f t="shared" ca="1" si="145"/>
        <v>#REF!</v>
      </c>
      <c r="F840" s="118" t="e">
        <f t="shared" ca="1" si="146"/>
        <v>#REF!</v>
      </c>
      <c r="G840" s="118" t="e">
        <f t="shared" ca="1" si="147"/>
        <v>#REF!</v>
      </c>
      <c r="H840" s="118" t="e">
        <f t="shared" ca="1" si="148"/>
        <v>#REF!</v>
      </c>
      <c r="I840" s="118" t="e">
        <f t="shared" ca="1" si="149"/>
        <v>#REF!</v>
      </c>
      <c r="J840" s="118" t="e">
        <f t="shared" ca="1" si="150"/>
        <v>#REF!</v>
      </c>
      <c r="K840" s="118" t="e">
        <f t="shared" ca="1" si="151"/>
        <v>#REF!</v>
      </c>
      <c r="L840" s="118" t="e">
        <f t="shared" ca="1" si="152"/>
        <v>#REF!</v>
      </c>
      <c r="M840" s="118" t="e">
        <f t="shared" ca="1" si="153"/>
        <v>#REF!</v>
      </c>
    </row>
    <row r="841" spans="1:13" x14ac:dyDescent="0.25">
      <c r="A841" s="119">
        <v>45294</v>
      </c>
      <c r="B841" s="119">
        <v>45294</v>
      </c>
      <c r="C841" s="118" t="e">
        <f t="shared" ca="1" si="143"/>
        <v>#REF!</v>
      </c>
      <c r="D841" s="118" t="e">
        <f t="shared" ca="1" si="144"/>
        <v>#REF!</v>
      </c>
      <c r="E841" s="118" t="e">
        <f t="shared" ca="1" si="145"/>
        <v>#REF!</v>
      </c>
      <c r="F841" s="118" t="e">
        <f t="shared" ca="1" si="146"/>
        <v>#REF!</v>
      </c>
      <c r="G841" s="118" t="e">
        <f t="shared" ca="1" si="147"/>
        <v>#REF!</v>
      </c>
      <c r="H841" s="118" t="e">
        <f t="shared" ca="1" si="148"/>
        <v>#REF!</v>
      </c>
      <c r="I841" s="118" t="e">
        <f t="shared" ca="1" si="149"/>
        <v>#REF!</v>
      </c>
      <c r="J841" s="118" t="e">
        <f t="shared" ca="1" si="150"/>
        <v>#REF!</v>
      </c>
      <c r="K841" s="118" t="e">
        <f t="shared" ca="1" si="151"/>
        <v>#REF!</v>
      </c>
      <c r="L841" s="118" t="e">
        <f t="shared" ca="1" si="152"/>
        <v>#REF!</v>
      </c>
      <c r="M841" s="118" t="e">
        <f t="shared" ca="1" si="153"/>
        <v>#REF!</v>
      </c>
    </row>
    <row r="842" spans="1:13" x14ac:dyDescent="0.25">
      <c r="A842" s="119" t="s">
        <v>248</v>
      </c>
      <c r="B842" s="119">
        <v>45295</v>
      </c>
      <c r="C842" s="118" t="e">
        <f t="shared" ca="1" si="143"/>
        <v>#REF!</v>
      </c>
      <c r="D842" s="118" t="e">
        <f t="shared" ca="1" si="144"/>
        <v>#REF!</v>
      </c>
      <c r="E842" s="118" t="e">
        <f t="shared" ca="1" si="145"/>
        <v>#REF!</v>
      </c>
      <c r="F842" s="118" t="e">
        <f t="shared" ca="1" si="146"/>
        <v>#REF!</v>
      </c>
      <c r="G842" s="118" t="e">
        <f t="shared" ca="1" si="147"/>
        <v>#REF!</v>
      </c>
      <c r="H842" s="118" t="e">
        <f t="shared" ca="1" si="148"/>
        <v>#REF!</v>
      </c>
      <c r="I842" s="118" t="e">
        <f t="shared" ca="1" si="149"/>
        <v>#REF!</v>
      </c>
      <c r="J842" s="118" t="e">
        <f t="shared" ca="1" si="150"/>
        <v>#REF!</v>
      </c>
      <c r="K842" s="118" t="e">
        <f t="shared" ca="1" si="151"/>
        <v>#REF!</v>
      </c>
      <c r="L842" s="118" t="e">
        <f t="shared" ca="1" si="152"/>
        <v>#REF!</v>
      </c>
      <c r="M842" s="118" t="e">
        <f t="shared" ca="1" si="153"/>
        <v>#REF!</v>
      </c>
    </row>
    <row r="843" spans="1:13" x14ac:dyDescent="0.25">
      <c r="A843" s="119">
        <v>45296</v>
      </c>
      <c r="B843" s="119">
        <v>45296</v>
      </c>
      <c r="C843" s="118" t="e">
        <f t="shared" ca="1" si="143"/>
        <v>#REF!</v>
      </c>
      <c r="D843" s="118" t="e">
        <f t="shared" ca="1" si="144"/>
        <v>#REF!</v>
      </c>
      <c r="E843" s="118" t="e">
        <f t="shared" ca="1" si="145"/>
        <v>#REF!</v>
      </c>
      <c r="F843" s="118" t="e">
        <f t="shared" ca="1" si="146"/>
        <v>#REF!</v>
      </c>
      <c r="G843" s="118" t="e">
        <f t="shared" ca="1" si="147"/>
        <v>#REF!</v>
      </c>
      <c r="H843" s="118" t="e">
        <f t="shared" ca="1" si="148"/>
        <v>#REF!</v>
      </c>
      <c r="I843" s="118" t="e">
        <f t="shared" ca="1" si="149"/>
        <v>#REF!</v>
      </c>
      <c r="J843" s="118" t="e">
        <f t="shared" ca="1" si="150"/>
        <v>#REF!</v>
      </c>
      <c r="K843" s="118" t="e">
        <f t="shared" ca="1" si="151"/>
        <v>#REF!</v>
      </c>
      <c r="L843" s="118" t="e">
        <f t="shared" ca="1" si="152"/>
        <v>#REF!</v>
      </c>
      <c r="M843" s="118" t="e">
        <f t="shared" ca="1" si="153"/>
        <v>#REF!</v>
      </c>
    </row>
    <row r="844" spans="1:13" x14ac:dyDescent="0.25">
      <c r="A844" s="119">
        <v>45297</v>
      </c>
      <c r="B844" s="119">
        <v>45297</v>
      </c>
      <c r="C844" s="118" t="e">
        <f t="shared" ca="1" si="143"/>
        <v>#REF!</v>
      </c>
      <c r="D844" s="118" t="e">
        <f t="shared" ca="1" si="144"/>
        <v>#REF!</v>
      </c>
      <c r="E844" s="118" t="e">
        <f t="shared" ca="1" si="145"/>
        <v>#REF!</v>
      </c>
      <c r="F844" s="118" t="e">
        <f t="shared" ca="1" si="146"/>
        <v>#REF!</v>
      </c>
      <c r="G844" s="118" t="e">
        <f t="shared" ca="1" si="147"/>
        <v>#REF!</v>
      </c>
      <c r="H844" s="118" t="e">
        <f t="shared" ca="1" si="148"/>
        <v>#REF!</v>
      </c>
      <c r="I844" s="118" t="e">
        <f t="shared" ca="1" si="149"/>
        <v>#REF!</v>
      </c>
      <c r="J844" s="118" t="e">
        <f t="shared" ca="1" si="150"/>
        <v>#REF!</v>
      </c>
      <c r="K844" s="118" t="e">
        <f t="shared" ca="1" si="151"/>
        <v>#REF!</v>
      </c>
      <c r="L844" s="118" t="e">
        <f t="shared" ca="1" si="152"/>
        <v>#REF!</v>
      </c>
      <c r="M844" s="118" t="e">
        <f t="shared" ca="1" si="153"/>
        <v>#REF!</v>
      </c>
    </row>
    <row r="845" spans="1:13" x14ac:dyDescent="0.25">
      <c r="A845" s="119">
        <v>45298</v>
      </c>
      <c r="B845" s="119">
        <v>45298</v>
      </c>
      <c r="C845" s="118" t="e">
        <f t="shared" ca="1" si="143"/>
        <v>#REF!</v>
      </c>
      <c r="D845" s="118" t="e">
        <f t="shared" ca="1" si="144"/>
        <v>#REF!</v>
      </c>
      <c r="E845" s="118" t="e">
        <f t="shared" ca="1" si="145"/>
        <v>#REF!</v>
      </c>
      <c r="F845" s="118" t="e">
        <f t="shared" ca="1" si="146"/>
        <v>#REF!</v>
      </c>
      <c r="G845" s="118" t="e">
        <f t="shared" ca="1" si="147"/>
        <v>#REF!</v>
      </c>
      <c r="H845" s="118" t="e">
        <f t="shared" ca="1" si="148"/>
        <v>#REF!</v>
      </c>
      <c r="I845" s="118" t="e">
        <f t="shared" ca="1" si="149"/>
        <v>#REF!</v>
      </c>
      <c r="J845" s="118" t="e">
        <f t="shared" ca="1" si="150"/>
        <v>#REF!</v>
      </c>
      <c r="K845" s="118" t="e">
        <f t="shared" ca="1" si="151"/>
        <v>#REF!</v>
      </c>
      <c r="L845" s="118" t="e">
        <f t="shared" ca="1" si="152"/>
        <v>#REF!</v>
      </c>
      <c r="M845" s="118" t="e">
        <f t="shared" ca="1" si="153"/>
        <v>#REF!</v>
      </c>
    </row>
    <row r="846" spans="1:13" x14ac:dyDescent="0.25">
      <c r="A846" s="119">
        <v>45299</v>
      </c>
      <c r="B846" s="119">
        <v>45299</v>
      </c>
      <c r="C846" s="118" t="e">
        <f t="shared" ca="1" si="143"/>
        <v>#REF!</v>
      </c>
      <c r="D846" s="118" t="e">
        <f t="shared" ca="1" si="144"/>
        <v>#REF!</v>
      </c>
      <c r="E846" s="118" t="e">
        <f t="shared" ca="1" si="145"/>
        <v>#REF!</v>
      </c>
      <c r="F846" s="118" t="e">
        <f t="shared" ca="1" si="146"/>
        <v>#REF!</v>
      </c>
      <c r="G846" s="118" t="e">
        <f t="shared" ca="1" si="147"/>
        <v>#REF!</v>
      </c>
      <c r="H846" s="118" t="e">
        <f t="shared" ca="1" si="148"/>
        <v>#REF!</v>
      </c>
      <c r="I846" s="118" t="e">
        <f t="shared" ca="1" si="149"/>
        <v>#REF!</v>
      </c>
      <c r="J846" s="118" t="e">
        <f t="shared" ca="1" si="150"/>
        <v>#REF!</v>
      </c>
      <c r="K846" s="118" t="e">
        <f t="shared" ca="1" si="151"/>
        <v>#REF!</v>
      </c>
      <c r="L846" s="118" t="e">
        <f t="shared" ca="1" si="152"/>
        <v>#REF!</v>
      </c>
      <c r="M846" s="118" t="e">
        <f t="shared" ca="1" si="153"/>
        <v>#REF!</v>
      </c>
    </row>
    <row r="847" spans="1:13" x14ac:dyDescent="0.25">
      <c r="A847" s="119" t="s">
        <v>249</v>
      </c>
      <c r="B847" s="119">
        <v>45300</v>
      </c>
      <c r="C847" s="118" t="e">
        <f t="shared" ca="1" si="143"/>
        <v>#REF!</v>
      </c>
      <c r="D847" s="118" t="e">
        <f t="shared" ca="1" si="144"/>
        <v>#REF!</v>
      </c>
      <c r="E847" s="118" t="e">
        <f t="shared" ca="1" si="145"/>
        <v>#REF!</v>
      </c>
      <c r="F847" s="118" t="e">
        <f t="shared" ca="1" si="146"/>
        <v>#REF!</v>
      </c>
      <c r="G847" s="118" t="e">
        <f t="shared" ca="1" si="147"/>
        <v>#REF!</v>
      </c>
      <c r="H847" s="118" t="e">
        <f t="shared" ca="1" si="148"/>
        <v>#REF!</v>
      </c>
      <c r="I847" s="118" t="e">
        <f t="shared" ca="1" si="149"/>
        <v>#REF!</v>
      </c>
      <c r="J847" s="118" t="e">
        <f t="shared" ca="1" si="150"/>
        <v>#REF!</v>
      </c>
      <c r="K847" s="118" t="e">
        <f t="shared" ca="1" si="151"/>
        <v>#REF!</v>
      </c>
      <c r="L847" s="118" t="e">
        <f t="shared" ca="1" si="152"/>
        <v>#REF!</v>
      </c>
      <c r="M847" s="118" t="e">
        <f t="shared" ca="1" si="153"/>
        <v>#REF!</v>
      </c>
    </row>
    <row r="848" spans="1:13" x14ac:dyDescent="0.25">
      <c r="A848" s="119">
        <v>45301</v>
      </c>
      <c r="B848" s="119">
        <v>45301</v>
      </c>
      <c r="C848" s="118" t="e">
        <f t="shared" ca="1" si="143"/>
        <v>#REF!</v>
      </c>
      <c r="D848" s="118" t="e">
        <f t="shared" ca="1" si="144"/>
        <v>#REF!</v>
      </c>
      <c r="E848" s="118" t="e">
        <f t="shared" ca="1" si="145"/>
        <v>#REF!</v>
      </c>
      <c r="F848" s="118" t="e">
        <f t="shared" ca="1" si="146"/>
        <v>#REF!</v>
      </c>
      <c r="G848" s="118" t="e">
        <f t="shared" ca="1" si="147"/>
        <v>#REF!</v>
      </c>
      <c r="H848" s="118" t="e">
        <f t="shared" ca="1" si="148"/>
        <v>#REF!</v>
      </c>
      <c r="I848" s="118" t="e">
        <f t="shared" ca="1" si="149"/>
        <v>#REF!</v>
      </c>
      <c r="J848" s="118" t="e">
        <f t="shared" ca="1" si="150"/>
        <v>#REF!</v>
      </c>
      <c r="K848" s="118" t="e">
        <f t="shared" ca="1" si="151"/>
        <v>#REF!</v>
      </c>
      <c r="L848" s="118" t="e">
        <f t="shared" ca="1" si="152"/>
        <v>#REF!</v>
      </c>
      <c r="M848" s="118" t="e">
        <f t="shared" ca="1" si="153"/>
        <v>#REF!</v>
      </c>
    </row>
    <row r="849" spans="1:13" x14ac:dyDescent="0.25">
      <c r="A849" s="119">
        <v>45302</v>
      </c>
      <c r="B849" s="119">
        <v>45302</v>
      </c>
      <c r="C849" s="118" t="e">
        <f t="shared" ca="1" si="143"/>
        <v>#REF!</v>
      </c>
      <c r="D849" s="118" t="e">
        <f t="shared" ca="1" si="144"/>
        <v>#REF!</v>
      </c>
      <c r="E849" s="118" t="e">
        <f t="shared" ca="1" si="145"/>
        <v>#REF!</v>
      </c>
      <c r="F849" s="118" t="e">
        <f t="shared" ca="1" si="146"/>
        <v>#REF!</v>
      </c>
      <c r="G849" s="118" t="e">
        <f t="shared" ca="1" si="147"/>
        <v>#REF!</v>
      </c>
      <c r="H849" s="118" t="e">
        <f t="shared" ca="1" si="148"/>
        <v>#REF!</v>
      </c>
      <c r="I849" s="118" t="e">
        <f t="shared" ca="1" si="149"/>
        <v>#REF!</v>
      </c>
      <c r="J849" s="118" t="e">
        <f t="shared" ca="1" si="150"/>
        <v>#REF!</v>
      </c>
      <c r="K849" s="118" t="e">
        <f t="shared" ca="1" si="151"/>
        <v>#REF!</v>
      </c>
      <c r="L849" s="118" t="e">
        <f t="shared" ca="1" si="152"/>
        <v>#REF!</v>
      </c>
      <c r="M849" s="118" t="e">
        <f t="shared" ca="1" si="153"/>
        <v>#REF!</v>
      </c>
    </row>
    <row r="850" spans="1:13" x14ac:dyDescent="0.25">
      <c r="A850" s="119">
        <v>45303</v>
      </c>
      <c r="B850" s="119">
        <v>45303</v>
      </c>
      <c r="C850" s="118" t="e">
        <f t="shared" ca="1" si="143"/>
        <v>#REF!</v>
      </c>
      <c r="D850" s="118" t="e">
        <f t="shared" ca="1" si="144"/>
        <v>#REF!</v>
      </c>
      <c r="E850" s="118" t="e">
        <f t="shared" ca="1" si="145"/>
        <v>#REF!</v>
      </c>
      <c r="F850" s="118" t="e">
        <f t="shared" ca="1" si="146"/>
        <v>#REF!</v>
      </c>
      <c r="G850" s="118" t="e">
        <f t="shared" ca="1" si="147"/>
        <v>#REF!</v>
      </c>
      <c r="H850" s="118" t="e">
        <f t="shared" ca="1" si="148"/>
        <v>#REF!</v>
      </c>
      <c r="I850" s="118" t="e">
        <f t="shared" ca="1" si="149"/>
        <v>#REF!</v>
      </c>
      <c r="J850" s="118" t="e">
        <f t="shared" ca="1" si="150"/>
        <v>#REF!</v>
      </c>
      <c r="K850" s="118" t="e">
        <f t="shared" ca="1" si="151"/>
        <v>#REF!</v>
      </c>
      <c r="L850" s="118" t="e">
        <f t="shared" ca="1" si="152"/>
        <v>#REF!</v>
      </c>
      <c r="M850" s="118" t="e">
        <f t="shared" ca="1" si="153"/>
        <v>#REF!</v>
      </c>
    </row>
    <row r="851" spans="1:13" x14ac:dyDescent="0.25">
      <c r="A851" s="119">
        <v>45304</v>
      </c>
      <c r="B851" s="119">
        <v>45304</v>
      </c>
      <c r="C851" s="118" t="e">
        <f t="shared" ca="1" si="143"/>
        <v>#REF!</v>
      </c>
      <c r="D851" s="118" t="e">
        <f t="shared" ca="1" si="144"/>
        <v>#REF!</v>
      </c>
      <c r="E851" s="118" t="e">
        <f t="shared" ca="1" si="145"/>
        <v>#REF!</v>
      </c>
      <c r="F851" s="118" t="e">
        <f t="shared" ca="1" si="146"/>
        <v>#REF!</v>
      </c>
      <c r="G851" s="118" t="e">
        <f t="shared" ca="1" si="147"/>
        <v>#REF!</v>
      </c>
      <c r="H851" s="118" t="e">
        <f t="shared" ca="1" si="148"/>
        <v>#REF!</v>
      </c>
      <c r="I851" s="118" t="e">
        <f t="shared" ca="1" si="149"/>
        <v>#REF!</v>
      </c>
      <c r="J851" s="118" t="e">
        <f t="shared" ca="1" si="150"/>
        <v>#REF!</v>
      </c>
      <c r="K851" s="118" t="e">
        <f t="shared" ca="1" si="151"/>
        <v>#REF!</v>
      </c>
      <c r="L851" s="118" t="e">
        <f t="shared" ca="1" si="152"/>
        <v>#REF!</v>
      </c>
      <c r="M851" s="118" t="e">
        <f t="shared" ca="1" si="153"/>
        <v>#REF!</v>
      </c>
    </row>
    <row r="852" spans="1:13" x14ac:dyDescent="0.25">
      <c r="A852" s="119">
        <v>45305</v>
      </c>
      <c r="B852" s="119">
        <v>45305</v>
      </c>
      <c r="C852" s="118" t="e">
        <f t="shared" ca="1" si="143"/>
        <v>#REF!</v>
      </c>
      <c r="D852" s="118" t="e">
        <f t="shared" ca="1" si="144"/>
        <v>#REF!</v>
      </c>
      <c r="E852" s="118" t="e">
        <f t="shared" ca="1" si="145"/>
        <v>#REF!</v>
      </c>
      <c r="F852" s="118" t="e">
        <f t="shared" ca="1" si="146"/>
        <v>#REF!</v>
      </c>
      <c r="G852" s="118" t="e">
        <f t="shared" ca="1" si="147"/>
        <v>#REF!</v>
      </c>
      <c r="H852" s="118" t="e">
        <f t="shared" ca="1" si="148"/>
        <v>#REF!</v>
      </c>
      <c r="I852" s="118" t="e">
        <f t="shared" ca="1" si="149"/>
        <v>#REF!</v>
      </c>
      <c r="J852" s="118" t="e">
        <f t="shared" ca="1" si="150"/>
        <v>#REF!</v>
      </c>
      <c r="K852" s="118" t="e">
        <f t="shared" ca="1" si="151"/>
        <v>#REF!</v>
      </c>
      <c r="L852" s="118" t="e">
        <f t="shared" ca="1" si="152"/>
        <v>#REF!</v>
      </c>
      <c r="M852" s="118" t="e">
        <f t="shared" ca="1" si="153"/>
        <v>#REF!</v>
      </c>
    </row>
    <row r="853" spans="1:13" x14ac:dyDescent="0.25">
      <c r="A853" s="119">
        <v>45306</v>
      </c>
      <c r="B853" s="119">
        <v>45306</v>
      </c>
      <c r="C853" s="118" t="e">
        <f t="shared" ca="1" si="143"/>
        <v>#REF!</v>
      </c>
      <c r="D853" s="118" t="e">
        <f t="shared" ca="1" si="144"/>
        <v>#REF!</v>
      </c>
      <c r="E853" s="118" t="e">
        <f t="shared" ca="1" si="145"/>
        <v>#REF!</v>
      </c>
      <c r="F853" s="118" t="e">
        <f t="shared" ca="1" si="146"/>
        <v>#REF!</v>
      </c>
      <c r="G853" s="118" t="e">
        <f t="shared" ca="1" si="147"/>
        <v>#REF!</v>
      </c>
      <c r="H853" s="118" t="e">
        <f t="shared" ca="1" si="148"/>
        <v>#REF!</v>
      </c>
      <c r="I853" s="118" t="e">
        <f t="shared" ca="1" si="149"/>
        <v>#REF!</v>
      </c>
      <c r="J853" s="118" t="e">
        <f t="shared" ca="1" si="150"/>
        <v>#REF!</v>
      </c>
      <c r="K853" s="118" t="e">
        <f t="shared" ca="1" si="151"/>
        <v>#REF!</v>
      </c>
      <c r="L853" s="118" t="e">
        <f t="shared" ca="1" si="152"/>
        <v>#REF!</v>
      </c>
      <c r="M853" s="118" t="e">
        <f t="shared" ca="1" si="153"/>
        <v>#REF!</v>
      </c>
    </row>
    <row r="854" spans="1:13" x14ac:dyDescent="0.25">
      <c r="A854" s="119">
        <v>45307</v>
      </c>
      <c r="B854" s="119">
        <v>45307</v>
      </c>
      <c r="C854" s="118" t="e">
        <f t="shared" ca="1" si="143"/>
        <v>#REF!</v>
      </c>
      <c r="D854" s="118" t="e">
        <f t="shared" ca="1" si="144"/>
        <v>#REF!</v>
      </c>
      <c r="E854" s="118" t="e">
        <f t="shared" ca="1" si="145"/>
        <v>#REF!</v>
      </c>
      <c r="F854" s="118" t="e">
        <f t="shared" ca="1" si="146"/>
        <v>#REF!</v>
      </c>
      <c r="G854" s="118" t="e">
        <f t="shared" ca="1" si="147"/>
        <v>#REF!</v>
      </c>
      <c r="H854" s="118" t="e">
        <f t="shared" ca="1" si="148"/>
        <v>#REF!</v>
      </c>
      <c r="I854" s="118" t="e">
        <f t="shared" ca="1" si="149"/>
        <v>#REF!</v>
      </c>
      <c r="J854" s="118" t="e">
        <f t="shared" ca="1" si="150"/>
        <v>#REF!</v>
      </c>
      <c r="K854" s="118" t="e">
        <f t="shared" ca="1" si="151"/>
        <v>#REF!</v>
      </c>
      <c r="L854" s="118" t="e">
        <f t="shared" ca="1" si="152"/>
        <v>#REF!</v>
      </c>
      <c r="M854" s="118" t="e">
        <f t="shared" ca="1" si="153"/>
        <v>#REF!</v>
      </c>
    </row>
    <row r="855" spans="1:13" x14ac:dyDescent="0.25">
      <c r="A855" s="119">
        <v>45308</v>
      </c>
      <c r="B855" s="119">
        <v>45308</v>
      </c>
      <c r="C855" s="118" t="e">
        <f t="shared" ca="1" si="143"/>
        <v>#REF!</v>
      </c>
      <c r="D855" s="118" t="e">
        <f t="shared" ca="1" si="144"/>
        <v>#REF!</v>
      </c>
      <c r="E855" s="118" t="e">
        <f t="shared" ca="1" si="145"/>
        <v>#REF!</v>
      </c>
      <c r="F855" s="118" t="e">
        <f t="shared" ca="1" si="146"/>
        <v>#REF!</v>
      </c>
      <c r="G855" s="118" t="e">
        <f t="shared" ca="1" si="147"/>
        <v>#REF!</v>
      </c>
      <c r="H855" s="118" t="e">
        <f t="shared" ca="1" si="148"/>
        <v>#REF!</v>
      </c>
      <c r="I855" s="118" t="e">
        <f t="shared" ca="1" si="149"/>
        <v>#REF!</v>
      </c>
      <c r="J855" s="118" t="e">
        <f t="shared" ca="1" si="150"/>
        <v>#REF!</v>
      </c>
      <c r="K855" s="118" t="e">
        <f t="shared" ca="1" si="151"/>
        <v>#REF!</v>
      </c>
      <c r="L855" s="118" t="e">
        <f t="shared" ca="1" si="152"/>
        <v>#REF!</v>
      </c>
      <c r="M855" s="118" t="e">
        <f t="shared" ca="1" si="153"/>
        <v>#REF!</v>
      </c>
    </row>
    <row r="856" spans="1:13" x14ac:dyDescent="0.25">
      <c r="A856" s="119" t="s">
        <v>250</v>
      </c>
      <c r="B856" s="119">
        <v>45309</v>
      </c>
      <c r="C856" s="118" t="e">
        <f t="shared" ca="1" si="143"/>
        <v>#REF!</v>
      </c>
      <c r="D856" s="118" t="e">
        <f t="shared" ca="1" si="144"/>
        <v>#REF!</v>
      </c>
      <c r="E856" s="118" t="e">
        <f t="shared" ca="1" si="145"/>
        <v>#REF!</v>
      </c>
      <c r="F856" s="118" t="e">
        <f t="shared" ca="1" si="146"/>
        <v>#REF!</v>
      </c>
      <c r="G856" s="118" t="e">
        <f t="shared" ca="1" si="147"/>
        <v>#REF!</v>
      </c>
      <c r="H856" s="118" t="e">
        <f t="shared" ca="1" si="148"/>
        <v>#REF!</v>
      </c>
      <c r="I856" s="118" t="e">
        <f t="shared" ca="1" si="149"/>
        <v>#REF!</v>
      </c>
      <c r="J856" s="118" t="e">
        <f t="shared" ca="1" si="150"/>
        <v>#REF!</v>
      </c>
      <c r="K856" s="118" t="e">
        <f t="shared" ca="1" si="151"/>
        <v>#REF!</v>
      </c>
      <c r="L856" s="118" t="e">
        <f t="shared" ca="1" si="152"/>
        <v>#REF!</v>
      </c>
      <c r="M856" s="118" t="e">
        <f t="shared" ca="1" si="153"/>
        <v>#REF!</v>
      </c>
    </row>
    <row r="857" spans="1:13" x14ac:dyDescent="0.25">
      <c r="A857" s="119">
        <v>45310</v>
      </c>
      <c r="B857" s="119">
        <v>45310</v>
      </c>
      <c r="C857" s="118" t="e">
        <f t="shared" ca="1" si="143"/>
        <v>#REF!</v>
      </c>
      <c r="D857" s="118" t="e">
        <f t="shared" ca="1" si="144"/>
        <v>#REF!</v>
      </c>
      <c r="E857" s="118" t="e">
        <f t="shared" ca="1" si="145"/>
        <v>#REF!</v>
      </c>
      <c r="F857" s="118" t="e">
        <f t="shared" ca="1" si="146"/>
        <v>#REF!</v>
      </c>
      <c r="G857" s="118" t="e">
        <f t="shared" ca="1" si="147"/>
        <v>#REF!</v>
      </c>
      <c r="H857" s="118" t="e">
        <f t="shared" ca="1" si="148"/>
        <v>#REF!</v>
      </c>
      <c r="I857" s="118" t="e">
        <f t="shared" ca="1" si="149"/>
        <v>#REF!</v>
      </c>
      <c r="J857" s="118" t="e">
        <f t="shared" ca="1" si="150"/>
        <v>#REF!</v>
      </c>
      <c r="K857" s="118" t="e">
        <f t="shared" ca="1" si="151"/>
        <v>#REF!</v>
      </c>
      <c r="L857" s="118" t="e">
        <f t="shared" ca="1" si="152"/>
        <v>#REF!</v>
      </c>
      <c r="M857" s="118" t="e">
        <f t="shared" ca="1" si="153"/>
        <v>#REF!</v>
      </c>
    </row>
    <row r="858" spans="1:13" x14ac:dyDescent="0.25">
      <c r="A858" s="119">
        <v>45311</v>
      </c>
      <c r="B858" s="119">
        <v>45311</v>
      </c>
      <c r="C858" s="118" t="e">
        <f t="shared" ca="1" si="143"/>
        <v>#REF!</v>
      </c>
      <c r="D858" s="118" t="e">
        <f t="shared" ca="1" si="144"/>
        <v>#REF!</v>
      </c>
      <c r="E858" s="118" t="e">
        <f t="shared" ca="1" si="145"/>
        <v>#REF!</v>
      </c>
      <c r="F858" s="118" t="e">
        <f t="shared" ca="1" si="146"/>
        <v>#REF!</v>
      </c>
      <c r="G858" s="118" t="e">
        <f t="shared" ca="1" si="147"/>
        <v>#REF!</v>
      </c>
      <c r="H858" s="118" t="e">
        <f t="shared" ca="1" si="148"/>
        <v>#REF!</v>
      </c>
      <c r="I858" s="118" t="e">
        <f t="shared" ca="1" si="149"/>
        <v>#REF!</v>
      </c>
      <c r="J858" s="118" t="e">
        <f t="shared" ca="1" si="150"/>
        <v>#REF!</v>
      </c>
      <c r="K858" s="118" t="e">
        <f t="shared" ca="1" si="151"/>
        <v>#REF!</v>
      </c>
      <c r="L858" s="118" t="e">
        <f t="shared" ca="1" si="152"/>
        <v>#REF!</v>
      </c>
      <c r="M858" s="118" t="e">
        <f t="shared" ca="1" si="153"/>
        <v>#REF!</v>
      </c>
    </row>
    <row r="859" spans="1:13" x14ac:dyDescent="0.25">
      <c r="A859" s="119">
        <v>45312</v>
      </c>
      <c r="B859" s="119">
        <v>45312</v>
      </c>
      <c r="C859" s="118" t="e">
        <f t="shared" ca="1" si="143"/>
        <v>#REF!</v>
      </c>
      <c r="D859" s="118" t="e">
        <f t="shared" ca="1" si="144"/>
        <v>#REF!</v>
      </c>
      <c r="E859" s="118" t="e">
        <f t="shared" ca="1" si="145"/>
        <v>#REF!</v>
      </c>
      <c r="F859" s="118" t="e">
        <f t="shared" ca="1" si="146"/>
        <v>#REF!</v>
      </c>
      <c r="G859" s="118" t="e">
        <f t="shared" ca="1" si="147"/>
        <v>#REF!</v>
      </c>
      <c r="H859" s="118" t="e">
        <f t="shared" ca="1" si="148"/>
        <v>#REF!</v>
      </c>
      <c r="I859" s="118" t="e">
        <f t="shared" ca="1" si="149"/>
        <v>#REF!</v>
      </c>
      <c r="J859" s="118" t="e">
        <f t="shared" ca="1" si="150"/>
        <v>#REF!</v>
      </c>
      <c r="K859" s="118" t="e">
        <f t="shared" ca="1" si="151"/>
        <v>#REF!</v>
      </c>
      <c r="L859" s="118" t="e">
        <f t="shared" ca="1" si="152"/>
        <v>#REF!</v>
      </c>
      <c r="M859" s="118" t="e">
        <f t="shared" ca="1" si="153"/>
        <v>#REF!</v>
      </c>
    </row>
    <row r="860" spans="1:13" x14ac:dyDescent="0.25">
      <c r="A860" s="119" t="s">
        <v>251</v>
      </c>
      <c r="B860" s="119">
        <v>45313</v>
      </c>
      <c r="C860" s="118" t="e">
        <f t="shared" ca="1" si="143"/>
        <v>#REF!</v>
      </c>
      <c r="D860" s="118" t="e">
        <f t="shared" ca="1" si="144"/>
        <v>#REF!</v>
      </c>
      <c r="E860" s="118" t="e">
        <f t="shared" ca="1" si="145"/>
        <v>#REF!</v>
      </c>
      <c r="F860" s="118" t="e">
        <f t="shared" ca="1" si="146"/>
        <v>#REF!</v>
      </c>
      <c r="G860" s="118" t="e">
        <f t="shared" ca="1" si="147"/>
        <v>#REF!</v>
      </c>
      <c r="H860" s="118" t="e">
        <f t="shared" ca="1" si="148"/>
        <v>#REF!</v>
      </c>
      <c r="I860" s="118" t="e">
        <f t="shared" ca="1" si="149"/>
        <v>#REF!</v>
      </c>
      <c r="J860" s="118" t="e">
        <f t="shared" ca="1" si="150"/>
        <v>#REF!</v>
      </c>
      <c r="K860" s="118" t="e">
        <f t="shared" ca="1" si="151"/>
        <v>#REF!</v>
      </c>
      <c r="L860" s="118" t="e">
        <f t="shared" ca="1" si="152"/>
        <v>#REF!</v>
      </c>
      <c r="M860" s="118" t="e">
        <f t="shared" ca="1" si="153"/>
        <v>#REF!</v>
      </c>
    </row>
    <row r="861" spans="1:13" x14ac:dyDescent="0.25">
      <c r="A861" s="119">
        <v>45314</v>
      </c>
      <c r="B861" s="119">
        <v>45314</v>
      </c>
      <c r="C861" s="118" t="e">
        <f t="shared" ca="1" si="143"/>
        <v>#REF!</v>
      </c>
      <c r="D861" s="118" t="e">
        <f t="shared" ca="1" si="144"/>
        <v>#REF!</v>
      </c>
      <c r="E861" s="118" t="e">
        <f t="shared" ca="1" si="145"/>
        <v>#REF!</v>
      </c>
      <c r="F861" s="118" t="e">
        <f t="shared" ca="1" si="146"/>
        <v>#REF!</v>
      </c>
      <c r="G861" s="118" t="e">
        <f t="shared" ca="1" si="147"/>
        <v>#REF!</v>
      </c>
      <c r="H861" s="118" t="e">
        <f t="shared" ca="1" si="148"/>
        <v>#REF!</v>
      </c>
      <c r="I861" s="118" t="e">
        <f t="shared" ca="1" si="149"/>
        <v>#REF!</v>
      </c>
      <c r="J861" s="118" t="e">
        <f t="shared" ca="1" si="150"/>
        <v>#REF!</v>
      </c>
      <c r="K861" s="118" t="e">
        <f t="shared" ca="1" si="151"/>
        <v>#REF!</v>
      </c>
      <c r="L861" s="118" t="e">
        <f t="shared" ca="1" si="152"/>
        <v>#REF!</v>
      </c>
      <c r="M861" s="118" t="e">
        <f t="shared" ca="1" si="153"/>
        <v>#REF!</v>
      </c>
    </row>
    <row r="862" spans="1:13" x14ac:dyDescent="0.25">
      <c r="A862" s="119">
        <v>45315</v>
      </c>
      <c r="B862" s="119">
        <v>45315</v>
      </c>
      <c r="C862" s="118" t="e">
        <f t="shared" ca="1" si="143"/>
        <v>#REF!</v>
      </c>
      <c r="D862" s="118" t="e">
        <f t="shared" ca="1" si="144"/>
        <v>#REF!</v>
      </c>
      <c r="E862" s="118" t="e">
        <f t="shared" ca="1" si="145"/>
        <v>#REF!</v>
      </c>
      <c r="F862" s="118" t="e">
        <f t="shared" ca="1" si="146"/>
        <v>#REF!</v>
      </c>
      <c r="G862" s="118" t="e">
        <f t="shared" ca="1" si="147"/>
        <v>#REF!</v>
      </c>
      <c r="H862" s="118" t="e">
        <f t="shared" ca="1" si="148"/>
        <v>#REF!</v>
      </c>
      <c r="I862" s="118" t="e">
        <f t="shared" ca="1" si="149"/>
        <v>#REF!</v>
      </c>
      <c r="J862" s="118" t="e">
        <f t="shared" ca="1" si="150"/>
        <v>#REF!</v>
      </c>
      <c r="K862" s="118" t="e">
        <f t="shared" ca="1" si="151"/>
        <v>#REF!</v>
      </c>
      <c r="L862" s="118" t="e">
        <f t="shared" ca="1" si="152"/>
        <v>#REF!</v>
      </c>
      <c r="M862" s="118" t="e">
        <f t="shared" ca="1" si="153"/>
        <v>#REF!</v>
      </c>
    </row>
    <row r="863" spans="1:13" x14ac:dyDescent="0.25">
      <c r="A863" s="119">
        <v>45316</v>
      </c>
      <c r="B863" s="119">
        <v>45316</v>
      </c>
      <c r="C863" s="118" t="e">
        <f t="shared" ca="1" si="143"/>
        <v>#REF!</v>
      </c>
      <c r="D863" s="118" t="e">
        <f t="shared" ca="1" si="144"/>
        <v>#REF!</v>
      </c>
      <c r="E863" s="118" t="e">
        <f t="shared" ca="1" si="145"/>
        <v>#REF!</v>
      </c>
      <c r="F863" s="118" t="e">
        <f t="shared" ca="1" si="146"/>
        <v>#REF!</v>
      </c>
      <c r="G863" s="118" t="e">
        <f t="shared" ca="1" si="147"/>
        <v>#REF!</v>
      </c>
      <c r="H863" s="118" t="e">
        <f t="shared" ca="1" si="148"/>
        <v>#REF!</v>
      </c>
      <c r="I863" s="118" t="e">
        <f t="shared" ca="1" si="149"/>
        <v>#REF!</v>
      </c>
      <c r="J863" s="118" t="e">
        <f t="shared" ca="1" si="150"/>
        <v>#REF!</v>
      </c>
      <c r="K863" s="118" t="e">
        <f t="shared" ca="1" si="151"/>
        <v>#REF!</v>
      </c>
      <c r="L863" s="118" t="e">
        <f t="shared" ca="1" si="152"/>
        <v>#REF!</v>
      </c>
      <c r="M863" s="118" t="e">
        <f t="shared" ca="1" si="153"/>
        <v>#REF!</v>
      </c>
    </row>
    <row r="864" spans="1:13" x14ac:dyDescent="0.25">
      <c r="A864" s="119">
        <v>45317</v>
      </c>
      <c r="B864" s="119">
        <v>45317</v>
      </c>
      <c r="C864" s="118" t="e">
        <f t="shared" ca="1" si="143"/>
        <v>#REF!</v>
      </c>
      <c r="D864" s="118" t="e">
        <f t="shared" ca="1" si="144"/>
        <v>#REF!</v>
      </c>
      <c r="E864" s="118" t="e">
        <f t="shared" ca="1" si="145"/>
        <v>#REF!</v>
      </c>
      <c r="F864" s="118" t="e">
        <f t="shared" ca="1" si="146"/>
        <v>#REF!</v>
      </c>
      <c r="G864" s="118" t="e">
        <f t="shared" ca="1" si="147"/>
        <v>#REF!</v>
      </c>
      <c r="H864" s="118" t="e">
        <f t="shared" ca="1" si="148"/>
        <v>#REF!</v>
      </c>
      <c r="I864" s="118" t="e">
        <f t="shared" ca="1" si="149"/>
        <v>#REF!</v>
      </c>
      <c r="J864" s="118" t="e">
        <f t="shared" ca="1" si="150"/>
        <v>#REF!</v>
      </c>
      <c r="K864" s="118" t="e">
        <f t="shared" ca="1" si="151"/>
        <v>#REF!</v>
      </c>
      <c r="L864" s="118" t="e">
        <f t="shared" ca="1" si="152"/>
        <v>#REF!</v>
      </c>
      <c r="M864" s="118" t="e">
        <f t="shared" ca="1" si="153"/>
        <v>#REF!</v>
      </c>
    </row>
    <row r="865" spans="1:13" x14ac:dyDescent="0.25">
      <c r="A865" s="119">
        <v>45318</v>
      </c>
      <c r="B865" s="119">
        <v>45318</v>
      </c>
      <c r="C865" s="118" t="e">
        <f t="shared" ca="1" si="143"/>
        <v>#REF!</v>
      </c>
      <c r="D865" s="118" t="e">
        <f t="shared" ca="1" si="144"/>
        <v>#REF!</v>
      </c>
      <c r="E865" s="118" t="e">
        <f t="shared" ca="1" si="145"/>
        <v>#REF!</v>
      </c>
      <c r="F865" s="118" t="e">
        <f t="shared" ca="1" si="146"/>
        <v>#REF!</v>
      </c>
      <c r="G865" s="118" t="e">
        <f t="shared" ca="1" si="147"/>
        <v>#REF!</v>
      </c>
      <c r="H865" s="118" t="e">
        <f t="shared" ca="1" si="148"/>
        <v>#REF!</v>
      </c>
      <c r="I865" s="118" t="e">
        <f t="shared" ca="1" si="149"/>
        <v>#REF!</v>
      </c>
      <c r="J865" s="118" t="e">
        <f t="shared" ca="1" si="150"/>
        <v>#REF!</v>
      </c>
      <c r="K865" s="118" t="e">
        <f t="shared" ca="1" si="151"/>
        <v>#REF!</v>
      </c>
      <c r="L865" s="118" t="e">
        <f t="shared" ca="1" si="152"/>
        <v>#REF!</v>
      </c>
      <c r="M865" s="118" t="e">
        <f t="shared" ca="1" si="153"/>
        <v>#REF!</v>
      </c>
    </row>
    <row r="866" spans="1:13" x14ac:dyDescent="0.25">
      <c r="A866" s="119">
        <v>45319</v>
      </c>
      <c r="B866" s="119">
        <v>45319</v>
      </c>
      <c r="C866" s="118" t="e">
        <f t="shared" ca="1" si="143"/>
        <v>#REF!</v>
      </c>
      <c r="D866" s="118" t="e">
        <f t="shared" ca="1" si="144"/>
        <v>#REF!</v>
      </c>
      <c r="E866" s="118" t="e">
        <f t="shared" ca="1" si="145"/>
        <v>#REF!</v>
      </c>
      <c r="F866" s="118" t="e">
        <f t="shared" ca="1" si="146"/>
        <v>#REF!</v>
      </c>
      <c r="G866" s="118" t="e">
        <f t="shared" ca="1" si="147"/>
        <v>#REF!</v>
      </c>
      <c r="H866" s="118" t="e">
        <f t="shared" ca="1" si="148"/>
        <v>#REF!</v>
      </c>
      <c r="I866" s="118" t="e">
        <f t="shared" ca="1" si="149"/>
        <v>#REF!</v>
      </c>
      <c r="J866" s="118" t="e">
        <f t="shared" ca="1" si="150"/>
        <v>#REF!</v>
      </c>
      <c r="K866" s="118" t="e">
        <f t="shared" ca="1" si="151"/>
        <v>#REF!</v>
      </c>
      <c r="L866" s="118" t="e">
        <f t="shared" ca="1" si="152"/>
        <v>#REF!</v>
      </c>
      <c r="M866" s="118" t="e">
        <f t="shared" ca="1" si="153"/>
        <v>#REF!</v>
      </c>
    </row>
    <row r="867" spans="1:13" x14ac:dyDescent="0.25">
      <c r="A867" s="119" t="s">
        <v>252</v>
      </c>
      <c r="B867" s="119">
        <v>45320</v>
      </c>
      <c r="C867" s="118" t="e">
        <f t="shared" ca="1" si="143"/>
        <v>#REF!</v>
      </c>
      <c r="D867" s="118" t="e">
        <f t="shared" ca="1" si="144"/>
        <v>#REF!</v>
      </c>
      <c r="E867" s="118" t="e">
        <f t="shared" ca="1" si="145"/>
        <v>#REF!</v>
      </c>
      <c r="F867" s="118" t="e">
        <f t="shared" ca="1" si="146"/>
        <v>#REF!</v>
      </c>
      <c r="G867" s="118" t="e">
        <f t="shared" ca="1" si="147"/>
        <v>#REF!</v>
      </c>
      <c r="H867" s="118" t="e">
        <f t="shared" ca="1" si="148"/>
        <v>#REF!</v>
      </c>
      <c r="I867" s="118" t="e">
        <f t="shared" ca="1" si="149"/>
        <v>#REF!</v>
      </c>
      <c r="J867" s="118" t="e">
        <f t="shared" ca="1" si="150"/>
        <v>#REF!</v>
      </c>
      <c r="K867" s="118" t="e">
        <f t="shared" ca="1" si="151"/>
        <v>#REF!</v>
      </c>
      <c r="L867" s="118" t="e">
        <f t="shared" ca="1" si="152"/>
        <v>#REF!</v>
      </c>
      <c r="M867" s="118" t="e">
        <f t="shared" ca="1" si="153"/>
        <v>#REF!</v>
      </c>
    </row>
    <row r="868" spans="1:13" x14ac:dyDescent="0.25">
      <c r="A868" s="119">
        <v>45321</v>
      </c>
      <c r="B868" s="119">
        <v>45321</v>
      </c>
      <c r="C868" s="118" t="e">
        <f t="shared" ca="1" si="143"/>
        <v>#REF!</v>
      </c>
      <c r="D868" s="118" t="e">
        <f t="shared" ca="1" si="144"/>
        <v>#REF!</v>
      </c>
      <c r="E868" s="118" t="e">
        <f t="shared" ca="1" si="145"/>
        <v>#REF!</v>
      </c>
      <c r="F868" s="118" t="e">
        <f t="shared" ca="1" si="146"/>
        <v>#REF!</v>
      </c>
      <c r="G868" s="118" t="e">
        <f t="shared" ca="1" si="147"/>
        <v>#REF!</v>
      </c>
      <c r="H868" s="118" t="e">
        <f t="shared" ca="1" si="148"/>
        <v>#REF!</v>
      </c>
      <c r="I868" s="118" t="e">
        <f t="shared" ca="1" si="149"/>
        <v>#REF!</v>
      </c>
      <c r="J868" s="118" t="e">
        <f t="shared" ca="1" si="150"/>
        <v>#REF!</v>
      </c>
      <c r="K868" s="118" t="e">
        <f t="shared" ca="1" si="151"/>
        <v>#REF!</v>
      </c>
      <c r="L868" s="118" t="e">
        <f t="shared" ca="1" si="152"/>
        <v>#REF!</v>
      </c>
      <c r="M868" s="118" t="e">
        <f t="shared" ca="1" si="153"/>
        <v>#REF!</v>
      </c>
    </row>
    <row r="869" spans="1:13" x14ac:dyDescent="0.25">
      <c r="A869" s="119">
        <v>45322</v>
      </c>
      <c r="B869" s="119">
        <v>45322</v>
      </c>
      <c r="C869" s="118" t="e">
        <f t="shared" ca="1" si="143"/>
        <v>#REF!</v>
      </c>
      <c r="D869" s="118" t="e">
        <f t="shared" ca="1" si="144"/>
        <v>#REF!</v>
      </c>
      <c r="E869" s="118" t="e">
        <f t="shared" ca="1" si="145"/>
        <v>#REF!</v>
      </c>
      <c r="F869" s="118" t="e">
        <f t="shared" ca="1" si="146"/>
        <v>#REF!</v>
      </c>
      <c r="G869" s="118" t="e">
        <f t="shared" ca="1" si="147"/>
        <v>#REF!</v>
      </c>
      <c r="H869" s="118" t="e">
        <f t="shared" ca="1" si="148"/>
        <v>#REF!</v>
      </c>
      <c r="I869" s="118" t="e">
        <f t="shared" ca="1" si="149"/>
        <v>#REF!</v>
      </c>
      <c r="J869" s="118" t="e">
        <f t="shared" ca="1" si="150"/>
        <v>#REF!</v>
      </c>
      <c r="K869" s="118" t="e">
        <f t="shared" ca="1" si="151"/>
        <v>#REF!</v>
      </c>
      <c r="L869" s="118" t="e">
        <f t="shared" ca="1" si="152"/>
        <v>#REF!</v>
      </c>
      <c r="M869" s="118" t="e">
        <f t="shared" ca="1" si="153"/>
        <v>#REF!</v>
      </c>
    </row>
    <row r="870" spans="1:13" x14ac:dyDescent="0.25">
      <c r="A870" s="119">
        <v>45323</v>
      </c>
      <c r="B870" s="119">
        <v>45323</v>
      </c>
      <c r="C870" s="118" t="e">
        <f t="shared" ca="1" si="143"/>
        <v>#REF!</v>
      </c>
      <c r="D870" s="118" t="e">
        <f t="shared" ca="1" si="144"/>
        <v>#REF!</v>
      </c>
      <c r="E870" s="118" t="e">
        <f t="shared" ca="1" si="145"/>
        <v>#REF!</v>
      </c>
      <c r="F870" s="118" t="e">
        <f t="shared" ca="1" si="146"/>
        <v>#REF!</v>
      </c>
      <c r="G870" s="118" t="e">
        <f t="shared" ca="1" si="147"/>
        <v>#REF!</v>
      </c>
      <c r="H870" s="118" t="e">
        <f t="shared" ca="1" si="148"/>
        <v>#REF!</v>
      </c>
      <c r="I870" s="118" t="e">
        <f t="shared" ca="1" si="149"/>
        <v>#REF!</v>
      </c>
      <c r="J870" s="118" t="e">
        <f t="shared" ca="1" si="150"/>
        <v>#REF!</v>
      </c>
      <c r="K870" s="118" t="e">
        <f t="shared" ca="1" si="151"/>
        <v>#REF!</v>
      </c>
      <c r="L870" s="118" t="e">
        <f t="shared" ca="1" si="152"/>
        <v>#REF!</v>
      </c>
      <c r="M870" s="118" t="e">
        <f t="shared" ca="1" si="153"/>
        <v>#REF!</v>
      </c>
    </row>
    <row r="871" spans="1:13" x14ac:dyDescent="0.25">
      <c r="A871" s="119">
        <v>45324</v>
      </c>
      <c r="B871" s="119">
        <v>45324</v>
      </c>
      <c r="C871" s="118" t="e">
        <f t="shared" ca="1" si="143"/>
        <v>#REF!</v>
      </c>
      <c r="D871" s="118" t="e">
        <f t="shared" ca="1" si="144"/>
        <v>#REF!</v>
      </c>
      <c r="E871" s="118" t="e">
        <f t="shared" ca="1" si="145"/>
        <v>#REF!</v>
      </c>
      <c r="F871" s="118" t="e">
        <f t="shared" ca="1" si="146"/>
        <v>#REF!</v>
      </c>
      <c r="G871" s="118" t="e">
        <f t="shared" ca="1" si="147"/>
        <v>#REF!</v>
      </c>
      <c r="H871" s="118" t="e">
        <f t="shared" ca="1" si="148"/>
        <v>#REF!</v>
      </c>
      <c r="I871" s="118" t="e">
        <f t="shared" ca="1" si="149"/>
        <v>#REF!</v>
      </c>
      <c r="J871" s="118" t="e">
        <f t="shared" ca="1" si="150"/>
        <v>#REF!</v>
      </c>
      <c r="K871" s="118" t="e">
        <f t="shared" ca="1" si="151"/>
        <v>#REF!</v>
      </c>
      <c r="L871" s="118" t="e">
        <f t="shared" ca="1" si="152"/>
        <v>#REF!</v>
      </c>
      <c r="M871" s="118" t="e">
        <f t="shared" ca="1" si="153"/>
        <v>#REF!</v>
      </c>
    </row>
    <row r="872" spans="1:13" x14ac:dyDescent="0.25">
      <c r="A872" s="119">
        <v>45325</v>
      </c>
      <c r="B872" s="119">
        <v>45325</v>
      </c>
      <c r="C872" s="118" t="e">
        <f t="shared" ca="1" si="143"/>
        <v>#REF!</v>
      </c>
      <c r="D872" s="118" t="e">
        <f t="shared" ca="1" si="144"/>
        <v>#REF!</v>
      </c>
      <c r="E872" s="118" t="e">
        <f t="shared" ca="1" si="145"/>
        <v>#REF!</v>
      </c>
      <c r="F872" s="118" t="e">
        <f t="shared" ca="1" si="146"/>
        <v>#REF!</v>
      </c>
      <c r="G872" s="118" t="e">
        <f t="shared" ca="1" si="147"/>
        <v>#REF!</v>
      </c>
      <c r="H872" s="118" t="e">
        <f t="shared" ca="1" si="148"/>
        <v>#REF!</v>
      </c>
      <c r="I872" s="118" t="e">
        <f t="shared" ca="1" si="149"/>
        <v>#REF!</v>
      </c>
      <c r="J872" s="118" t="e">
        <f t="shared" ca="1" si="150"/>
        <v>#REF!</v>
      </c>
      <c r="K872" s="118" t="e">
        <f t="shared" ca="1" si="151"/>
        <v>#REF!</v>
      </c>
      <c r="L872" s="118" t="e">
        <f t="shared" ca="1" si="152"/>
        <v>#REF!</v>
      </c>
      <c r="M872" s="118" t="e">
        <f t="shared" ca="1" si="153"/>
        <v>#REF!</v>
      </c>
    </row>
    <row r="873" spans="1:13" x14ac:dyDescent="0.25">
      <c r="A873" s="119">
        <v>45326</v>
      </c>
      <c r="B873" s="119">
        <v>45326</v>
      </c>
      <c r="C873" s="118" t="e">
        <f t="shared" ca="1" si="143"/>
        <v>#REF!</v>
      </c>
      <c r="D873" s="118" t="e">
        <f t="shared" ca="1" si="144"/>
        <v>#REF!</v>
      </c>
      <c r="E873" s="118" t="e">
        <f t="shared" ca="1" si="145"/>
        <v>#REF!</v>
      </c>
      <c r="F873" s="118" t="e">
        <f t="shared" ca="1" si="146"/>
        <v>#REF!</v>
      </c>
      <c r="G873" s="118" t="e">
        <f t="shared" ca="1" si="147"/>
        <v>#REF!</v>
      </c>
      <c r="H873" s="118" t="e">
        <f t="shared" ca="1" si="148"/>
        <v>#REF!</v>
      </c>
      <c r="I873" s="118" t="e">
        <f t="shared" ca="1" si="149"/>
        <v>#REF!</v>
      </c>
      <c r="J873" s="118" t="e">
        <f t="shared" ca="1" si="150"/>
        <v>#REF!</v>
      </c>
      <c r="K873" s="118" t="e">
        <f t="shared" ca="1" si="151"/>
        <v>#REF!</v>
      </c>
      <c r="L873" s="118" t="e">
        <f t="shared" ca="1" si="152"/>
        <v>#REF!</v>
      </c>
      <c r="M873" s="118" t="e">
        <f t="shared" ca="1" si="153"/>
        <v>#REF!</v>
      </c>
    </row>
    <row r="874" spans="1:13" x14ac:dyDescent="0.25">
      <c r="A874" s="119" t="s">
        <v>253</v>
      </c>
      <c r="B874" s="119">
        <v>45327</v>
      </c>
      <c r="C874" s="118" t="e">
        <f t="shared" ca="1" si="143"/>
        <v>#REF!</v>
      </c>
      <c r="D874" s="118" t="e">
        <f t="shared" ca="1" si="144"/>
        <v>#REF!</v>
      </c>
      <c r="E874" s="118" t="e">
        <f t="shared" ca="1" si="145"/>
        <v>#REF!</v>
      </c>
      <c r="F874" s="118" t="e">
        <f t="shared" ca="1" si="146"/>
        <v>#REF!</v>
      </c>
      <c r="G874" s="118" t="e">
        <f t="shared" ca="1" si="147"/>
        <v>#REF!</v>
      </c>
      <c r="H874" s="118" t="e">
        <f t="shared" ca="1" si="148"/>
        <v>#REF!</v>
      </c>
      <c r="I874" s="118" t="e">
        <f t="shared" ca="1" si="149"/>
        <v>#REF!</v>
      </c>
      <c r="J874" s="118" t="e">
        <f t="shared" ca="1" si="150"/>
        <v>#REF!</v>
      </c>
      <c r="K874" s="118" t="e">
        <f t="shared" ca="1" si="151"/>
        <v>#REF!</v>
      </c>
      <c r="L874" s="118" t="e">
        <f t="shared" ca="1" si="152"/>
        <v>#REF!</v>
      </c>
      <c r="M874" s="118" t="e">
        <f t="shared" ca="1" si="153"/>
        <v>#REF!</v>
      </c>
    </row>
    <row r="875" spans="1:13" x14ac:dyDescent="0.25">
      <c r="A875" s="119">
        <v>45328</v>
      </c>
      <c r="B875" s="119">
        <v>45328</v>
      </c>
      <c r="C875" s="118" t="e">
        <f t="shared" ca="1" si="143"/>
        <v>#REF!</v>
      </c>
      <c r="D875" s="118" t="e">
        <f t="shared" ca="1" si="144"/>
        <v>#REF!</v>
      </c>
      <c r="E875" s="118" t="e">
        <f t="shared" ca="1" si="145"/>
        <v>#REF!</v>
      </c>
      <c r="F875" s="118" t="e">
        <f t="shared" ca="1" si="146"/>
        <v>#REF!</v>
      </c>
      <c r="G875" s="118" t="e">
        <f t="shared" ca="1" si="147"/>
        <v>#REF!</v>
      </c>
      <c r="H875" s="118" t="e">
        <f t="shared" ca="1" si="148"/>
        <v>#REF!</v>
      </c>
      <c r="I875" s="118" t="e">
        <f t="shared" ca="1" si="149"/>
        <v>#REF!</v>
      </c>
      <c r="J875" s="118" t="e">
        <f t="shared" ca="1" si="150"/>
        <v>#REF!</v>
      </c>
      <c r="K875" s="118" t="e">
        <f t="shared" ca="1" si="151"/>
        <v>#REF!</v>
      </c>
      <c r="L875" s="118" t="e">
        <f t="shared" ca="1" si="152"/>
        <v>#REF!</v>
      </c>
      <c r="M875" s="118" t="e">
        <f t="shared" ca="1" si="153"/>
        <v>#REF!</v>
      </c>
    </row>
    <row r="876" spans="1:13" x14ac:dyDescent="0.25">
      <c r="A876" s="119">
        <v>45329</v>
      </c>
      <c r="B876" s="119">
        <v>45329</v>
      </c>
      <c r="C876" s="118" t="e">
        <f t="shared" ca="1" si="143"/>
        <v>#REF!</v>
      </c>
      <c r="D876" s="118" t="e">
        <f t="shared" ca="1" si="144"/>
        <v>#REF!</v>
      </c>
      <c r="E876" s="118" t="e">
        <f t="shared" ca="1" si="145"/>
        <v>#REF!</v>
      </c>
      <c r="F876" s="118" t="e">
        <f t="shared" ca="1" si="146"/>
        <v>#REF!</v>
      </c>
      <c r="G876" s="118" t="e">
        <f t="shared" ca="1" si="147"/>
        <v>#REF!</v>
      </c>
      <c r="H876" s="118" t="e">
        <f t="shared" ca="1" si="148"/>
        <v>#REF!</v>
      </c>
      <c r="I876" s="118" t="e">
        <f t="shared" ca="1" si="149"/>
        <v>#REF!</v>
      </c>
      <c r="J876" s="118" t="e">
        <f t="shared" ca="1" si="150"/>
        <v>#REF!</v>
      </c>
      <c r="K876" s="118" t="e">
        <f t="shared" ca="1" si="151"/>
        <v>#REF!</v>
      </c>
      <c r="L876" s="118" t="e">
        <f t="shared" ca="1" si="152"/>
        <v>#REF!</v>
      </c>
      <c r="M876" s="118" t="e">
        <f t="shared" ca="1" si="153"/>
        <v>#REF!</v>
      </c>
    </row>
    <row r="877" spans="1:13" x14ac:dyDescent="0.25">
      <c r="A877" s="119">
        <v>45330</v>
      </c>
      <c r="B877" s="119">
        <v>45330</v>
      </c>
      <c r="C877" s="118" t="e">
        <f t="shared" ca="1" si="143"/>
        <v>#REF!</v>
      </c>
      <c r="D877" s="118" t="e">
        <f t="shared" ca="1" si="144"/>
        <v>#REF!</v>
      </c>
      <c r="E877" s="118" t="e">
        <f t="shared" ca="1" si="145"/>
        <v>#REF!</v>
      </c>
      <c r="F877" s="118" t="e">
        <f t="shared" ca="1" si="146"/>
        <v>#REF!</v>
      </c>
      <c r="G877" s="118" t="e">
        <f t="shared" ca="1" si="147"/>
        <v>#REF!</v>
      </c>
      <c r="H877" s="118" t="e">
        <f t="shared" ca="1" si="148"/>
        <v>#REF!</v>
      </c>
      <c r="I877" s="118" t="e">
        <f t="shared" ca="1" si="149"/>
        <v>#REF!</v>
      </c>
      <c r="J877" s="118" t="e">
        <f t="shared" ca="1" si="150"/>
        <v>#REF!</v>
      </c>
      <c r="K877" s="118" t="e">
        <f t="shared" ca="1" si="151"/>
        <v>#REF!</v>
      </c>
      <c r="L877" s="118" t="e">
        <f t="shared" ca="1" si="152"/>
        <v>#REF!</v>
      </c>
      <c r="M877" s="118" t="e">
        <f t="shared" ca="1" si="153"/>
        <v>#REF!</v>
      </c>
    </row>
    <row r="878" spans="1:13" x14ac:dyDescent="0.25">
      <c r="A878" s="119">
        <v>45331</v>
      </c>
      <c r="B878" s="119">
        <v>45331</v>
      </c>
      <c r="C878" s="118" t="e">
        <f t="shared" ca="1" si="143"/>
        <v>#REF!</v>
      </c>
      <c r="D878" s="118" t="e">
        <f t="shared" ca="1" si="144"/>
        <v>#REF!</v>
      </c>
      <c r="E878" s="118" t="e">
        <f t="shared" ca="1" si="145"/>
        <v>#REF!</v>
      </c>
      <c r="F878" s="118" t="e">
        <f t="shared" ca="1" si="146"/>
        <v>#REF!</v>
      </c>
      <c r="G878" s="118" t="e">
        <f t="shared" ca="1" si="147"/>
        <v>#REF!</v>
      </c>
      <c r="H878" s="118" t="e">
        <f t="shared" ca="1" si="148"/>
        <v>#REF!</v>
      </c>
      <c r="I878" s="118" t="e">
        <f t="shared" ca="1" si="149"/>
        <v>#REF!</v>
      </c>
      <c r="J878" s="118" t="e">
        <f t="shared" ca="1" si="150"/>
        <v>#REF!</v>
      </c>
      <c r="K878" s="118" t="e">
        <f t="shared" ca="1" si="151"/>
        <v>#REF!</v>
      </c>
      <c r="L878" s="118" t="e">
        <f t="shared" ca="1" si="152"/>
        <v>#REF!</v>
      </c>
      <c r="M878" s="118" t="e">
        <f t="shared" ca="1" si="153"/>
        <v>#REF!</v>
      </c>
    </row>
    <row r="879" spans="1:13" x14ac:dyDescent="0.25">
      <c r="A879" s="119">
        <v>45332</v>
      </c>
      <c r="B879" s="119">
        <v>45332</v>
      </c>
      <c r="C879" s="118" t="e">
        <f t="shared" ca="1" si="143"/>
        <v>#REF!</v>
      </c>
      <c r="D879" s="118" t="e">
        <f t="shared" ca="1" si="144"/>
        <v>#REF!</v>
      </c>
      <c r="E879" s="118" t="e">
        <f t="shared" ca="1" si="145"/>
        <v>#REF!</v>
      </c>
      <c r="F879" s="118" t="e">
        <f t="shared" ca="1" si="146"/>
        <v>#REF!</v>
      </c>
      <c r="G879" s="118" t="e">
        <f t="shared" ca="1" si="147"/>
        <v>#REF!</v>
      </c>
      <c r="H879" s="118" t="e">
        <f t="shared" ca="1" si="148"/>
        <v>#REF!</v>
      </c>
      <c r="I879" s="118" t="e">
        <f t="shared" ca="1" si="149"/>
        <v>#REF!</v>
      </c>
      <c r="J879" s="118" t="e">
        <f t="shared" ca="1" si="150"/>
        <v>#REF!</v>
      </c>
      <c r="K879" s="118" t="e">
        <f t="shared" ca="1" si="151"/>
        <v>#REF!</v>
      </c>
      <c r="L879" s="118" t="e">
        <f t="shared" ca="1" si="152"/>
        <v>#REF!</v>
      </c>
      <c r="M879" s="118" t="e">
        <f t="shared" ca="1" si="153"/>
        <v>#REF!</v>
      </c>
    </row>
    <row r="880" spans="1:13" x14ac:dyDescent="0.25">
      <c r="A880" s="119">
        <v>45333</v>
      </c>
      <c r="B880" s="119">
        <v>45333</v>
      </c>
      <c r="C880" s="118" t="e">
        <f t="shared" ca="1" si="143"/>
        <v>#REF!</v>
      </c>
      <c r="D880" s="118" t="e">
        <f t="shared" ca="1" si="144"/>
        <v>#REF!</v>
      </c>
      <c r="E880" s="118" t="e">
        <f t="shared" ca="1" si="145"/>
        <v>#REF!</v>
      </c>
      <c r="F880" s="118" t="e">
        <f t="shared" ca="1" si="146"/>
        <v>#REF!</v>
      </c>
      <c r="G880" s="118" t="e">
        <f t="shared" ca="1" si="147"/>
        <v>#REF!</v>
      </c>
      <c r="H880" s="118" t="e">
        <f t="shared" ca="1" si="148"/>
        <v>#REF!</v>
      </c>
      <c r="I880" s="118" t="e">
        <f t="shared" ca="1" si="149"/>
        <v>#REF!</v>
      </c>
      <c r="J880" s="118" t="e">
        <f t="shared" ca="1" si="150"/>
        <v>#REF!</v>
      </c>
      <c r="K880" s="118" t="e">
        <f t="shared" ca="1" si="151"/>
        <v>#REF!</v>
      </c>
      <c r="L880" s="118" t="e">
        <f t="shared" ca="1" si="152"/>
        <v>#REF!</v>
      </c>
      <c r="M880" s="118" t="e">
        <f t="shared" ca="1" si="153"/>
        <v>#REF!</v>
      </c>
    </row>
    <row r="881" spans="1:13" x14ac:dyDescent="0.25">
      <c r="A881" s="119">
        <v>45334</v>
      </c>
      <c r="B881" s="119">
        <v>45334</v>
      </c>
      <c r="C881" s="118" t="e">
        <f t="shared" ca="1" si="143"/>
        <v>#REF!</v>
      </c>
      <c r="D881" s="118" t="e">
        <f t="shared" ca="1" si="144"/>
        <v>#REF!</v>
      </c>
      <c r="E881" s="118" t="e">
        <f t="shared" ca="1" si="145"/>
        <v>#REF!</v>
      </c>
      <c r="F881" s="118" t="e">
        <f t="shared" ca="1" si="146"/>
        <v>#REF!</v>
      </c>
      <c r="G881" s="118" t="e">
        <f t="shared" ca="1" si="147"/>
        <v>#REF!</v>
      </c>
      <c r="H881" s="118" t="e">
        <f t="shared" ca="1" si="148"/>
        <v>#REF!</v>
      </c>
      <c r="I881" s="118" t="e">
        <f t="shared" ca="1" si="149"/>
        <v>#REF!</v>
      </c>
      <c r="J881" s="118" t="e">
        <f t="shared" ca="1" si="150"/>
        <v>#REF!</v>
      </c>
      <c r="K881" s="118" t="e">
        <f t="shared" ca="1" si="151"/>
        <v>#REF!</v>
      </c>
      <c r="L881" s="118" t="e">
        <f t="shared" ca="1" si="152"/>
        <v>#REF!</v>
      </c>
      <c r="M881" s="118" t="e">
        <f t="shared" ca="1" si="153"/>
        <v>#REF!</v>
      </c>
    </row>
    <row r="882" spans="1:13" x14ac:dyDescent="0.25">
      <c r="A882" s="119">
        <v>45335</v>
      </c>
      <c r="B882" s="119">
        <v>45335</v>
      </c>
      <c r="C882" s="118" t="e">
        <f t="shared" ca="1" si="143"/>
        <v>#REF!</v>
      </c>
      <c r="D882" s="118" t="e">
        <f t="shared" ca="1" si="144"/>
        <v>#REF!</v>
      </c>
      <c r="E882" s="118" t="e">
        <f t="shared" ca="1" si="145"/>
        <v>#REF!</v>
      </c>
      <c r="F882" s="118" t="e">
        <f t="shared" ca="1" si="146"/>
        <v>#REF!</v>
      </c>
      <c r="G882" s="118" t="e">
        <f t="shared" ca="1" si="147"/>
        <v>#REF!</v>
      </c>
      <c r="H882" s="118" t="e">
        <f t="shared" ca="1" si="148"/>
        <v>#REF!</v>
      </c>
      <c r="I882" s="118" t="e">
        <f t="shared" ca="1" si="149"/>
        <v>#REF!</v>
      </c>
      <c r="J882" s="118" t="e">
        <f t="shared" ca="1" si="150"/>
        <v>#REF!</v>
      </c>
      <c r="K882" s="118" t="e">
        <f t="shared" ca="1" si="151"/>
        <v>#REF!</v>
      </c>
      <c r="L882" s="118" t="e">
        <f t="shared" ca="1" si="152"/>
        <v>#REF!</v>
      </c>
      <c r="M882" s="118" t="e">
        <f t="shared" ca="1" si="153"/>
        <v>#REF!</v>
      </c>
    </row>
    <row r="883" spans="1:13" x14ac:dyDescent="0.25">
      <c r="A883" s="119">
        <v>45336</v>
      </c>
      <c r="B883" s="119">
        <v>45336</v>
      </c>
      <c r="C883" s="118" t="e">
        <f t="shared" ca="1" si="143"/>
        <v>#REF!</v>
      </c>
      <c r="D883" s="118" t="e">
        <f t="shared" ca="1" si="144"/>
        <v>#REF!</v>
      </c>
      <c r="E883" s="118" t="e">
        <f t="shared" ca="1" si="145"/>
        <v>#REF!</v>
      </c>
      <c r="F883" s="118" t="e">
        <f t="shared" ca="1" si="146"/>
        <v>#REF!</v>
      </c>
      <c r="G883" s="118" t="e">
        <f t="shared" ca="1" si="147"/>
        <v>#REF!</v>
      </c>
      <c r="H883" s="118" t="e">
        <f t="shared" ca="1" si="148"/>
        <v>#REF!</v>
      </c>
      <c r="I883" s="118" t="e">
        <f t="shared" ca="1" si="149"/>
        <v>#REF!</v>
      </c>
      <c r="J883" s="118" t="e">
        <f t="shared" ca="1" si="150"/>
        <v>#REF!</v>
      </c>
      <c r="K883" s="118" t="e">
        <f t="shared" ca="1" si="151"/>
        <v>#REF!</v>
      </c>
      <c r="L883" s="118" t="e">
        <f t="shared" ca="1" si="152"/>
        <v>#REF!</v>
      </c>
      <c r="M883" s="118" t="e">
        <f t="shared" ca="1" si="153"/>
        <v>#REF!</v>
      </c>
    </row>
    <row r="884" spans="1:13" x14ac:dyDescent="0.25">
      <c r="A884" s="119" t="s">
        <v>254</v>
      </c>
      <c r="B884" s="119">
        <v>45337</v>
      </c>
      <c r="C884" s="118" t="e">
        <f t="shared" ca="1" si="143"/>
        <v>#REF!</v>
      </c>
      <c r="D884" s="118" t="e">
        <f t="shared" ca="1" si="144"/>
        <v>#REF!</v>
      </c>
      <c r="E884" s="118" t="e">
        <f t="shared" ca="1" si="145"/>
        <v>#REF!</v>
      </c>
      <c r="F884" s="118" t="e">
        <f t="shared" ca="1" si="146"/>
        <v>#REF!</v>
      </c>
      <c r="G884" s="118" t="e">
        <f t="shared" ca="1" si="147"/>
        <v>#REF!</v>
      </c>
      <c r="H884" s="118" t="e">
        <f t="shared" ca="1" si="148"/>
        <v>#REF!</v>
      </c>
      <c r="I884" s="118" t="e">
        <f t="shared" ca="1" si="149"/>
        <v>#REF!</v>
      </c>
      <c r="J884" s="118" t="e">
        <f t="shared" ca="1" si="150"/>
        <v>#REF!</v>
      </c>
      <c r="K884" s="118" t="e">
        <f t="shared" ca="1" si="151"/>
        <v>#REF!</v>
      </c>
      <c r="L884" s="118" t="e">
        <f t="shared" ca="1" si="152"/>
        <v>#REF!</v>
      </c>
      <c r="M884" s="118" t="e">
        <f t="shared" ca="1" si="153"/>
        <v>#REF!</v>
      </c>
    </row>
    <row r="885" spans="1:13" x14ac:dyDescent="0.25">
      <c r="A885" s="119" t="s">
        <v>255</v>
      </c>
      <c r="B885" s="119">
        <v>45338</v>
      </c>
      <c r="C885" s="118" t="e">
        <f t="shared" ca="1" si="143"/>
        <v>#REF!</v>
      </c>
      <c r="D885" s="118" t="e">
        <f t="shared" ca="1" si="144"/>
        <v>#REF!</v>
      </c>
      <c r="E885" s="118" t="e">
        <f t="shared" ca="1" si="145"/>
        <v>#REF!</v>
      </c>
      <c r="F885" s="118" t="e">
        <f t="shared" ca="1" si="146"/>
        <v>#REF!</v>
      </c>
      <c r="G885" s="118" t="e">
        <f t="shared" ca="1" si="147"/>
        <v>#REF!</v>
      </c>
      <c r="H885" s="118" t="e">
        <f t="shared" ca="1" si="148"/>
        <v>#REF!</v>
      </c>
      <c r="I885" s="118" t="e">
        <f t="shared" ca="1" si="149"/>
        <v>#REF!</v>
      </c>
      <c r="J885" s="118" t="e">
        <f t="shared" ca="1" si="150"/>
        <v>#REF!</v>
      </c>
      <c r="K885" s="118" t="e">
        <f t="shared" ca="1" si="151"/>
        <v>#REF!</v>
      </c>
      <c r="L885" s="118" t="e">
        <f t="shared" ca="1" si="152"/>
        <v>#REF!</v>
      </c>
      <c r="M885" s="118" t="e">
        <f t="shared" ca="1" si="153"/>
        <v>#REF!</v>
      </c>
    </row>
    <row r="886" spans="1:13" x14ac:dyDescent="0.25">
      <c r="A886" s="119">
        <v>45339</v>
      </c>
      <c r="B886" s="119">
        <v>45339</v>
      </c>
      <c r="C886" s="118" t="e">
        <f t="shared" ca="1" si="143"/>
        <v>#REF!</v>
      </c>
      <c r="D886" s="118" t="e">
        <f t="shared" ca="1" si="144"/>
        <v>#REF!</v>
      </c>
      <c r="E886" s="118" t="e">
        <f t="shared" ca="1" si="145"/>
        <v>#REF!</v>
      </c>
      <c r="F886" s="118" t="e">
        <f t="shared" ca="1" si="146"/>
        <v>#REF!</v>
      </c>
      <c r="G886" s="118" t="e">
        <f t="shared" ca="1" si="147"/>
        <v>#REF!</v>
      </c>
      <c r="H886" s="118" t="e">
        <f t="shared" ca="1" si="148"/>
        <v>#REF!</v>
      </c>
      <c r="I886" s="118" t="e">
        <f t="shared" ca="1" si="149"/>
        <v>#REF!</v>
      </c>
      <c r="J886" s="118" t="e">
        <f t="shared" ca="1" si="150"/>
        <v>#REF!</v>
      </c>
      <c r="K886" s="118" t="e">
        <f t="shared" ca="1" si="151"/>
        <v>#REF!</v>
      </c>
      <c r="L886" s="118" t="e">
        <f t="shared" ca="1" si="152"/>
        <v>#REF!</v>
      </c>
      <c r="M886" s="118" t="e">
        <f t="shared" ca="1" si="153"/>
        <v>#REF!</v>
      </c>
    </row>
    <row r="887" spans="1:13" x14ac:dyDescent="0.25">
      <c r="A887" s="119">
        <v>45340</v>
      </c>
      <c r="B887" s="119">
        <v>45340</v>
      </c>
      <c r="C887" s="118" t="e">
        <f t="shared" ca="1" si="143"/>
        <v>#REF!</v>
      </c>
      <c r="D887" s="118" t="e">
        <f t="shared" ca="1" si="144"/>
        <v>#REF!</v>
      </c>
      <c r="E887" s="118" t="e">
        <f t="shared" ca="1" si="145"/>
        <v>#REF!</v>
      </c>
      <c r="F887" s="118" t="e">
        <f t="shared" ca="1" si="146"/>
        <v>#REF!</v>
      </c>
      <c r="G887" s="118" t="e">
        <f t="shared" ca="1" si="147"/>
        <v>#REF!</v>
      </c>
      <c r="H887" s="118" t="e">
        <f t="shared" ca="1" si="148"/>
        <v>#REF!</v>
      </c>
      <c r="I887" s="118" t="e">
        <f t="shared" ca="1" si="149"/>
        <v>#REF!</v>
      </c>
      <c r="J887" s="118" t="e">
        <f t="shared" ca="1" si="150"/>
        <v>#REF!</v>
      </c>
      <c r="K887" s="118" t="e">
        <f t="shared" ca="1" si="151"/>
        <v>#REF!</v>
      </c>
      <c r="L887" s="118" t="e">
        <f t="shared" ca="1" si="152"/>
        <v>#REF!</v>
      </c>
      <c r="M887" s="118" t="e">
        <f t="shared" ca="1" si="153"/>
        <v>#REF!</v>
      </c>
    </row>
    <row r="888" spans="1:13" x14ac:dyDescent="0.25">
      <c r="A888" s="119">
        <v>45341</v>
      </c>
      <c r="B888" s="119">
        <v>45341</v>
      </c>
      <c r="C888" s="118" t="e">
        <f t="shared" ca="1" si="143"/>
        <v>#REF!</v>
      </c>
      <c r="D888" s="118" t="e">
        <f t="shared" ca="1" si="144"/>
        <v>#REF!</v>
      </c>
      <c r="E888" s="118" t="e">
        <f t="shared" ca="1" si="145"/>
        <v>#REF!</v>
      </c>
      <c r="F888" s="118" t="e">
        <f t="shared" ca="1" si="146"/>
        <v>#REF!</v>
      </c>
      <c r="G888" s="118" t="e">
        <f t="shared" ca="1" si="147"/>
        <v>#REF!</v>
      </c>
      <c r="H888" s="118" t="e">
        <f t="shared" ca="1" si="148"/>
        <v>#REF!</v>
      </c>
      <c r="I888" s="118" t="e">
        <f t="shared" ca="1" si="149"/>
        <v>#REF!</v>
      </c>
      <c r="J888" s="118" t="e">
        <f t="shared" ca="1" si="150"/>
        <v>#REF!</v>
      </c>
      <c r="K888" s="118" t="e">
        <f t="shared" ca="1" si="151"/>
        <v>#REF!</v>
      </c>
      <c r="L888" s="118" t="e">
        <f t="shared" ca="1" si="152"/>
        <v>#REF!</v>
      </c>
      <c r="M888" s="118" t="e">
        <f t="shared" ca="1" si="153"/>
        <v>#REF!</v>
      </c>
    </row>
    <row r="889" spans="1:13" x14ac:dyDescent="0.25">
      <c r="A889" s="119">
        <v>45342</v>
      </c>
      <c r="B889" s="119">
        <v>45342</v>
      </c>
      <c r="C889" s="118" t="e">
        <f t="shared" ca="1" si="143"/>
        <v>#REF!</v>
      </c>
      <c r="D889" s="118" t="e">
        <f t="shared" ca="1" si="144"/>
        <v>#REF!</v>
      </c>
      <c r="E889" s="118" t="e">
        <f t="shared" ca="1" si="145"/>
        <v>#REF!</v>
      </c>
      <c r="F889" s="118" t="e">
        <f t="shared" ca="1" si="146"/>
        <v>#REF!</v>
      </c>
      <c r="G889" s="118" t="e">
        <f t="shared" ca="1" si="147"/>
        <v>#REF!</v>
      </c>
      <c r="H889" s="118" t="e">
        <f t="shared" ca="1" si="148"/>
        <v>#REF!</v>
      </c>
      <c r="I889" s="118" t="e">
        <f t="shared" ca="1" si="149"/>
        <v>#REF!</v>
      </c>
      <c r="J889" s="118" t="e">
        <f t="shared" ca="1" si="150"/>
        <v>#REF!</v>
      </c>
      <c r="K889" s="118" t="e">
        <f t="shared" ca="1" si="151"/>
        <v>#REF!</v>
      </c>
      <c r="L889" s="118" t="e">
        <f t="shared" ca="1" si="152"/>
        <v>#REF!</v>
      </c>
      <c r="M889" s="118" t="e">
        <f t="shared" ca="1" si="153"/>
        <v>#REF!</v>
      </c>
    </row>
    <row r="890" spans="1:13" x14ac:dyDescent="0.25">
      <c r="A890" s="119">
        <v>45343</v>
      </c>
      <c r="B890" s="119">
        <v>45343</v>
      </c>
      <c r="C890" s="118" t="e">
        <f t="shared" ca="1" si="143"/>
        <v>#REF!</v>
      </c>
      <c r="D890" s="118" t="e">
        <f t="shared" ca="1" si="144"/>
        <v>#REF!</v>
      </c>
      <c r="E890" s="118" t="e">
        <f t="shared" ca="1" si="145"/>
        <v>#REF!</v>
      </c>
      <c r="F890" s="118" t="e">
        <f t="shared" ca="1" si="146"/>
        <v>#REF!</v>
      </c>
      <c r="G890" s="118" t="e">
        <f t="shared" ca="1" si="147"/>
        <v>#REF!</v>
      </c>
      <c r="H890" s="118" t="e">
        <f t="shared" ca="1" si="148"/>
        <v>#REF!</v>
      </c>
      <c r="I890" s="118" t="e">
        <f t="shared" ca="1" si="149"/>
        <v>#REF!</v>
      </c>
      <c r="J890" s="118" t="e">
        <f t="shared" ca="1" si="150"/>
        <v>#REF!</v>
      </c>
      <c r="K890" s="118" t="e">
        <f t="shared" ca="1" si="151"/>
        <v>#REF!</v>
      </c>
      <c r="L890" s="118" t="e">
        <f t="shared" ca="1" si="152"/>
        <v>#REF!</v>
      </c>
      <c r="M890" s="118" t="e">
        <f t="shared" ca="1" si="153"/>
        <v>#REF!</v>
      </c>
    </row>
    <row r="891" spans="1:13" x14ac:dyDescent="0.25">
      <c r="A891" s="119">
        <v>45344</v>
      </c>
      <c r="B891" s="119">
        <v>45344</v>
      </c>
      <c r="C891" s="118" t="e">
        <f t="shared" ca="1" si="143"/>
        <v>#REF!</v>
      </c>
      <c r="D891" s="118" t="e">
        <f t="shared" ca="1" si="144"/>
        <v>#REF!</v>
      </c>
      <c r="E891" s="118" t="e">
        <f t="shared" ca="1" si="145"/>
        <v>#REF!</v>
      </c>
      <c r="F891" s="118" t="e">
        <f t="shared" ca="1" si="146"/>
        <v>#REF!</v>
      </c>
      <c r="G891" s="118" t="e">
        <f t="shared" ca="1" si="147"/>
        <v>#REF!</v>
      </c>
      <c r="H891" s="118" t="e">
        <f t="shared" ca="1" si="148"/>
        <v>#REF!</v>
      </c>
      <c r="I891" s="118" t="e">
        <f t="shared" ca="1" si="149"/>
        <v>#REF!</v>
      </c>
      <c r="J891" s="118" t="e">
        <f t="shared" ca="1" si="150"/>
        <v>#REF!</v>
      </c>
      <c r="K891" s="118" t="e">
        <f t="shared" ca="1" si="151"/>
        <v>#REF!</v>
      </c>
      <c r="L891" s="118" t="e">
        <f t="shared" ca="1" si="152"/>
        <v>#REF!</v>
      </c>
      <c r="M891" s="118" t="e">
        <f t="shared" ca="1" si="153"/>
        <v>#REF!</v>
      </c>
    </row>
    <row r="892" spans="1:13" x14ac:dyDescent="0.25">
      <c r="A892" s="119" t="s">
        <v>256</v>
      </c>
      <c r="B892" s="119">
        <v>45345</v>
      </c>
      <c r="C892" s="118" t="e">
        <f t="shared" ca="1" si="143"/>
        <v>#REF!</v>
      </c>
      <c r="D892" s="118" t="e">
        <f t="shared" ca="1" si="144"/>
        <v>#REF!</v>
      </c>
      <c r="E892" s="118" t="e">
        <f t="shared" ca="1" si="145"/>
        <v>#REF!</v>
      </c>
      <c r="F892" s="118" t="e">
        <f t="shared" ca="1" si="146"/>
        <v>#REF!</v>
      </c>
      <c r="G892" s="118" t="e">
        <f t="shared" ca="1" si="147"/>
        <v>#REF!</v>
      </c>
      <c r="H892" s="118" t="e">
        <f t="shared" ca="1" si="148"/>
        <v>#REF!</v>
      </c>
      <c r="I892" s="118" t="e">
        <f t="shared" ca="1" si="149"/>
        <v>#REF!</v>
      </c>
      <c r="J892" s="118" t="e">
        <f t="shared" ca="1" si="150"/>
        <v>#REF!</v>
      </c>
      <c r="K892" s="118" t="e">
        <f t="shared" ca="1" si="151"/>
        <v>#REF!</v>
      </c>
      <c r="L892" s="118" t="e">
        <f t="shared" ca="1" si="152"/>
        <v>#REF!</v>
      </c>
      <c r="M892" s="118" t="e">
        <f t="shared" ca="1" si="153"/>
        <v>#REF!</v>
      </c>
    </row>
    <row r="893" spans="1:13" x14ac:dyDescent="0.25">
      <c r="A893" s="119">
        <v>45346</v>
      </c>
      <c r="B893" s="119">
        <v>45346</v>
      </c>
      <c r="C893" s="118" t="e">
        <f t="shared" ca="1" si="143"/>
        <v>#REF!</v>
      </c>
      <c r="D893" s="118" t="e">
        <f t="shared" ca="1" si="144"/>
        <v>#REF!</v>
      </c>
      <c r="E893" s="118" t="e">
        <f t="shared" ca="1" si="145"/>
        <v>#REF!</v>
      </c>
      <c r="F893" s="118" t="e">
        <f t="shared" ca="1" si="146"/>
        <v>#REF!</v>
      </c>
      <c r="G893" s="118" t="e">
        <f t="shared" ca="1" si="147"/>
        <v>#REF!</v>
      </c>
      <c r="H893" s="118" t="e">
        <f t="shared" ca="1" si="148"/>
        <v>#REF!</v>
      </c>
      <c r="I893" s="118" t="e">
        <f t="shared" ca="1" si="149"/>
        <v>#REF!</v>
      </c>
      <c r="J893" s="118" t="e">
        <f t="shared" ca="1" si="150"/>
        <v>#REF!</v>
      </c>
      <c r="K893" s="118" t="e">
        <f t="shared" ca="1" si="151"/>
        <v>#REF!</v>
      </c>
      <c r="L893" s="118" t="e">
        <f t="shared" ca="1" si="152"/>
        <v>#REF!</v>
      </c>
      <c r="M893" s="118" t="e">
        <f t="shared" ca="1" si="153"/>
        <v>#REF!</v>
      </c>
    </row>
    <row r="894" spans="1:13" x14ac:dyDescent="0.25">
      <c r="A894" s="119">
        <v>45347</v>
      </c>
      <c r="B894" s="119">
        <v>45347</v>
      </c>
      <c r="C894" s="118" t="e">
        <f t="shared" ca="1" si="143"/>
        <v>#REF!</v>
      </c>
      <c r="D894" s="118" t="e">
        <f t="shared" ca="1" si="144"/>
        <v>#REF!</v>
      </c>
      <c r="E894" s="118" t="e">
        <f t="shared" ca="1" si="145"/>
        <v>#REF!</v>
      </c>
      <c r="F894" s="118" t="e">
        <f t="shared" ca="1" si="146"/>
        <v>#REF!</v>
      </c>
      <c r="G894" s="118" t="e">
        <f t="shared" ca="1" si="147"/>
        <v>#REF!</v>
      </c>
      <c r="H894" s="118" t="e">
        <f t="shared" ca="1" si="148"/>
        <v>#REF!</v>
      </c>
      <c r="I894" s="118" t="e">
        <f t="shared" ca="1" si="149"/>
        <v>#REF!</v>
      </c>
      <c r="J894" s="118" t="e">
        <f t="shared" ca="1" si="150"/>
        <v>#REF!</v>
      </c>
      <c r="K894" s="118" t="e">
        <f t="shared" ca="1" si="151"/>
        <v>#REF!</v>
      </c>
      <c r="L894" s="118" t="e">
        <f t="shared" ca="1" si="152"/>
        <v>#REF!</v>
      </c>
      <c r="M894" s="118" t="e">
        <f t="shared" ca="1" si="153"/>
        <v>#REF!</v>
      </c>
    </row>
    <row r="895" spans="1:13" x14ac:dyDescent="0.25">
      <c r="A895" s="119">
        <v>45348</v>
      </c>
      <c r="B895" s="119">
        <v>45348</v>
      </c>
      <c r="C895" s="118" t="e">
        <f t="shared" ca="1" si="143"/>
        <v>#REF!</v>
      </c>
      <c r="D895" s="118" t="e">
        <f t="shared" ca="1" si="144"/>
        <v>#REF!</v>
      </c>
      <c r="E895" s="118" t="e">
        <f t="shared" ca="1" si="145"/>
        <v>#REF!</v>
      </c>
      <c r="F895" s="118" t="e">
        <f t="shared" ca="1" si="146"/>
        <v>#REF!</v>
      </c>
      <c r="G895" s="118" t="e">
        <f t="shared" ca="1" si="147"/>
        <v>#REF!</v>
      </c>
      <c r="H895" s="118" t="e">
        <f t="shared" ca="1" si="148"/>
        <v>#REF!</v>
      </c>
      <c r="I895" s="118" t="e">
        <f t="shared" ca="1" si="149"/>
        <v>#REF!</v>
      </c>
      <c r="J895" s="118" t="e">
        <f t="shared" ca="1" si="150"/>
        <v>#REF!</v>
      </c>
      <c r="K895" s="118" t="e">
        <f t="shared" ca="1" si="151"/>
        <v>#REF!</v>
      </c>
      <c r="L895" s="118" t="e">
        <f t="shared" ca="1" si="152"/>
        <v>#REF!</v>
      </c>
      <c r="M895" s="118" t="e">
        <f t="shared" ca="1" si="153"/>
        <v>#REF!</v>
      </c>
    </row>
    <row r="896" spans="1:13" x14ac:dyDescent="0.25">
      <c r="A896" s="119">
        <v>45349</v>
      </c>
      <c r="B896" s="119">
        <v>45349</v>
      </c>
      <c r="C896" s="118" t="e">
        <f t="shared" ca="1" si="143"/>
        <v>#REF!</v>
      </c>
      <c r="D896" s="118" t="e">
        <f t="shared" ca="1" si="144"/>
        <v>#REF!</v>
      </c>
      <c r="E896" s="118" t="e">
        <f t="shared" ca="1" si="145"/>
        <v>#REF!</v>
      </c>
      <c r="F896" s="118" t="e">
        <f t="shared" ca="1" si="146"/>
        <v>#REF!</v>
      </c>
      <c r="G896" s="118" t="e">
        <f t="shared" ca="1" si="147"/>
        <v>#REF!</v>
      </c>
      <c r="H896" s="118" t="e">
        <f t="shared" ca="1" si="148"/>
        <v>#REF!</v>
      </c>
      <c r="I896" s="118" t="e">
        <f t="shared" ca="1" si="149"/>
        <v>#REF!</v>
      </c>
      <c r="J896" s="118" t="e">
        <f t="shared" ca="1" si="150"/>
        <v>#REF!</v>
      </c>
      <c r="K896" s="118" t="e">
        <f t="shared" ca="1" si="151"/>
        <v>#REF!</v>
      </c>
      <c r="L896" s="118" t="e">
        <f t="shared" ca="1" si="152"/>
        <v>#REF!</v>
      </c>
      <c r="M896" s="118" t="e">
        <f t="shared" ca="1" si="153"/>
        <v>#REF!</v>
      </c>
    </row>
    <row r="897" spans="1:13" x14ac:dyDescent="0.25">
      <c r="A897" s="119">
        <v>45350</v>
      </c>
      <c r="B897" s="119">
        <v>45350</v>
      </c>
      <c r="C897" s="118" t="e">
        <f t="shared" ca="1" si="143"/>
        <v>#REF!</v>
      </c>
      <c r="D897" s="118" t="e">
        <f t="shared" ca="1" si="144"/>
        <v>#REF!</v>
      </c>
      <c r="E897" s="118" t="e">
        <f t="shared" ca="1" si="145"/>
        <v>#REF!</v>
      </c>
      <c r="F897" s="118" t="e">
        <f t="shared" ca="1" si="146"/>
        <v>#REF!</v>
      </c>
      <c r="G897" s="118" t="e">
        <f t="shared" ca="1" si="147"/>
        <v>#REF!</v>
      </c>
      <c r="H897" s="118" t="e">
        <f t="shared" ca="1" si="148"/>
        <v>#REF!</v>
      </c>
      <c r="I897" s="118" t="e">
        <f t="shared" ca="1" si="149"/>
        <v>#REF!</v>
      </c>
      <c r="J897" s="118" t="e">
        <f t="shared" ca="1" si="150"/>
        <v>#REF!</v>
      </c>
      <c r="K897" s="118" t="e">
        <f t="shared" ca="1" si="151"/>
        <v>#REF!</v>
      </c>
      <c r="L897" s="118" t="e">
        <f t="shared" ca="1" si="152"/>
        <v>#REF!</v>
      </c>
      <c r="M897" s="118" t="e">
        <f t="shared" ca="1" si="153"/>
        <v>#REF!</v>
      </c>
    </row>
    <row r="898" spans="1:13" x14ac:dyDescent="0.25">
      <c r="A898" s="119">
        <v>45351</v>
      </c>
      <c r="B898" s="119">
        <v>45351</v>
      </c>
      <c r="C898" s="118" t="e">
        <f t="shared" ca="1" si="143"/>
        <v>#REF!</v>
      </c>
      <c r="D898" s="118" t="e">
        <f t="shared" ca="1" si="144"/>
        <v>#REF!</v>
      </c>
      <c r="E898" s="118" t="e">
        <f t="shared" ca="1" si="145"/>
        <v>#REF!</v>
      </c>
      <c r="F898" s="118" t="e">
        <f t="shared" ca="1" si="146"/>
        <v>#REF!</v>
      </c>
      <c r="G898" s="118" t="e">
        <f t="shared" ca="1" si="147"/>
        <v>#REF!</v>
      </c>
      <c r="H898" s="118" t="e">
        <f t="shared" ca="1" si="148"/>
        <v>#REF!</v>
      </c>
      <c r="I898" s="118" t="e">
        <f t="shared" ca="1" si="149"/>
        <v>#REF!</v>
      </c>
      <c r="J898" s="118" t="e">
        <f t="shared" ca="1" si="150"/>
        <v>#REF!</v>
      </c>
      <c r="K898" s="118" t="e">
        <f t="shared" ca="1" si="151"/>
        <v>#REF!</v>
      </c>
      <c r="L898" s="118" t="e">
        <f t="shared" ca="1" si="152"/>
        <v>#REF!</v>
      </c>
      <c r="M898" s="118" t="e">
        <f t="shared" ca="1" si="153"/>
        <v>#REF!</v>
      </c>
    </row>
    <row r="899" spans="1:13" x14ac:dyDescent="0.25">
      <c r="A899" s="119" t="s">
        <v>257</v>
      </c>
      <c r="B899" s="119">
        <v>45352</v>
      </c>
      <c r="C899" s="118" t="e">
        <f t="shared" ref="C899:C962" ca="1" si="154">INDIRECT(CONCATENATE("",$A899,"!H10"))</f>
        <v>#REF!</v>
      </c>
      <c r="D899" s="118" t="e">
        <f t="shared" ref="D899:D962" ca="1" si="155">INDIRECT(CONCATENATE("",$A899,"!H11"))</f>
        <v>#REF!</v>
      </c>
      <c r="E899" s="118" t="e">
        <f t="shared" ref="E899:E962" ca="1" si="156">INDIRECT(CONCATENATE("",$A899,"!H12"))</f>
        <v>#REF!</v>
      </c>
      <c r="F899" s="118" t="e">
        <f t="shared" ref="F899:F962" ca="1" si="157">INDIRECT(CONCATENATE("",$A899,"!H13"))</f>
        <v>#REF!</v>
      </c>
      <c r="G899" s="118" t="e">
        <f t="shared" ref="G899:G962" ca="1" si="158">INDIRECT(CONCATENATE("",$A899,"!H14"))</f>
        <v>#REF!</v>
      </c>
      <c r="H899" s="118" t="e">
        <f t="shared" ref="H899:H962" ca="1" si="159">INDIRECT(CONCATENATE("",$A899,"!i12"))</f>
        <v>#REF!</v>
      </c>
      <c r="I899" s="118" t="e">
        <f t="shared" ref="I899:I962" ca="1" si="160">INDIRECT(CONCATENATE("",$A899,"!i13"))</f>
        <v>#REF!</v>
      </c>
      <c r="J899" s="118" t="e">
        <f t="shared" ref="J899:J962" ca="1" si="161">INDIRECT(CONCATENATE("",$A899,"!i14"))</f>
        <v>#REF!</v>
      </c>
      <c r="K899" s="118" t="e">
        <f t="shared" ref="K899:K962" ca="1" si="162">INDIRECT(CONCATENATE("",$A899,"!J12"))</f>
        <v>#REF!</v>
      </c>
      <c r="L899" s="118" t="e">
        <f t="shared" ref="L899:L962" ca="1" si="163">INDIRECT(CONCATENATE("",$A899,"!J13"))</f>
        <v>#REF!</v>
      </c>
      <c r="M899" s="118" t="e">
        <f t="shared" ref="M899:M962" ca="1" si="164">INDIRECT(CONCATENATE("",$A899,"!J14"))</f>
        <v>#REF!</v>
      </c>
    </row>
    <row r="900" spans="1:13" x14ac:dyDescent="0.25">
      <c r="A900" s="119">
        <v>45353</v>
      </c>
      <c r="B900" s="119">
        <v>45353</v>
      </c>
      <c r="C900" s="118" t="e">
        <f t="shared" ca="1" si="154"/>
        <v>#REF!</v>
      </c>
      <c r="D900" s="118" t="e">
        <f t="shared" ca="1" si="155"/>
        <v>#REF!</v>
      </c>
      <c r="E900" s="118" t="e">
        <f t="shared" ca="1" si="156"/>
        <v>#REF!</v>
      </c>
      <c r="F900" s="118" t="e">
        <f t="shared" ca="1" si="157"/>
        <v>#REF!</v>
      </c>
      <c r="G900" s="118" t="e">
        <f t="shared" ca="1" si="158"/>
        <v>#REF!</v>
      </c>
      <c r="H900" s="118" t="e">
        <f t="shared" ca="1" si="159"/>
        <v>#REF!</v>
      </c>
      <c r="I900" s="118" t="e">
        <f t="shared" ca="1" si="160"/>
        <v>#REF!</v>
      </c>
      <c r="J900" s="118" t="e">
        <f t="shared" ca="1" si="161"/>
        <v>#REF!</v>
      </c>
      <c r="K900" s="118" t="e">
        <f t="shared" ca="1" si="162"/>
        <v>#REF!</v>
      </c>
      <c r="L900" s="118" t="e">
        <f t="shared" ca="1" si="163"/>
        <v>#REF!</v>
      </c>
      <c r="M900" s="118" t="e">
        <f t="shared" ca="1" si="164"/>
        <v>#REF!</v>
      </c>
    </row>
    <row r="901" spans="1:13" x14ac:dyDescent="0.25">
      <c r="A901" s="119">
        <v>45354</v>
      </c>
      <c r="B901" s="119">
        <v>45354</v>
      </c>
      <c r="C901" s="118" t="e">
        <f t="shared" ca="1" si="154"/>
        <v>#REF!</v>
      </c>
      <c r="D901" s="118" t="e">
        <f t="shared" ca="1" si="155"/>
        <v>#REF!</v>
      </c>
      <c r="E901" s="118" t="e">
        <f t="shared" ca="1" si="156"/>
        <v>#REF!</v>
      </c>
      <c r="F901" s="118" t="e">
        <f t="shared" ca="1" si="157"/>
        <v>#REF!</v>
      </c>
      <c r="G901" s="118" t="e">
        <f t="shared" ca="1" si="158"/>
        <v>#REF!</v>
      </c>
      <c r="H901" s="118" t="e">
        <f t="shared" ca="1" si="159"/>
        <v>#REF!</v>
      </c>
      <c r="I901" s="118" t="e">
        <f t="shared" ca="1" si="160"/>
        <v>#REF!</v>
      </c>
      <c r="J901" s="118" t="e">
        <f t="shared" ca="1" si="161"/>
        <v>#REF!</v>
      </c>
      <c r="K901" s="118" t="e">
        <f t="shared" ca="1" si="162"/>
        <v>#REF!</v>
      </c>
      <c r="L901" s="118" t="e">
        <f t="shared" ca="1" si="163"/>
        <v>#REF!</v>
      </c>
      <c r="M901" s="118" t="e">
        <f t="shared" ca="1" si="164"/>
        <v>#REF!</v>
      </c>
    </row>
    <row r="902" spans="1:13" x14ac:dyDescent="0.25">
      <c r="A902" s="119">
        <v>45355</v>
      </c>
      <c r="B902" s="119">
        <v>45355</v>
      </c>
      <c r="C902" s="118" t="e">
        <f t="shared" ca="1" si="154"/>
        <v>#REF!</v>
      </c>
      <c r="D902" s="118" t="e">
        <f t="shared" ca="1" si="155"/>
        <v>#REF!</v>
      </c>
      <c r="E902" s="118" t="e">
        <f t="shared" ca="1" si="156"/>
        <v>#REF!</v>
      </c>
      <c r="F902" s="118" t="e">
        <f t="shared" ca="1" si="157"/>
        <v>#REF!</v>
      </c>
      <c r="G902" s="118" t="e">
        <f t="shared" ca="1" si="158"/>
        <v>#REF!</v>
      </c>
      <c r="H902" s="118" t="e">
        <f t="shared" ca="1" si="159"/>
        <v>#REF!</v>
      </c>
      <c r="I902" s="118" t="e">
        <f t="shared" ca="1" si="160"/>
        <v>#REF!</v>
      </c>
      <c r="J902" s="118" t="e">
        <f t="shared" ca="1" si="161"/>
        <v>#REF!</v>
      </c>
      <c r="K902" s="118" t="e">
        <f t="shared" ca="1" si="162"/>
        <v>#REF!</v>
      </c>
      <c r="L902" s="118" t="e">
        <f t="shared" ca="1" si="163"/>
        <v>#REF!</v>
      </c>
      <c r="M902" s="118" t="e">
        <f t="shared" ca="1" si="164"/>
        <v>#REF!</v>
      </c>
    </row>
    <row r="903" spans="1:13" x14ac:dyDescent="0.25">
      <c r="A903" s="119">
        <v>45356</v>
      </c>
      <c r="B903" s="119">
        <v>45356</v>
      </c>
      <c r="C903" s="118" t="e">
        <f t="shared" ca="1" si="154"/>
        <v>#REF!</v>
      </c>
      <c r="D903" s="118" t="e">
        <f t="shared" ca="1" si="155"/>
        <v>#REF!</v>
      </c>
      <c r="E903" s="118" t="e">
        <f t="shared" ca="1" si="156"/>
        <v>#REF!</v>
      </c>
      <c r="F903" s="118" t="e">
        <f t="shared" ca="1" si="157"/>
        <v>#REF!</v>
      </c>
      <c r="G903" s="118" t="e">
        <f t="shared" ca="1" si="158"/>
        <v>#REF!</v>
      </c>
      <c r="H903" s="118" t="e">
        <f t="shared" ca="1" si="159"/>
        <v>#REF!</v>
      </c>
      <c r="I903" s="118" t="e">
        <f t="shared" ca="1" si="160"/>
        <v>#REF!</v>
      </c>
      <c r="J903" s="118" t="e">
        <f t="shared" ca="1" si="161"/>
        <v>#REF!</v>
      </c>
      <c r="K903" s="118" t="e">
        <f t="shared" ca="1" si="162"/>
        <v>#REF!</v>
      </c>
      <c r="L903" s="118" t="e">
        <f t="shared" ca="1" si="163"/>
        <v>#REF!</v>
      </c>
      <c r="M903" s="118" t="e">
        <f t="shared" ca="1" si="164"/>
        <v>#REF!</v>
      </c>
    </row>
    <row r="904" spans="1:13" x14ac:dyDescent="0.25">
      <c r="A904" s="119">
        <v>45357</v>
      </c>
      <c r="B904" s="119">
        <v>45357</v>
      </c>
      <c r="C904" s="118" t="e">
        <f t="shared" ca="1" si="154"/>
        <v>#REF!</v>
      </c>
      <c r="D904" s="118" t="e">
        <f t="shared" ca="1" si="155"/>
        <v>#REF!</v>
      </c>
      <c r="E904" s="118" t="e">
        <f t="shared" ca="1" si="156"/>
        <v>#REF!</v>
      </c>
      <c r="F904" s="118" t="e">
        <f t="shared" ca="1" si="157"/>
        <v>#REF!</v>
      </c>
      <c r="G904" s="118" t="e">
        <f t="shared" ca="1" si="158"/>
        <v>#REF!</v>
      </c>
      <c r="H904" s="118" t="e">
        <f t="shared" ca="1" si="159"/>
        <v>#REF!</v>
      </c>
      <c r="I904" s="118" t="e">
        <f t="shared" ca="1" si="160"/>
        <v>#REF!</v>
      </c>
      <c r="J904" s="118" t="e">
        <f t="shared" ca="1" si="161"/>
        <v>#REF!</v>
      </c>
      <c r="K904" s="118" t="e">
        <f t="shared" ca="1" si="162"/>
        <v>#REF!</v>
      </c>
      <c r="L904" s="118" t="e">
        <f t="shared" ca="1" si="163"/>
        <v>#REF!</v>
      </c>
      <c r="M904" s="118" t="e">
        <f t="shared" ca="1" si="164"/>
        <v>#REF!</v>
      </c>
    </row>
    <row r="905" spans="1:13" x14ac:dyDescent="0.25">
      <c r="A905" s="119">
        <v>45358</v>
      </c>
      <c r="B905" s="119">
        <v>45358</v>
      </c>
      <c r="C905" s="118" t="e">
        <f t="shared" ca="1" si="154"/>
        <v>#REF!</v>
      </c>
      <c r="D905" s="118" t="e">
        <f t="shared" ca="1" si="155"/>
        <v>#REF!</v>
      </c>
      <c r="E905" s="118" t="e">
        <f t="shared" ca="1" si="156"/>
        <v>#REF!</v>
      </c>
      <c r="F905" s="118" t="e">
        <f t="shared" ca="1" si="157"/>
        <v>#REF!</v>
      </c>
      <c r="G905" s="118" t="e">
        <f t="shared" ca="1" si="158"/>
        <v>#REF!</v>
      </c>
      <c r="H905" s="118" t="e">
        <f t="shared" ca="1" si="159"/>
        <v>#REF!</v>
      </c>
      <c r="I905" s="118" t="e">
        <f t="shared" ca="1" si="160"/>
        <v>#REF!</v>
      </c>
      <c r="J905" s="118" t="e">
        <f t="shared" ca="1" si="161"/>
        <v>#REF!</v>
      </c>
      <c r="K905" s="118" t="e">
        <f t="shared" ca="1" si="162"/>
        <v>#REF!</v>
      </c>
      <c r="L905" s="118" t="e">
        <f t="shared" ca="1" si="163"/>
        <v>#REF!</v>
      </c>
      <c r="M905" s="118" t="e">
        <f t="shared" ca="1" si="164"/>
        <v>#REF!</v>
      </c>
    </row>
    <row r="906" spans="1:13" x14ac:dyDescent="0.25">
      <c r="A906" s="119" t="s">
        <v>258</v>
      </c>
      <c r="B906" s="119">
        <v>45359</v>
      </c>
      <c r="C906" s="118" t="e">
        <f t="shared" ca="1" si="154"/>
        <v>#REF!</v>
      </c>
      <c r="D906" s="118" t="e">
        <f t="shared" ca="1" si="155"/>
        <v>#REF!</v>
      </c>
      <c r="E906" s="118" t="e">
        <f t="shared" ca="1" si="156"/>
        <v>#REF!</v>
      </c>
      <c r="F906" s="118" t="e">
        <f t="shared" ca="1" si="157"/>
        <v>#REF!</v>
      </c>
      <c r="G906" s="118" t="e">
        <f t="shared" ca="1" si="158"/>
        <v>#REF!</v>
      </c>
      <c r="H906" s="118" t="e">
        <f t="shared" ca="1" si="159"/>
        <v>#REF!</v>
      </c>
      <c r="I906" s="118" t="e">
        <f t="shared" ca="1" si="160"/>
        <v>#REF!</v>
      </c>
      <c r="J906" s="118" t="e">
        <f t="shared" ca="1" si="161"/>
        <v>#REF!</v>
      </c>
      <c r="K906" s="118" t="e">
        <f t="shared" ca="1" si="162"/>
        <v>#REF!</v>
      </c>
      <c r="L906" s="118" t="e">
        <f t="shared" ca="1" si="163"/>
        <v>#REF!</v>
      </c>
      <c r="M906" s="118" t="e">
        <f t="shared" ca="1" si="164"/>
        <v>#REF!</v>
      </c>
    </row>
    <row r="907" spans="1:13" x14ac:dyDescent="0.25">
      <c r="A907" s="119">
        <v>45360</v>
      </c>
      <c r="B907" s="119">
        <v>45360</v>
      </c>
      <c r="C907" s="118" t="e">
        <f t="shared" ca="1" si="154"/>
        <v>#REF!</v>
      </c>
      <c r="D907" s="118" t="e">
        <f t="shared" ca="1" si="155"/>
        <v>#REF!</v>
      </c>
      <c r="E907" s="118" t="e">
        <f t="shared" ca="1" si="156"/>
        <v>#REF!</v>
      </c>
      <c r="F907" s="118" t="e">
        <f t="shared" ca="1" si="157"/>
        <v>#REF!</v>
      </c>
      <c r="G907" s="118" t="e">
        <f t="shared" ca="1" si="158"/>
        <v>#REF!</v>
      </c>
      <c r="H907" s="118" t="e">
        <f t="shared" ca="1" si="159"/>
        <v>#REF!</v>
      </c>
      <c r="I907" s="118" t="e">
        <f t="shared" ca="1" si="160"/>
        <v>#REF!</v>
      </c>
      <c r="J907" s="118" t="e">
        <f t="shared" ca="1" si="161"/>
        <v>#REF!</v>
      </c>
      <c r="K907" s="118" t="e">
        <f t="shared" ca="1" si="162"/>
        <v>#REF!</v>
      </c>
      <c r="L907" s="118" t="e">
        <f t="shared" ca="1" si="163"/>
        <v>#REF!</v>
      </c>
      <c r="M907" s="118" t="e">
        <f t="shared" ca="1" si="164"/>
        <v>#REF!</v>
      </c>
    </row>
    <row r="908" spans="1:13" x14ac:dyDescent="0.25">
      <c r="A908" s="119">
        <v>45361</v>
      </c>
      <c r="B908" s="119">
        <v>45361</v>
      </c>
      <c r="C908" s="118" t="e">
        <f t="shared" ca="1" si="154"/>
        <v>#REF!</v>
      </c>
      <c r="D908" s="118" t="e">
        <f t="shared" ca="1" si="155"/>
        <v>#REF!</v>
      </c>
      <c r="E908" s="118" t="e">
        <f t="shared" ca="1" si="156"/>
        <v>#REF!</v>
      </c>
      <c r="F908" s="118" t="e">
        <f t="shared" ca="1" si="157"/>
        <v>#REF!</v>
      </c>
      <c r="G908" s="118" t="e">
        <f t="shared" ca="1" si="158"/>
        <v>#REF!</v>
      </c>
      <c r="H908" s="118" t="e">
        <f t="shared" ca="1" si="159"/>
        <v>#REF!</v>
      </c>
      <c r="I908" s="118" t="e">
        <f t="shared" ca="1" si="160"/>
        <v>#REF!</v>
      </c>
      <c r="J908" s="118" t="e">
        <f t="shared" ca="1" si="161"/>
        <v>#REF!</v>
      </c>
      <c r="K908" s="118" t="e">
        <f t="shared" ca="1" si="162"/>
        <v>#REF!</v>
      </c>
      <c r="L908" s="118" t="e">
        <f t="shared" ca="1" si="163"/>
        <v>#REF!</v>
      </c>
      <c r="M908" s="118" t="e">
        <f t="shared" ca="1" si="164"/>
        <v>#REF!</v>
      </c>
    </row>
    <row r="909" spans="1:13" x14ac:dyDescent="0.25">
      <c r="A909" s="119">
        <v>45362</v>
      </c>
      <c r="B909" s="119">
        <v>45362</v>
      </c>
      <c r="C909" s="118" t="e">
        <f t="shared" ca="1" si="154"/>
        <v>#REF!</v>
      </c>
      <c r="D909" s="118" t="e">
        <f t="shared" ca="1" si="155"/>
        <v>#REF!</v>
      </c>
      <c r="E909" s="118" t="e">
        <f t="shared" ca="1" si="156"/>
        <v>#REF!</v>
      </c>
      <c r="F909" s="118" t="e">
        <f t="shared" ca="1" si="157"/>
        <v>#REF!</v>
      </c>
      <c r="G909" s="118" t="e">
        <f t="shared" ca="1" si="158"/>
        <v>#REF!</v>
      </c>
      <c r="H909" s="118" t="e">
        <f t="shared" ca="1" si="159"/>
        <v>#REF!</v>
      </c>
      <c r="I909" s="118" t="e">
        <f t="shared" ca="1" si="160"/>
        <v>#REF!</v>
      </c>
      <c r="J909" s="118" t="e">
        <f t="shared" ca="1" si="161"/>
        <v>#REF!</v>
      </c>
      <c r="K909" s="118" t="e">
        <f t="shared" ca="1" si="162"/>
        <v>#REF!</v>
      </c>
      <c r="L909" s="118" t="e">
        <f t="shared" ca="1" si="163"/>
        <v>#REF!</v>
      </c>
      <c r="M909" s="118" t="e">
        <f t="shared" ca="1" si="164"/>
        <v>#REF!</v>
      </c>
    </row>
    <row r="910" spans="1:13" x14ac:dyDescent="0.25">
      <c r="A910" s="119">
        <v>45363</v>
      </c>
      <c r="B910" s="119">
        <v>45363</v>
      </c>
      <c r="C910" s="118" t="e">
        <f t="shared" ca="1" si="154"/>
        <v>#REF!</v>
      </c>
      <c r="D910" s="118" t="e">
        <f t="shared" ca="1" si="155"/>
        <v>#REF!</v>
      </c>
      <c r="E910" s="118" t="e">
        <f t="shared" ca="1" si="156"/>
        <v>#REF!</v>
      </c>
      <c r="F910" s="118" t="e">
        <f t="shared" ca="1" si="157"/>
        <v>#REF!</v>
      </c>
      <c r="G910" s="118" t="e">
        <f t="shared" ca="1" si="158"/>
        <v>#REF!</v>
      </c>
      <c r="H910" s="118" t="e">
        <f t="shared" ca="1" si="159"/>
        <v>#REF!</v>
      </c>
      <c r="I910" s="118" t="e">
        <f t="shared" ca="1" si="160"/>
        <v>#REF!</v>
      </c>
      <c r="J910" s="118" t="e">
        <f t="shared" ca="1" si="161"/>
        <v>#REF!</v>
      </c>
      <c r="K910" s="118" t="e">
        <f t="shared" ca="1" si="162"/>
        <v>#REF!</v>
      </c>
      <c r="L910" s="118" t="e">
        <f t="shared" ca="1" si="163"/>
        <v>#REF!</v>
      </c>
      <c r="M910" s="118" t="e">
        <f t="shared" ca="1" si="164"/>
        <v>#REF!</v>
      </c>
    </row>
    <row r="911" spans="1:13" x14ac:dyDescent="0.25">
      <c r="A911" s="119">
        <v>45364</v>
      </c>
      <c r="B911" s="119">
        <v>45364</v>
      </c>
      <c r="C911" s="118" t="e">
        <f t="shared" ca="1" si="154"/>
        <v>#REF!</v>
      </c>
      <c r="D911" s="118" t="e">
        <f t="shared" ca="1" si="155"/>
        <v>#REF!</v>
      </c>
      <c r="E911" s="118" t="e">
        <f t="shared" ca="1" si="156"/>
        <v>#REF!</v>
      </c>
      <c r="F911" s="118" t="e">
        <f t="shared" ca="1" si="157"/>
        <v>#REF!</v>
      </c>
      <c r="G911" s="118" t="e">
        <f t="shared" ca="1" si="158"/>
        <v>#REF!</v>
      </c>
      <c r="H911" s="118" t="e">
        <f t="shared" ca="1" si="159"/>
        <v>#REF!</v>
      </c>
      <c r="I911" s="118" t="e">
        <f t="shared" ca="1" si="160"/>
        <v>#REF!</v>
      </c>
      <c r="J911" s="118" t="e">
        <f t="shared" ca="1" si="161"/>
        <v>#REF!</v>
      </c>
      <c r="K911" s="118" t="e">
        <f t="shared" ca="1" si="162"/>
        <v>#REF!</v>
      </c>
      <c r="L911" s="118" t="e">
        <f t="shared" ca="1" si="163"/>
        <v>#REF!</v>
      </c>
      <c r="M911" s="118" t="e">
        <f t="shared" ca="1" si="164"/>
        <v>#REF!</v>
      </c>
    </row>
    <row r="912" spans="1:13" x14ac:dyDescent="0.25">
      <c r="A912" s="119">
        <v>45365</v>
      </c>
      <c r="B912" s="119">
        <v>45365</v>
      </c>
      <c r="C912" s="118" t="e">
        <f t="shared" ca="1" si="154"/>
        <v>#REF!</v>
      </c>
      <c r="D912" s="118" t="e">
        <f t="shared" ca="1" si="155"/>
        <v>#REF!</v>
      </c>
      <c r="E912" s="118" t="e">
        <f t="shared" ca="1" si="156"/>
        <v>#REF!</v>
      </c>
      <c r="F912" s="118" t="e">
        <f t="shared" ca="1" si="157"/>
        <v>#REF!</v>
      </c>
      <c r="G912" s="118" t="e">
        <f t="shared" ca="1" si="158"/>
        <v>#REF!</v>
      </c>
      <c r="H912" s="118" t="e">
        <f t="shared" ca="1" si="159"/>
        <v>#REF!</v>
      </c>
      <c r="I912" s="118" t="e">
        <f t="shared" ca="1" si="160"/>
        <v>#REF!</v>
      </c>
      <c r="J912" s="118" t="e">
        <f t="shared" ca="1" si="161"/>
        <v>#REF!</v>
      </c>
      <c r="K912" s="118" t="e">
        <f t="shared" ca="1" si="162"/>
        <v>#REF!</v>
      </c>
      <c r="L912" s="118" t="e">
        <f t="shared" ca="1" si="163"/>
        <v>#REF!</v>
      </c>
      <c r="M912" s="118" t="e">
        <f t="shared" ca="1" si="164"/>
        <v>#REF!</v>
      </c>
    </row>
    <row r="913" spans="1:13" x14ac:dyDescent="0.25">
      <c r="A913" s="119" t="s">
        <v>259</v>
      </c>
      <c r="B913" s="119">
        <v>45366</v>
      </c>
      <c r="C913" s="118" t="e">
        <f t="shared" ca="1" si="154"/>
        <v>#REF!</v>
      </c>
      <c r="D913" s="118" t="e">
        <f t="shared" ca="1" si="155"/>
        <v>#REF!</v>
      </c>
      <c r="E913" s="118" t="e">
        <f t="shared" ca="1" si="156"/>
        <v>#REF!</v>
      </c>
      <c r="F913" s="118" t="e">
        <f t="shared" ca="1" si="157"/>
        <v>#REF!</v>
      </c>
      <c r="G913" s="118" t="e">
        <f t="shared" ca="1" si="158"/>
        <v>#REF!</v>
      </c>
      <c r="H913" s="118" t="e">
        <f t="shared" ca="1" si="159"/>
        <v>#REF!</v>
      </c>
      <c r="I913" s="118" t="e">
        <f t="shared" ca="1" si="160"/>
        <v>#REF!</v>
      </c>
      <c r="J913" s="118" t="e">
        <f t="shared" ca="1" si="161"/>
        <v>#REF!</v>
      </c>
      <c r="K913" s="118" t="e">
        <f t="shared" ca="1" si="162"/>
        <v>#REF!</v>
      </c>
      <c r="L913" s="118" t="e">
        <f t="shared" ca="1" si="163"/>
        <v>#REF!</v>
      </c>
      <c r="M913" s="118" t="e">
        <f t="shared" ca="1" si="164"/>
        <v>#REF!</v>
      </c>
    </row>
    <row r="914" spans="1:13" x14ac:dyDescent="0.25">
      <c r="A914" s="119">
        <v>45367</v>
      </c>
      <c r="B914" s="119">
        <v>45367</v>
      </c>
      <c r="C914" s="118" t="e">
        <f t="shared" ca="1" si="154"/>
        <v>#REF!</v>
      </c>
      <c r="D914" s="118" t="e">
        <f t="shared" ca="1" si="155"/>
        <v>#REF!</v>
      </c>
      <c r="E914" s="118" t="e">
        <f t="shared" ca="1" si="156"/>
        <v>#REF!</v>
      </c>
      <c r="F914" s="118" t="e">
        <f t="shared" ca="1" si="157"/>
        <v>#REF!</v>
      </c>
      <c r="G914" s="118" t="e">
        <f t="shared" ca="1" si="158"/>
        <v>#REF!</v>
      </c>
      <c r="H914" s="118" t="e">
        <f t="shared" ca="1" si="159"/>
        <v>#REF!</v>
      </c>
      <c r="I914" s="118" t="e">
        <f t="shared" ca="1" si="160"/>
        <v>#REF!</v>
      </c>
      <c r="J914" s="118" t="e">
        <f t="shared" ca="1" si="161"/>
        <v>#REF!</v>
      </c>
      <c r="K914" s="118" t="e">
        <f t="shared" ca="1" si="162"/>
        <v>#REF!</v>
      </c>
      <c r="L914" s="118" t="e">
        <f t="shared" ca="1" si="163"/>
        <v>#REF!</v>
      </c>
      <c r="M914" s="118" t="e">
        <f t="shared" ca="1" si="164"/>
        <v>#REF!</v>
      </c>
    </row>
    <row r="915" spans="1:13" x14ac:dyDescent="0.25">
      <c r="A915" s="119">
        <v>45368</v>
      </c>
      <c r="B915" s="119">
        <v>45368</v>
      </c>
      <c r="C915" s="118" t="e">
        <f t="shared" ca="1" si="154"/>
        <v>#REF!</v>
      </c>
      <c r="D915" s="118" t="e">
        <f t="shared" ca="1" si="155"/>
        <v>#REF!</v>
      </c>
      <c r="E915" s="118" t="e">
        <f t="shared" ca="1" si="156"/>
        <v>#REF!</v>
      </c>
      <c r="F915" s="118" t="e">
        <f t="shared" ca="1" si="157"/>
        <v>#REF!</v>
      </c>
      <c r="G915" s="118" t="e">
        <f t="shared" ca="1" si="158"/>
        <v>#REF!</v>
      </c>
      <c r="H915" s="118" t="e">
        <f t="shared" ca="1" si="159"/>
        <v>#REF!</v>
      </c>
      <c r="I915" s="118" t="e">
        <f t="shared" ca="1" si="160"/>
        <v>#REF!</v>
      </c>
      <c r="J915" s="118" t="e">
        <f t="shared" ca="1" si="161"/>
        <v>#REF!</v>
      </c>
      <c r="K915" s="118" t="e">
        <f t="shared" ca="1" si="162"/>
        <v>#REF!</v>
      </c>
      <c r="L915" s="118" t="e">
        <f t="shared" ca="1" si="163"/>
        <v>#REF!</v>
      </c>
      <c r="M915" s="118" t="e">
        <f t="shared" ca="1" si="164"/>
        <v>#REF!</v>
      </c>
    </row>
    <row r="916" spans="1:13" x14ac:dyDescent="0.25">
      <c r="A916" s="119">
        <v>45369</v>
      </c>
      <c r="B916" s="119">
        <v>45369</v>
      </c>
      <c r="C916" s="118" t="e">
        <f t="shared" ca="1" si="154"/>
        <v>#REF!</v>
      </c>
      <c r="D916" s="118" t="e">
        <f t="shared" ca="1" si="155"/>
        <v>#REF!</v>
      </c>
      <c r="E916" s="118" t="e">
        <f t="shared" ca="1" si="156"/>
        <v>#REF!</v>
      </c>
      <c r="F916" s="118" t="e">
        <f t="shared" ca="1" si="157"/>
        <v>#REF!</v>
      </c>
      <c r="G916" s="118" t="e">
        <f t="shared" ca="1" si="158"/>
        <v>#REF!</v>
      </c>
      <c r="H916" s="118" t="e">
        <f t="shared" ca="1" si="159"/>
        <v>#REF!</v>
      </c>
      <c r="I916" s="118" t="e">
        <f t="shared" ca="1" si="160"/>
        <v>#REF!</v>
      </c>
      <c r="J916" s="118" t="e">
        <f t="shared" ca="1" si="161"/>
        <v>#REF!</v>
      </c>
      <c r="K916" s="118" t="e">
        <f t="shared" ca="1" si="162"/>
        <v>#REF!</v>
      </c>
      <c r="L916" s="118" t="e">
        <f t="shared" ca="1" si="163"/>
        <v>#REF!</v>
      </c>
      <c r="M916" s="118" t="e">
        <f t="shared" ca="1" si="164"/>
        <v>#REF!</v>
      </c>
    </row>
    <row r="917" spans="1:13" x14ac:dyDescent="0.25">
      <c r="A917" s="119">
        <v>45370</v>
      </c>
      <c r="B917" s="119">
        <v>45370</v>
      </c>
      <c r="C917" s="118" t="e">
        <f t="shared" ca="1" si="154"/>
        <v>#REF!</v>
      </c>
      <c r="D917" s="118" t="e">
        <f t="shared" ca="1" si="155"/>
        <v>#REF!</v>
      </c>
      <c r="E917" s="118" t="e">
        <f t="shared" ca="1" si="156"/>
        <v>#REF!</v>
      </c>
      <c r="F917" s="118" t="e">
        <f t="shared" ca="1" si="157"/>
        <v>#REF!</v>
      </c>
      <c r="G917" s="118" t="e">
        <f t="shared" ca="1" si="158"/>
        <v>#REF!</v>
      </c>
      <c r="H917" s="118" t="e">
        <f t="shared" ca="1" si="159"/>
        <v>#REF!</v>
      </c>
      <c r="I917" s="118" t="e">
        <f t="shared" ca="1" si="160"/>
        <v>#REF!</v>
      </c>
      <c r="J917" s="118" t="e">
        <f t="shared" ca="1" si="161"/>
        <v>#REF!</v>
      </c>
      <c r="K917" s="118" t="e">
        <f t="shared" ca="1" si="162"/>
        <v>#REF!</v>
      </c>
      <c r="L917" s="118" t="e">
        <f t="shared" ca="1" si="163"/>
        <v>#REF!</v>
      </c>
      <c r="M917" s="118" t="e">
        <f t="shared" ca="1" si="164"/>
        <v>#REF!</v>
      </c>
    </row>
    <row r="918" spans="1:13" x14ac:dyDescent="0.25">
      <c r="A918" s="119">
        <v>45371</v>
      </c>
      <c r="B918" s="119">
        <v>45371</v>
      </c>
      <c r="C918" s="118" t="e">
        <f t="shared" ca="1" si="154"/>
        <v>#REF!</v>
      </c>
      <c r="D918" s="118" t="e">
        <f t="shared" ca="1" si="155"/>
        <v>#REF!</v>
      </c>
      <c r="E918" s="118" t="e">
        <f t="shared" ca="1" si="156"/>
        <v>#REF!</v>
      </c>
      <c r="F918" s="118" t="e">
        <f t="shared" ca="1" si="157"/>
        <v>#REF!</v>
      </c>
      <c r="G918" s="118" t="e">
        <f t="shared" ca="1" si="158"/>
        <v>#REF!</v>
      </c>
      <c r="H918" s="118" t="e">
        <f t="shared" ca="1" si="159"/>
        <v>#REF!</v>
      </c>
      <c r="I918" s="118" t="e">
        <f t="shared" ca="1" si="160"/>
        <v>#REF!</v>
      </c>
      <c r="J918" s="118" t="e">
        <f t="shared" ca="1" si="161"/>
        <v>#REF!</v>
      </c>
      <c r="K918" s="118" t="e">
        <f t="shared" ca="1" si="162"/>
        <v>#REF!</v>
      </c>
      <c r="L918" s="118" t="e">
        <f t="shared" ca="1" si="163"/>
        <v>#REF!</v>
      </c>
      <c r="M918" s="118" t="e">
        <f t="shared" ca="1" si="164"/>
        <v>#REF!</v>
      </c>
    </row>
    <row r="919" spans="1:13" x14ac:dyDescent="0.25">
      <c r="A919" s="119">
        <v>45372</v>
      </c>
      <c r="B919" s="119">
        <v>45372</v>
      </c>
      <c r="C919" s="118" t="e">
        <f t="shared" ca="1" si="154"/>
        <v>#REF!</v>
      </c>
      <c r="D919" s="118" t="e">
        <f t="shared" ca="1" si="155"/>
        <v>#REF!</v>
      </c>
      <c r="E919" s="118" t="e">
        <f t="shared" ca="1" si="156"/>
        <v>#REF!</v>
      </c>
      <c r="F919" s="118" t="e">
        <f t="shared" ca="1" si="157"/>
        <v>#REF!</v>
      </c>
      <c r="G919" s="118" t="e">
        <f t="shared" ca="1" si="158"/>
        <v>#REF!</v>
      </c>
      <c r="H919" s="118" t="e">
        <f t="shared" ca="1" si="159"/>
        <v>#REF!</v>
      </c>
      <c r="I919" s="118" t="e">
        <f t="shared" ca="1" si="160"/>
        <v>#REF!</v>
      </c>
      <c r="J919" s="118" t="e">
        <f t="shared" ca="1" si="161"/>
        <v>#REF!</v>
      </c>
      <c r="K919" s="118" t="e">
        <f t="shared" ca="1" si="162"/>
        <v>#REF!</v>
      </c>
      <c r="L919" s="118" t="e">
        <f t="shared" ca="1" si="163"/>
        <v>#REF!</v>
      </c>
      <c r="M919" s="118" t="e">
        <f t="shared" ca="1" si="164"/>
        <v>#REF!</v>
      </c>
    </row>
    <row r="920" spans="1:13" x14ac:dyDescent="0.25">
      <c r="A920" s="119">
        <v>45373</v>
      </c>
      <c r="B920" s="119">
        <v>45373</v>
      </c>
      <c r="C920" s="118" t="e">
        <f t="shared" ca="1" si="154"/>
        <v>#REF!</v>
      </c>
      <c r="D920" s="118" t="e">
        <f t="shared" ca="1" si="155"/>
        <v>#REF!</v>
      </c>
      <c r="E920" s="118" t="e">
        <f t="shared" ca="1" si="156"/>
        <v>#REF!</v>
      </c>
      <c r="F920" s="118" t="e">
        <f t="shared" ca="1" si="157"/>
        <v>#REF!</v>
      </c>
      <c r="G920" s="118" t="e">
        <f t="shared" ca="1" si="158"/>
        <v>#REF!</v>
      </c>
      <c r="H920" s="118" t="e">
        <f t="shared" ca="1" si="159"/>
        <v>#REF!</v>
      </c>
      <c r="I920" s="118" t="e">
        <f t="shared" ca="1" si="160"/>
        <v>#REF!</v>
      </c>
      <c r="J920" s="118" t="e">
        <f t="shared" ca="1" si="161"/>
        <v>#REF!</v>
      </c>
      <c r="K920" s="118" t="e">
        <f t="shared" ca="1" si="162"/>
        <v>#REF!</v>
      </c>
      <c r="L920" s="118" t="e">
        <f t="shared" ca="1" si="163"/>
        <v>#REF!</v>
      </c>
      <c r="M920" s="118" t="e">
        <f t="shared" ca="1" si="164"/>
        <v>#REF!</v>
      </c>
    </row>
    <row r="921" spans="1:13" x14ac:dyDescent="0.25">
      <c r="A921" s="119" t="s">
        <v>281</v>
      </c>
      <c r="B921" s="119">
        <v>45374</v>
      </c>
      <c r="C921" s="118" t="e">
        <f t="shared" ca="1" si="154"/>
        <v>#REF!</v>
      </c>
      <c r="D921" s="118" t="e">
        <f t="shared" ca="1" si="155"/>
        <v>#REF!</v>
      </c>
      <c r="E921" s="118" t="e">
        <f t="shared" ca="1" si="156"/>
        <v>#REF!</v>
      </c>
      <c r="F921" s="118" t="e">
        <f t="shared" ca="1" si="157"/>
        <v>#REF!</v>
      </c>
      <c r="G921" s="118" t="e">
        <f t="shared" ca="1" si="158"/>
        <v>#REF!</v>
      </c>
      <c r="H921" s="118" t="e">
        <f t="shared" ca="1" si="159"/>
        <v>#REF!</v>
      </c>
      <c r="I921" s="118" t="e">
        <f t="shared" ca="1" si="160"/>
        <v>#REF!</v>
      </c>
      <c r="J921" s="118" t="e">
        <f t="shared" ca="1" si="161"/>
        <v>#REF!</v>
      </c>
      <c r="K921" s="118" t="e">
        <f t="shared" ca="1" si="162"/>
        <v>#REF!</v>
      </c>
      <c r="L921" s="118" t="e">
        <f t="shared" ca="1" si="163"/>
        <v>#REF!</v>
      </c>
      <c r="M921" s="118" t="e">
        <f t="shared" ca="1" si="164"/>
        <v>#REF!</v>
      </c>
    </row>
    <row r="922" spans="1:13" x14ac:dyDescent="0.25">
      <c r="A922" s="119">
        <v>45375</v>
      </c>
      <c r="B922" s="119">
        <v>45375</v>
      </c>
      <c r="C922" s="118" t="e">
        <f t="shared" ca="1" si="154"/>
        <v>#REF!</v>
      </c>
      <c r="D922" s="118" t="e">
        <f t="shared" ca="1" si="155"/>
        <v>#REF!</v>
      </c>
      <c r="E922" s="118" t="e">
        <f t="shared" ca="1" si="156"/>
        <v>#REF!</v>
      </c>
      <c r="F922" s="118" t="e">
        <f t="shared" ca="1" si="157"/>
        <v>#REF!</v>
      </c>
      <c r="G922" s="118" t="e">
        <f t="shared" ca="1" si="158"/>
        <v>#REF!</v>
      </c>
      <c r="H922" s="118" t="e">
        <f t="shared" ca="1" si="159"/>
        <v>#REF!</v>
      </c>
      <c r="I922" s="118" t="e">
        <f t="shared" ca="1" si="160"/>
        <v>#REF!</v>
      </c>
      <c r="J922" s="118" t="e">
        <f t="shared" ca="1" si="161"/>
        <v>#REF!</v>
      </c>
      <c r="K922" s="118" t="e">
        <f t="shared" ca="1" si="162"/>
        <v>#REF!</v>
      </c>
      <c r="L922" s="118" t="e">
        <f t="shared" ca="1" si="163"/>
        <v>#REF!</v>
      </c>
      <c r="M922" s="118" t="e">
        <f t="shared" ca="1" si="164"/>
        <v>#REF!</v>
      </c>
    </row>
    <row r="923" spans="1:13" x14ac:dyDescent="0.25">
      <c r="A923" s="119" t="s">
        <v>260</v>
      </c>
      <c r="B923" s="119">
        <v>45376</v>
      </c>
      <c r="C923" s="118" t="e">
        <f t="shared" ca="1" si="154"/>
        <v>#REF!</v>
      </c>
      <c r="D923" s="118" t="e">
        <f t="shared" ca="1" si="155"/>
        <v>#REF!</v>
      </c>
      <c r="E923" s="118" t="e">
        <f t="shared" ca="1" si="156"/>
        <v>#REF!</v>
      </c>
      <c r="F923" s="118" t="e">
        <f t="shared" ca="1" si="157"/>
        <v>#REF!</v>
      </c>
      <c r="G923" s="118" t="e">
        <f t="shared" ca="1" si="158"/>
        <v>#REF!</v>
      </c>
      <c r="H923" s="118" t="e">
        <f t="shared" ca="1" si="159"/>
        <v>#REF!</v>
      </c>
      <c r="I923" s="118" t="e">
        <f t="shared" ca="1" si="160"/>
        <v>#REF!</v>
      </c>
      <c r="J923" s="118" t="e">
        <f t="shared" ca="1" si="161"/>
        <v>#REF!</v>
      </c>
      <c r="K923" s="118" t="e">
        <f t="shared" ca="1" si="162"/>
        <v>#REF!</v>
      </c>
      <c r="L923" s="118" t="e">
        <f t="shared" ca="1" si="163"/>
        <v>#REF!</v>
      </c>
      <c r="M923" s="118" t="e">
        <f t="shared" ca="1" si="164"/>
        <v>#REF!</v>
      </c>
    </row>
    <row r="924" spans="1:13" x14ac:dyDescent="0.25">
      <c r="A924" s="119">
        <v>45377</v>
      </c>
      <c r="B924" s="119">
        <v>45377</v>
      </c>
      <c r="C924" s="118" t="e">
        <f t="shared" ca="1" si="154"/>
        <v>#REF!</v>
      </c>
      <c r="D924" s="118" t="e">
        <f t="shared" ca="1" si="155"/>
        <v>#REF!</v>
      </c>
      <c r="E924" s="118" t="e">
        <f t="shared" ca="1" si="156"/>
        <v>#REF!</v>
      </c>
      <c r="F924" s="118" t="e">
        <f t="shared" ca="1" si="157"/>
        <v>#REF!</v>
      </c>
      <c r="G924" s="118" t="e">
        <f t="shared" ca="1" si="158"/>
        <v>#REF!</v>
      </c>
      <c r="H924" s="118" t="e">
        <f t="shared" ca="1" si="159"/>
        <v>#REF!</v>
      </c>
      <c r="I924" s="118" t="e">
        <f t="shared" ca="1" si="160"/>
        <v>#REF!</v>
      </c>
      <c r="J924" s="118" t="e">
        <f t="shared" ca="1" si="161"/>
        <v>#REF!</v>
      </c>
      <c r="K924" s="118" t="e">
        <f t="shared" ca="1" si="162"/>
        <v>#REF!</v>
      </c>
      <c r="L924" s="118" t="e">
        <f t="shared" ca="1" si="163"/>
        <v>#REF!</v>
      </c>
      <c r="M924" s="118" t="e">
        <f t="shared" ca="1" si="164"/>
        <v>#REF!</v>
      </c>
    </row>
    <row r="925" spans="1:13" x14ac:dyDescent="0.25">
      <c r="A925" s="119">
        <v>45378</v>
      </c>
      <c r="B925" s="119">
        <v>45378</v>
      </c>
      <c r="C925" s="118" t="e">
        <f t="shared" ca="1" si="154"/>
        <v>#REF!</v>
      </c>
      <c r="D925" s="118" t="e">
        <f t="shared" ca="1" si="155"/>
        <v>#REF!</v>
      </c>
      <c r="E925" s="118" t="e">
        <f t="shared" ca="1" si="156"/>
        <v>#REF!</v>
      </c>
      <c r="F925" s="118" t="e">
        <f t="shared" ca="1" si="157"/>
        <v>#REF!</v>
      </c>
      <c r="G925" s="118" t="e">
        <f t="shared" ca="1" si="158"/>
        <v>#REF!</v>
      </c>
      <c r="H925" s="118" t="e">
        <f t="shared" ca="1" si="159"/>
        <v>#REF!</v>
      </c>
      <c r="I925" s="118" t="e">
        <f t="shared" ca="1" si="160"/>
        <v>#REF!</v>
      </c>
      <c r="J925" s="118" t="e">
        <f t="shared" ca="1" si="161"/>
        <v>#REF!</v>
      </c>
      <c r="K925" s="118" t="e">
        <f t="shared" ca="1" si="162"/>
        <v>#REF!</v>
      </c>
      <c r="L925" s="118" t="e">
        <f t="shared" ca="1" si="163"/>
        <v>#REF!</v>
      </c>
      <c r="M925" s="118" t="e">
        <f t="shared" ca="1" si="164"/>
        <v>#REF!</v>
      </c>
    </row>
    <row r="926" spans="1:13" x14ac:dyDescent="0.25">
      <c r="A926" s="119">
        <v>45379</v>
      </c>
      <c r="B926" s="119">
        <v>45379</v>
      </c>
      <c r="C926" s="118" t="e">
        <f t="shared" ca="1" si="154"/>
        <v>#REF!</v>
      </c>
      <c r="D926" s="118" t="e">
        <f t="shared" ca="1" si="155"/>
        <v>#REF!</v>
      </c>
      <c r="E926" s="118" t="e">
        <f t="shared" ca="1" si="156"/>
        <v>#REF!</v>
      </c>
      <c r="F926" s="118" t="e">
        <f t="shared" ca="1" si="157"/>
        <v>#REF!</v>
      </c>
      <c r="G926" s="118" t="e">
        <f t="shared" ca="1" si="158"/>
        <v>#REF!</v>
      </c>
      <c r="H926" s="118" t="e">
        <f t="shared" ca="1" si="159"/>
        <v>#REF!</v>
      </c>
      <c r="I926" s="118" t="e">
        <f t="shared" ca="1" si="160"/>
        <v>#REF!</v>
      </c>
      <c r="J926" s="118" t="e">
        <f t="shared" ca="1" si="161"/>
        <v>#REF!</v>
      </c>
      <c r="K926" s="118" t="e">
        <f t="shared" ca="1" si="162"/>
        <v>#REF!</v>
      </c>
      <c r="L926" s="118" t="e">
        <f t="shared" ca="1" si="163"/>
        <v>#REF!</v>
      </c>
      <c r="M926" s="118" t="e">
        <f t="shared" ca="1" si="164"/>
        <v>#REF!</v>
      </c>
    </row>
    <row r="927" spans="1:13" x14ac:dyDescent="0.25">
      <c r="A927" s="119" t="s">
        <v>261</v>
      </c>
      <c r="B927" s="119">
        <v>45380</v>
      </c>
      <c r="C927" s="118" t="e">
        <f t="shared" ca="1" si="154"/>
        <v>#REF!</v>
      </c>
      <c r="D927" s="118" t="e">
        <f t="shared" ca="1" si="155"/>
        <v>#REF!</v>
      </c>
      <c r="E927" s="118" t="e">
        <f t="shared" ca="1" si="156"/>
        <v>#REF!</v>
      </c>
      <c r="F927" s="118" t="e">
        <f t="shared" ca="1" si="157"/>
        <v>#REF!</v>
      </c>
      <c r="G927" s="118" t="e">
        <f t="shared" ca="1" si="158"/>
        <v>#REF!</v>
      </c>
      <c r="H927" s="118" t="e">
        <f t="shared" ca="1" si="159"/>
        <v>#REF!</v>
      </c>
      <c r="I927" s="118" t="e">
        <f t="shared" ca="1" si="160"/>
        <v>#REF!</v>
      </c>
      <c r="J927" s="118" t="e">
        <f t="shared" ca="1" si="161"/>
        <v>#REF!</v>
      </c>
      <c r="K927" s="118" t="e">
        <f t="shared" ca="1" si="162"/>
        <v>#REF!</v>
      </c>
      <c r="L927" s="118" t="e">
        <f t="shared" ca="1" si="163"/>
        <v>#REF!</v>
      </c>
      <c r="M927" s="118" t="e">
        <f t="shared" ca="1" si="164"/>
        <v>#REF!</v>
      </c>
    </row>
    <row r="928" spans="1:13" x14ac:dyDescent="0.25">
      <c r="A928" s="119">
        <v>45381</v>
      </c>
      <c r="B928" s="119">
        <v>45381</v>
      </c>
      <c r="C928" s="118" t="e">
        <f t="shared" ca="1" si="154"/>
        <v>#REF!</v>
      </c>
      <c r="D928" s="118" t="e">
        <f t="shared" ca="1" si="155"/>
        <v>#REF!</v>
      </c>
      <c r="E928" s="118" t="e">
        <f t="shared" ca="1" si="156"/>
        <v>#REF!</v>
      </c>
      <c r="F928" s="118" t="e">
        <f t="shared" ca="1" si="157"/>
        <v>#REF!</v>
      </c>
      <c r="G928" s="118" t="e">
        <f t="shared" ca="1" si="158"/>
        <v>#REF!</v>
      </c>
      <c r="H928" s="118" t="e">
        <f t="shared" ca="1" si="159"/>
        <v>#REF!</v>
      </c>
      <c r="I928" s="118" t="e">
        <f t="shared" ca="1" si="160"/>
        <v>#REF!</v>
      </c>
      <c r="J928" s="118" t="e">
        <f t="shared" ca="1" si="161"/>
        <v>#REF!</v>
      </c>
      <c r="K928" s="118" t="e">
        <f t="shared" ca="1" si="162"/>
        <v>#REF!</v>
      </c>
      <c r="L928" s="118" t="e">
        <f t="shared" ca="1" si="163"/>
        <v>#REF!</v>
      </c>
      <c r="M928" s="118" t="e">
        <f t="shared" ca="1" si="164"/>
        <v>#REF!</v>
      </c>
    </row>
    <row r="929" spans="1:13" x14ac:dyDescent="0.25">
      <c r="A929" s="119">
        <v>45382</v>
      </c>
      <c r="B929" s="119">
        <v>45382</v>
      </c>
      <c r="C929" s="118" t="e">
        <f t="shared" ca="1" si="154"/>
        <v>#REF!</v>
      </c>
      <c r="D929" s="118" t="e">
        <f t="shared" ca="1" si="155"/>
        <v>#REF!</v>
      </c>
      <c r="E929" s="118" t="e">
        <f t="shared" ca="1" si="156"/>
        <v>#REF!</v>
      </c>
      <c r="F929" s="118" t="e">
        <f t="shared" ca="1" si="157"/>
        <v>#REF!</v>
      </c>
      <c r="G929" s="118" t="e">
        <f t="shared" ca="1" si="158"/>
        <v>#REF!</v>
      </c>
      <c r="H929" s="118" t="e">
        <f t="shared" ca="1" si="159"/>
        <v>#REF!</v>
      </c>
      <c r="I929" s="118" t="e">
        <f t="shared" ca="1" si="160"/>
        <v>#REF!</v>
      </c>
      <c r="J929" s="118" t="e">
        <f t="shared" ca="1" si="161"/>
        <v>#REF!</v>
      </c>
      <c r="K929" s="118" t="e">
        <f t="shared" ca="1" si="162"/>
        <v>#REF!</v>
      </c>
      <c r="L929" s="118" t="e">
        <f t="shared" ca="1" si="163"/>
        <v>#REF!</v>
      </c>
      <c r="M929" s="118" t="e">
        <f t="shared" ca="1" si="164"/>
        <v>#REF!</v>
      </c>
    </row>
    <row r="930" spans="1:13" x14ac:dyDescent="0.25">
      <c r="A930" s="119">
        <v>45383</v>
      </c>
      <c r="B930" s="119">
        <v>45383</v>
      </c>
      <c r="C930" s="118" t="e">
        <f t="shared" ca="1" si="154"/>
        <v>#REF!</v>
      </c>
      <c r="D930" s="118" t="e">
        <f t="shared" ca="1" si="155"/>
        <v>#REF!</v>
      </c>
      <c r="E930" s="118" t="e">
        <f t="shared" ca="1" si="156"/>
        <v>#REF!</v>
      </c>
      <c r="F930" s="118" t="e">
        <f t="shared" ca="1" si="157"/>
        <v>#REF!</v>
      </c>
      <c r="G930" s="118" t="e">
        <f t="shared" ca="1" si="158"/>
        <v>#REF!</v>
      </c>
      <c r="H930" s="118" t="e">
        <f t="shared" ca="1" si="159"/>
        <v>#REF!</v>
      </c>
      <c r="I930" s="118" t="e">
        <f t="shared" ca="1" si="160"/>
        <v>#REF!</v>
      </c>
      <c r="J930" s="118" t="e">
        <f t="shared" ca="1" si="161"/>
        <v>#REF!</v>
      </c>
      <c r="K930" s="118" t="e">
        <f t="shared" ca="1" si="162"/>
        <v>#REF!</v>
      </c>
      <c r="L930" s="118" t="e">
        <f t="shared" ca="1" si="163"/>
        <v>#REF!</v>
      </c>
      <c r="M930" s="118" t="e">
        <f t="shared" ca="1" si="164"/>
        <v>#REF!</v>
      </c>
    </row>
    <row r="931" spans="1:13" x14ac:dyDescent="0.25">
      <c r="A931" s="119" t="s">
        <v>262</v>
      </c>
      <c r="B931" s="119">
        <v>45384</v>
      </c>
      <c r="C931" s="118" t="e">
        <f t="shared" ca="1" si="154"/>
        <v>#REF!</v>
      </c>
      <c r="D931" s="118" t="e">
        <f t="shared" ca="1" si="155"/>
        <v>#REF!</v>
      </c>
      <c r="E931" s="118" t="e">
        <f t="shared" ca="1" si="156"/>
        <v>#REF!</v>
      </c>
      <c r="F931" s="118" t="e">
        <f t="shared" ca="1" si="157"/>
        <v>#REF!</v>
      </c>
      <c r="G931" s="118" t="e">
        <f t="shared" ca="1" si="158"/>
        <v>#REF!</v>
      </c>
      <c r="H931" s="118" t="e">
        <f t="shared" ca="1" si="159"/>
        <v>#REF!</v>
      </c>
      <c r="I931" s="118" t="e">
        <f t="shared" ca="1" si="160"/>
        <v>#REF!</v>
      </c>
      <c r="J931" s="118" t="e">
        <f t="shared" ca="1" si="161"/>
        <v>#REF!</v>
      </c>
      <c r="K931" s="118" t="e">
        <f t="shared" ca="1" si="162"/>
        <v>#REF!</v>
      </c>
      <c r="L931" s="118" t="e">
        <f t="shared" ca="1" si="163"/>
        <v>#REF!</v>
      </c>
      <c r="M931" s="118" t="e">
        <f t="shared" ca="1" si="164"/>
        <v>#REF!</v>
      </c>
    </row>
    <row r="932" spans="1:13" x14ac:dyDescent="0.25">
      <c r="A932" s="119">
        <v>45385</v>
      </c>
      <c r="B932" s="119">
        <v>45385</v>
      </c>
      <c r="C932" s="118" t="e">
        <f t="shared" ca="1" si="154"/>
        <v>#REF!</v>
      </c>
      <c r="D932" s="118" t="e">
        <f t="shared" ca="1" si="155"/>
        <v>#REF!</v>
      </c>
      <c r="E932" s="118" t="e">
        <f t="shared" ca="1" si="156"/>
        <v>#REF!</v>
      </c>
      <c r="F932" s="118" t="e">
        <f t="shared" ca="1" si="157"/>
        <v>#REF!</v>
      </c>
      <c r="G932" s="118" t="e">
        <f t="shared" ca="1" si="158"/>
        <v>#REF!</v>
      </c>
      <c r="H932" s="118" t="e">
        <f t="shared" ca="1" si="159"/>
        <v>#REF!</v>
      </c>
      <c r="I932" s="118" t="e">
        <f t="shared" ca="1" si="160"/>
        <v>#REF!</v>
      </c>
      <c r="J932" s="118" t="e">
        <f t="shared" ca="1" si="161"/>
        <v>#REF!</v>
      </c>
      <c r="K932" s="118" t="e">
        <f t="shared" ca="1" si="162"/>
        <v>#REF!</v>
      </c>
      <c r="L932" s="118" t="e">
        <f t="shared" ca="1" si="163"/>
        <v>#REF!</v>
      </c>
      <c r="M932" s="118" t="e">
        <f t="shared" ca="1" si="164"/>
        <v>#REF!</v>
      </c>
    </row>
    <row r="933" spans="1:13" x14ac:dyDescent="0.25">
      <c r="A933" s="119">
        <v>45386</v>
      </c>
      <c r="B933" s="119">
        <v>45386</v>
      </c>
      <c r="C933" s="118" t="e">
        <f t="shared" ca="1" si="154"/>
        <v>#REF!</v>
      </c>
      <c r="D933" s="118" t="e">
        <f t="shared" ca="1" si="155"/>
        <v>#REF!</v>
      </c>
      <c r="E933" s="118" t="e">
        <f t="shared" ca="1" si="156"/>
        <v>#REF!</v>
      </c>
      <c r="F933" s="118" t="e">
        <f t="shared" ca="1" si="157"/>
        <v>#REF!</v>
      </c>
      <c r="G933" s="118" t="e">
        <f t="shared" ca="1" si="158"/>
        <v>#REF!</v>
      </c>
      <c r="H933" s="118" t="e">
        <f t="shared" ca="1" si="159"/>
        <v>#REF!</v>
      </c>
      <c r="I933" s="118" t="e">
        <f t="shared" ca="1" si="160"/>
        <v>#REF!</v>
      </c>
      <c r="J933" s="118" t="e">
        <f t="shared" ca="1" si="161"/>
        <v>#REF!</v>
      </c>
      <c r="K933" s="118" t="e">
        <f t="shared" ca="1" si="162"/>
        <v>#REF!</v>
      </c>
      <c r="L933" s="118" t="e">
        <f t="shared" ca="1" si="163"/>
        <v>#REF!</v>
      </c>
      <c r="M933" s="118" t="e">
        <f t="shared" ca="1" si="164"/>
        <v>#REF!</v>
      </c>
    </row>
    <row r="934" spans="1:13" x14ac:dyDescent="0.25">
      <c r="A934" s="119">
        <v>45387</v>
      </c>
      <c r="B934" s="119">
        <v>45387</v>
      </c>
      <c r="C934" s="118" t="e">
        <f t="shared" ca="1" si="154"/>
        <v>#REF!</v>
      </c>
      <c r="D934" s="118" t="e">
        <f t="shared" ca="1" si="155"/>
        <v>#REF!</v>
      </c>
      <c r="E934" s="118" t="e">
        <f t="shared" ca="1" si="156"/>
        <v>#REF!</v>
      </c>
      <c r="F934" s="118" t="e">
        <f t="shared" ca="1" si="157"/>
        <v>#REF!</v>
      </c>
      <c r="G934" s="118" t="e">
        <f t="shared" ca="1" si="158"/>
        <v>#REF!</v>
      </c>
      <c r="H934" s="118" t="e">
        <f t="shared" ca="1" si="159"/>
        <v>#REF!</v>
      </c>
      <c r="I934" s="118" t="e">
        <f t="shared" ca="1" si="160"/>
        <v>#REF!</v>
      </c>
      <c r="J934" s="118" t="e">
        <f t="shared" ca="1" si="161"/>
        <v>#REF!</v>
      </c>
      <c r="K934" s="118" t="e">
        <f t="shared" ca="1" si="162"/>
        <v>#REF!</v>
      </c>
      <c r="L934" s="118" t="e">
        <f t="shared" ca="1" si="163"/>
        <v>#REF!</v>
      </c>
      <c r="M934" s="118" t="e">
        <f t="shared" ca="1" si="164"/>
        <v>#REF!</v>
      </c>
    </row>
    <row r="935" spans="1:13" x14ac:dyDescent="0.25">
      <c r="A935" s="119">
        <v>45388</v>
      </c>
      <c r="B935" s="119">
        <v>45388</v>
      </c>
      <c r="C935" s="118" t="e">
        <f t="shared" ca="1" si="154"/>
        <v>#REF!</v>
      </c>
      <c r="D935" s="118" t="e">
        <f t="shared" ca="1" si="155"/>
        <v>#REF!</v>
      </c>
      <c r="E935" s="118" t="e">
        <f t="shared" ca="1" si="156"/>
        <v>#REF!</v>
      </c>
      <c r="F935" s="118" t="e">
        <f t="shared" ca="1" si="157"/>
        <v>#REF!</v>
      </c>
      <c r="G935" s="118" t="e">
        <f t="shared" ca="1" si="158"/>
        <v>#REF!</v>
      </c>
      <c r="H935" s="118" t="e">
        <f t="shared" ca="1" si="159"/>
        <v>#REF!</v>
      </c>
      <c r="I935" s="118" t="e">
        <f t="shared" ca="1" si="160"/>
        <v>#REF!</v>
      </c>
      <c r="J935" s="118" t="e">
        <f t="shared" ca="1" si="161"/>
        <v>#REF!</v>
      </c>
      <c r="K935" s="118" t="e">
        <f t="shared" ca="1" si="162"/>
        <v>#REF!</v>
      </c>
      <c r="L935" s="118" t="e">
        <f t="shared" ca="1" si="163"/>
        <v>#REF!</v>
      </c>
      <c r="M935" s="118" t="e">
        <f t="shared" ca="1" si="164"/>
        <v>#REF!</v>
      </c>
    </row>
    <row r="936" spans="1:13" x14ac:dyDescent="0.25">
      <c r="A936" s="119">
        <v>45389</v>
      </c>
      <c r="B936" s="119">
        <v>45389</v>
      </c>
      <c r="C936" s="118" t="e">
        <f t="shared" ca="1" si="154"/>
        <v>#REF!</v>
      </c>
      <c r="D936" s="118" t="e">
        <f t="shared" ca="1" si="155"/>
        <v>#REF!</v>
      </c>
      <c r="E936" s="118" t="e">
        <f t="shared" ca="1" si="156"/>
        <v>#REF!</v>
      </c>
      <c r="F936" s="118" t="e">
        <f t="shared" ca="1" si="157"/>
        <v>#REF!</v>
      </c>
      <c r="G936" s="118" t="e">
        <f t="shared" ca="1" si="158"/>
        <v>#REF!</v>
      </c>
      <c r="H936" s="118" t="e">
        <f t="shared" ca="1" si="159"/>
        <v>#REF!</v>
      </c>
      <c r="I936" s="118" t="e">
        <f t="shared" ca="1" si="160"/>
        <v>#REF!</v>
      </c>
      <c r="J936" s="118" t="e">
        <f t="shared" ca="1" si="161"/>
        <v>#REF!</v>
      </c>
      <c r="K936" s="118" t="e">
        <f t="shared" ca="1" si="162"/>
        <v>#REF!</v>
      </c>
      <c r="L936" s="118" t="e">
        <f t="shared" ca="1" si="163"/>
        <v>#REF!</v>
      </c>
      <c r="M936" s="118" t="e">
        <f t="shared" ca="1" si="164"/>
        <v>#REF!</v>
      </c>
    </row>
    <row r="937" spans="1:13" x14ac:dyDescent="0.25">
      <c r="A937" s="119">
        <v>45390</v>
      </c>
      <c r="B937" s="119">
        <v>45390</v>
      </c>
      <c r="C937" s="118" t="e">
        <f t="shared" ca="1" si="154"/>
        <v>#REF!</v>
      </c>
      <c r="D937" s="118" t="e">
        <f t="shared" ca="1" si="155"/>
        <v>#REF!</v>
      </c>
      <c r="E937" s="118" t="e">
        <f t="shared" ca="1" si="156"/>
        <v>#REF!</v>
      </c>
      <c r="F937" s="118" t="e">
        <f t="shared" ca="1" si="157"/>
        <v>#REF!</v>
      </c>
      <c r="G937" s="118" t="e">
        <f t="shared" ca="1" si="158"/>
        <v>#REF!</v>
      </c>
      <c r="H937" s="118" t="e">
        <f t="shared" ca="1" si="159"/>
        <v>#REF!</v>
      </c>
      <c r="I937" s="118" t="e">
        <f t="shared" ca="1" si="160"/>
        <v>#REF!</v>
      </c>
      <c r="J937" s="118" t="e">
        <f t="shared" ca="1" si="161"/>
        <v>#REF!</v>
      </c>
      <c r="K937" s="118" t="e">
        <f t="shared" ca="1" si="162"/>
        <v>#REF!</v>
      </c>
      <c r="L937" s="118" t="e">
        <f t="shared" ca="1" si="163"/>
        <v>#REF!</v>
      </c>
      <c r="M937" s="118" t="e">
        <f t="shared" ca="1" si="164"/>
        <v>#REF!</v>
      </c>
    </row>
    <row r="938" spans="1:13" x14ac:dyDescent="0.25">
      <c r="A938" s="119" t="s">
        <v>264</v>
      </c>
      <c r="B938" s="119">
        <v>45391</v>
      </c>
      <c r="C938" s="118" t="e">
        <f t="shared" ca="1" si="154"/>
        <v>#REF!</v>
      </c>
      <c r="D938" s="118" t="e">
        <f t="shared" ca="1" si="155"/>
        <v>#REF!</v>
      </c>
      <c r="E938" s="118" t="e">
        <f t="shared" ca="1" si="156"/>
        <v>#REF!</v>
      </c>
      <c r="F938" s="118" t="e">
        <f t="shared" ca="1" si="157"/>
        <v>#REF!</v>
      </c>
      <c r="G938" s="118" t="e">
        <f t="shared" ca="1" si="158"/>
        <v>#REF!</v>
      </c>
      <c r="H938" s="118" t="e">
        <f t="shared" ca="1" si="159"/>
        <v>#REF!</v>
      </c>
      <c r="I938" s="118" t="e">
        <f t="shared" ca="1" si="160"/>
        <v>#REF!</v>
      </c>
      <c r="J938" s="118" t="e">
        <f t="shared" ca="1" si="161"/>
        <v>#REF!</v>
      </c>
      <c r="K938" s="118" t="e">
        <f t="shared" ca="1" si="162"/>
        <v>#REF!</v>
      </c>
      <c r="L938" s="118" t="e">
        <f t="shared" ca="1" si="163"/>
        <v>#REF!</v>
      </c>
      <c r="M938" s="118" t="e">
        <f t="shared" ca="1" si="164"/>
        <v>#REF!</v>
      </c>
    </row>
    <row r="939" spans="1:13" x14ac:dyDescent="0.25">
      <c r="A939" s="119">
        <v>45392</v>
      </c>
      <c r="B939" s="119">
        <v>45392</v>
      </c>
      <c r="C939" s="118" t="e">
        <f t="shared" ca="1" si="154"/>
        <v>#REF!</v>
      </c>
      <c r="D939" s="118" t="e">
        <f t="shared" ca="1" si="155"/>
        <v>#REF!</v>
      </c>
      <c r="E939" s="118" t="e">
        <f t="shared" ca="1" si="156"/>
        <v>#REF!</v>
      </c>
      <c r="F939" s="118" t="e">
        <f t="shared" ca="1" si="157"/>
        <v>#REF!</v>
      </c>
      <c r="G939" s="118" t="e">
        <f t="shared" ca="1" si="158"/>
        <v>#REF!</v>
      </c>
      <c r="H939" s="118" t="e">
        <f t="shared" ca="1" si="159"/>
        <v>#REF!</v>
      </c>
      <c r="I939" s="118" t="e">
        <f t="shared" ca="1" si="160"/>
        <v>#REF!</v>
      </c>
      <c r="J939" s="118" t="e">
        <f t="shared" ca="1" si="161"/>
        <v>#REF!</v>
      </c>
      <c r="K939" s="118" t="e">
        <f t="shared" ca="1" si="162"/>
        <v>#REF!</v>
      </c>
      <c r="L939" s="118" t="e">
        <f t="shared" ca="1" si="163"/>
        <v>#REF!</v>
      </c>
      <c r="M939" s="118" t="e">
        <f t="shared" ca="1" si="164"/>
        <v>#REF!</v>
      </c>
    </row>
    <row r="940" spans="1:13" x14ac:dyDescent="0.25">
      <c r="A940" s="119">
        <v>45393</v>
      </c>
      <c r="B940" s="119">
        <v>45393</v>
      </c>
      <c r="C940" s="118" t="e">
        <f t="shared" ca="1" si="154"/>
        <v>#REF!</v>
      </c>
      <c r="D940" s="118" t="e">
        <f t="shared" ca="1" si="155"/>
        <v>#REF!</v>
      </c>
      <c r="E940" s="118" t="e">
        <f t="shared" ca="1" si="156"/>
        <v>#REF!</v>
      </c>
      <c r="F940" s="118" t="e">
        <f t="shared" ca="1" si="157"/>
        <v>#REF!</v>
      </c>
      <c r="G940" s="118" t="e">
        <f t="shared" ca="1" si="158"/>
        <v>#REF!</v>
      </c>
      <c r="H940" s="118" t="e">
        <f t="shared" ca="1" si="159"/>
        <v>#REF!</v>
      </c>
      <c r="I940" s="118" t="e">
        <f t="shared" ca="1" si="160"/>
        <v>#REF!</v>
      </c>
      <c r="J940" s="118" t="e">
        <f t="shared" ca="1" si="161"/>
        <v>#REF!</v>
      </c>
      <c r="K940" s="118" t="e">
        <f t="shared" ca="1" si="162"/>
        <v>#REF!</v>
      </c>
      <c r="L940" s="118" t="e">
        <f t="shared" ca="1" si="163"/>
        <v>#REF!</v>
      </c>
      <c r="M940" s="118" t="e">
        <f t="shared" ca="1" si="164"/>
        <v>#REF!</v>
      </c>
    </row>
    <row r="941" spans="1:13" x14ac:dyDescent="0.25">
      <c r="A941" s="119">
        <v>45394</v>
      </c>
      <c r="B941" s="119">
        <v>45394</v>
      </c>
      <c r="C941" s="118" t="e">
        <f t="shared" ca="1" si="154"/>
        <v>#REF!</v>
      </c>
      <c r="D941" s="118" t="e">
        <f t="shared" ca="1" si="155"/>
        <v>#REF!</v>
      </c>
      <c r="E941" s="118" t="e">
        <f t="shared" ca="1" si="156"/>
        <v>#REF!</v>
      </c>
      <c r="F941" s="118" t="e">
        <f t="shared" ca="1" si="157"/>
        <v>#REF!</v>
      </c>
      <c r="G941" s="118" t="e">
        <f t="shared" ca="1" si="158"/>
        <v>#REF!</v>
      </c>
      <c r="H941" s="118" t="e">
        <f t="shared" ca="1" si="159"/>
        <v>#REF!</v>
      </c>
      <c r="I941" s="118" t="e">
        <f t="shared" ca="1" si="160"/>
        <v>#REF!</v>
      </c>
      <c r="J941" s="118" t="e">
        <f t="shared" ca="1" si="161"/>
        <v>#REF!</v>
      </c>
      <c r="K941" s="118" t="e">
        <f t="shared" ca="1" si="162"/>
        <v>#REF!</v>
      </c>
      <c r="L941" s="118" t="e">
        <f t="shared" ca="1" si="163"/>
        <v>#REF!</v>
      </c>
      <c r="M941" s="118" t="e">
        <f t="shared" ca="1" si="164"/>
        <v>#REF!</v>
      </c>
    </row>
    <row r="942" spans="1:13" x14ac:dyDescent="0.25">
      <c r="A942" s="119">
        <v>45395</v>
      </c>
      <c r="B942" s="119">
        <v>45395</v>
      </c>
      <c r="C942" s="118" t="e">
        <f t="shared" ca="1" si="154"/>
        <v>#REF!</v>
      </c>
      <c r="D942" s="118" t="e">
        <f t="shared" ca="1" si="155"/>
        <v>#REF!</v>
      </c>
      <c r="E942" s="118" t="e">
        <f t="shared" ca="1" si="156"/>
        <v>#REF!</v>
      </c>
      <c r="F942" s="118" t="e">
        <f t="shared" ca="1" si="157"/>
        <v>#REF!</v>
      </c>
      <c r="G942" s="118" t="e">
        <f t="shared" ca="1" si="158"/>
        <v>#REF!</v>
      </c>
      <c r="H942" s="118" t="e">
        <f t="shared" ca="1" si="159"/>
        <v>#REF!</v>
      </c>
      <c r="I942" s="118" t="e">
        <f t="shared" ca="1" si="160"/>
        <v>#REF!</v>
      </c>
      <c r="J942" s="118" t="e">
        <f t="shared" ca="1" si="161"/>
        <v>#REF!</v>
      </c>
      <c r="K942" s="118" t="e">
        <f t="shared" ca="1" si="162"/>
        <v>#REF!</v>
      </c>
      <c r="L942" s="118" t="e">
        <f t="shared" ca="1" si="163"/>
        <v>#REF!</v>
      </c>
      <c r="M942" s="118" t="e">
        <f t="shared" ca="1" si="164"/>
        <v>#REF!</v>
      </c>
    </row>
    <row r="943" spans="1:13" x14ac:dyDescent="0.25">
      <c r="A943" s="119">
        <v>45396</v>
      </c>
      <c r="B943" s="119">
        <v>45396</v>
      </c>
      <c r="C943" s="118" t="e">
        <f t="shared" ca="1" si="154"/>
        <v>#REF!</v>
      </c>
      <c r="D943" s="118" t="e">
        <f t="shared" ca="1" si="155"/>
        <v>#REF!</v>
      </c>
      <c r="E943" s="118" t="e">
        <f t="shared" ca="1" si="156"/>
        <v>#REF!</v>
      </c>
      <c r="F943" s="118" t="e">
        <f t="shared" ca="1" si="157"/>
        <v>#REF!</v>
      </c>
      <c r="G943" s="118" t="e">
        <f t="shared" ca="1" si="158"/>
        <v>#REF!</v>
      </c>
      <c r="H943" s="118" t="e">
        <f t="shared" ca="1" si="159"/>
        <v>#REF!</v>
      </c>
      <c r="I943" s="118" t="e">
        <f t="shared" ca="1" si="160"/>
        <v>#REF!</v>
      </c>
      <c r="J943" s="118" t="e">
        <f t="shared" ca="1" si="161"/>
        <v>#REF!</v>
      </c>
      <c r="K943" s="118" t="e">
        <f t="shared" ca="1" si="162"/>
        <v>#REF!</v>
      </c>
      <c r="L943" s="118" t="e">
        <f t="shared" ca="1" si="163"/>
        <v>#REF!</v>
      </c>
      <c r="M943" s="118" t="e">
        <f t="shared" ca="1" si="164"/>
        <v>#REF!</v>
      </c>
    </row>
    <row r="944" spans="1:13" x14ac:dyDescent="0.25">
      <c r="A944" s="119">
        <v>45397</v>
      </c>
      <c r="B944" s="119">
        <v>45397</v>
      </c>
      <c r="C944" s="118" t="e">
        <f t="shared" ca="1" si="154"/>
        <v>#REF!</v>
      </c>
      <c r="D944" s="118" t="e">
        <f t="shared" ca="1" si="155"/>
        <v>#REF!</v>
      </c>
      <c r="E944" s="118" t="e">
        <f t="shared" ca="1" si="156"/>
        <v>#REF!</v>
      </c>
      <c r="F944" s="118" t="e">
        <f t="shared" ca="1" si="157"/>
        <v>#REF!</v>
      </c>
      <c r="G944" s="118" t="e">
        <f t="shared" ca="1" si="158"/>
        <v>#REF!</v>
      </c>
      <c r="H944" s="118" t="e">
        <f t="shared" ca="1" si="159"/>
        <v>#REF!</v>
      </c>
      <c r="I944" s="118" t="e">
        <f t="shared" ca="1" si="160"/>
        <v>#REF!</v>
      </c>
      <c r="J944" s="118" t="e">
        <f t="shared" ca="1" si="161"/>
        <v>#REF!</v>
      </c>
      <c r="K944" s="118" t="e">
        <f t="shared" ca="1" si="162"/>
        <v>#REF!</v>
      </c>
      <c r="L944" s="118" t="e">
        <f t="shared" ca="1" si="163"/>
        <v>#REF!</v>
      </c>
      <c r="M944" s="118" t="e">
        <f t="shared" ca="1" si="164"/>
        <v>#REF!</v>
      </c>
    </row>
    <row r="945" spans="1:13" x14ac:dyDescent="0.25">
      <c r="A945" s="119" t="s">
        <v>263</v>
      </c>
      <c r="B945" s="119">
        <v>45398</v>
      </c>
      <c r="C945" s="118" t="e">
        <f t="shared" ca="1" si="154"/>
        <v>#REF!</v>
      </c>
      <c r="D945" s="118" t="e">
        <f t="shared" ca="1" si="155"/>
        <v>#REF!</v>
      </c>
      <c r="E945" s="118" t="e">
        <f t="shared" ca="1" si="156"/>
        <v>#REF!</v>
      </c>
      <c r="F945" s="118" t="e">
        <f t="shared" ca="1" si="157"/>
        <v>#REF!</v>
      </c>
      <c r="G945" s="118" t="e">
        <f t="shared" ca="1" si="158"/>
        <v>#REF!</v>
      </c>
      <c r="H945" s="118" t="e">
        <f t="shared" ca="1" si="159"/>
        <v>#REF!</v>
      </c>
      <c r="I945" s="118" t="e">
        <f t="shared" ca="1" si="160"/>
        <v>#REF!</v>
      </c>
      <c r="J945" s="118" t="e">
        <f t="shared" ca="1" si="161"/>
        <v>#REF!</v>
      </c>
      <c r="K945" s="118" t="e">
        <f t="shared" ca="1" si="162"/>
        <v>#REF!</v>
      </c>
      <c r="L945" s="118" t="e">
        <f t="shared" ca="1" si="163"/>
        <v>#REF!</v>
      </c>
      <c r="M945" s="118" t="e">
        <f t="shared" ca="1" si="164"/>
        <v>#REF!</v>
      </c>
    </row>
    <row r="946" spans="1:13" x14ac:dyDescent="0.25">
      <c r="A946" s="119">
        <v>45399</v>
      </c>
      <c r="B946" s="119">
        <v>45399</v>
      </c>
      <c r="C946" s="118" t="e">
        <f t="shared" ca="1" si="154"/>
        <v>#REF!</v>
      </c>
      <c r="D946" s="118" t="e">
        <f t="shared" ca="1" si="155"/>
        <v>#REF!</v>
      </c>
      <c r="E946" s="118" t="e">
        <f t="shared" ca="1" si="156"/>
        <v>#REF!</v>
      </c>
      <c r="F946" s="118" t="e">
        <f t="shared" ca="1" si="157"/>
        <v>#REF!</v>
      </c>
      <c r="G946" s="118" t="e">
        <f t="shared" ca="1" si="158"/>
        <v>#REF!</v>
      </c>
      <c r="H946" s="118" t="e">
        <f t="shared" ca="1" si="159"/>
        <v>#REF!</v>
      </c>
      <c r="I946" s="118" t="e">
        <f t="shared" ca="1" si="160"/>
        <v>#REF!</v>
      </c>
      <c r="J946" s="118" t="e">
        <f t="shared" ca="1" si="161"/>
        <v>#REF!</v>
      </c>
      <c r="K946" s="118" t="e">
        <f t="shared" ca="1" si="162"/>
        <v>#REF!</v>
      </c>
      <c r="L946" s="118" t="e">
        <f t="shared" ca="1" si="163"/>
        <v>#REF!</v>
      </c>
      <c r="M946" s="118" t="e">
        <f t="shared" ca="1" si="164"/>
        <v>#REF!</v>
      </c>
    </row>
    <row r="947" spans="1:13" x14ac:dyDescent="0.25">
      <c r="A947" s="119">
        <v>45400</v>
      </c>
      <c r="B947" s="119">
        <v>45400</v>
      </c>
      <c r="C947" s="118" t="e">
        <f t="shared" ca="1" si="154"/>
        <v>#REF!</v>
      </c>
      <c r="D947" s="118" t="e">
        <f t="shared" ca="1" si="155"/>
        <v>#REF!</v>
      </c>
      <c r="E947" s="118" t="e">
        <f t="shared" ca="1" si="156"/>
        <v>#REF!</v>
      </c>
      <c r="F947" s="118" t="e">
        <f t="shared" ca="1" si="157"/>
        <v>#REF!</v>
      </c>
      <c r="G947" s="118" t="e">
        <f t="shared" ca="1" si="158"/>
        <v>#REF!</v>
      </c>
      <c r="H947" s="118" t="e">
        <f t="shared" ca="1" si="159"/>
        <v>#REF!</v>
      </c>
      <c r="I947" s="118" t="e">
        <f t="shared" ca="1" si="160"/>
        <v>#REF!</v>
      </c>
      <c r="J947" s="118" t="e">
        <f t="shared" ca="1" si="161"/>
        <v>#REF!</v>
      </c>
      <c r="K947" s="118" t="e">
        <f t="shared" ca="1" si="162"/>
        <v>#REF!</v>
      </c>
      <c r="L947" s="118" t="e">
        <f t="shared" ca="1" si="163"/>
        <v>#REF!</v>
      </c>
      <c r="M947" s="118" t="e">
        <f t="shared" ca="1" si="164"/>
        <v>#REF!</v>
      </c>
    </row>
    <row r="948" spans="1:13" x14ac:dyDescent="0.25">
      <c r="A948" s="119">
        <v>45401</v>
      </c>
      <c r="B948" s="119">
        <v>45401</v>
      </c>
      <c r="C948" s="118" t="e">
        <f t="shared" ca="1" si="154"/>
        <v>#REF!</v>
      </c>
      <c r="D948" s="118" t="e">
        <f t="shared" ca="1" si="155"/>
        <v>#REF!</v>
      </c>
      <c r="E948" s="118" t="e">
        <f t="shared" ca="1" si="156"/>
        <v>#REF!</v>
      </c>
      <c r="F948" s="118" t="e">
        <f t="shared" ca="1" si="157"/>
        <v>#REF!</v>
      </c>
      <c r="G948" s="118" t="e">
        <f t="shared" ca="1" si="158"/>
        <v>#REF!</v>
      </c>
      <c r="H948" s="118" t="e">
        <f t="shared" ca="1" si="159"/>
        <v>#REF!</v>
      </c>
      <c r="I948" s="118" t="e">
        <f t="shared" ca="1" si="160"/>
        <v>#REF!</v>
      </c>
      <c r="J948" s="118" t="e">
        <f t="shared" ca="1" si="161"/>
        <v>#REF!</v>
      </c>
      <c r="K948" s="118" t="e">
        <f t="shared" ca="1" si="162"/>
        <v>#REF!</v>
      </c>
      <c r="L948" s="118" t="e">
        <f t="shared" ca="1" si="163"/>
        <v>#REF!</v>
      </c>
      <c r="M948" s="118" t="e">
        <f t="shared" ca="1" si="164"/>
        <v>#REF!</v>
      </c>
    </row>
    <row r="949" spans="1:13" x14ac:dyDescent="0.25">
      <c r="A949" s="119">
        <v>45402</v>
      </c>
      <c r="B949" s="119">
        <v>45402</v>
      </c>
      <c r="C949" s="118" t="e">
        <f t="shared" ca="1" si="154"/>
        <v>#REF!</v>
      </c>
      <c r="D949" s="118" t="e">
        <f t="shared" ca="1" si="155"/>
        <v>#REF!</v>
      </c>
      <c r="E949" s="118" t="e">
        <f t="shared" ca="1" si="156"/>
        <v>#REF!</v>
      </c>
      <c r="F949" s="118" t="e">
        <f t="shared" ca="1" si="157"/>
        <v>#REF!</v>
      </c>
      <c r="G949" s="118" t="e">
        <f t="shared" ca="1" si="158"/>
        <v>#REF!</v>
      </c>
      <c r="H949" s="118" t="e">
        <f t="shared" ca="1" si="159"/>
        <v>#REF!</v>
      </c>
      <c r="I949" s="118" t="e">
        <f t="shared" ca="1" si="160"/>
        <v>#REF!</v>
      </c>
      <c r="J949" s="118" t="e">
        <f t="shared" ca="1" si="161"/>
        <v>#REF!</v>
      </c>
      <c r="K949" s="118" t="e">
        <f t="shared" ca="1" si="162"/>
        <v>#REF!</v>
      </c>
      <c r="L949" s="118" t="e">
        <f t="shared" ca="1" si="163"/>
        <v>#REF!</v>
      </c>
      <c r="M949" s="118" t="e">
        <f t="shared" ca="1" si="164"/>
        <v>#REF!</v>
      </c>
    </row>
    <row r="950" spans="1:13" x14ac:dyDescent="0.25">
      <c r="A950" s="119">
        <v>45403</v>
      </c>
      <c r="B950" s="119">
        <v>45403</v>
      </c>
      <c r="C950" s="118" t="e">
        <f t="shared" ca="1" si="154"/>
        <v>#REF!</v>
      </c>
      <c r="D950" s="118" t="e">
        <f t="shared" ca="1" si="155"/>
        <v>#REF!</v>
      </c>
      <c r="E950" s="118" t="e">
        <f t="shared" ca="1" si="156"/>
        <v>#REF!</v>
      </c>
      <c r="F950" s="118" t="e">
        <f t="shared" ca="1" si="157"/>
        <v>#REF!</v>
      </c>
      <c r="G950" s="118" t="e">
        <f t="shared" ca="1" si="158"/>
        <v>#REF!</v>
      </c>
      <c r="H950" s="118" t="e">
        <f t="shared" ca="1" si="159"/>
        <v>#REF!</v>
      </c>
      <c r="I950" s="118" t="e">
        <f t="shared" ca="1" si="160"/>
        <v>#REF!</v>
      </c>
      <c r="J950" s="118" t="e">
        <f t="shared" ca="1" si="161"/>
        <v>#REF!</v>
      </c>
      <c r="K950" s="118" t="e">
        <f t="shared" ca="1" si="162"/>
        <v>#REF!</v>
      </c>
      <c r="L950" s="118" t="e">
        <f t="shared" ca="1" si="163"/>
        <v>#REF!</v>
      </c>
      <c r="M950" s="118" t="e">
        <f t="shared" ca="1" si="164"/>
        <v>#REF!</v>
      </c>
    </row>
    <row r="951" spans="1:13" x14ac:dyDescent="0.25">
      <c r="A951" s="119">
        <v>45404</v>
      </c>
      <c r="B951" s="119">
        <v>45404</v>
      </c>
      <c r="C951" s="118" t="e">
        <f t="shared" ca="1" si="154"/>
        <v>#REF!</v>
      </c>
      <c r="D951" s="118" t="e">
        <f t="shared" ca="1" si="155"/>
        <v>#REF!</v>
      </c>
      <c r="E951" s="118" t="e">
        <f t="shared" ca="1" si="156"/>
        <v>#REF!</v>
      </c>
      <c r="F951" s="118" t="e">
        <f t="shared" ca="1" si="157"/>
        <v>#REF!</v>
      </c>
      <c r="G951" s="118" t="e">
        <f t="shared" ca="1" si="158"/>
        <v>#REF!</v>
      </c>
      <c r="H951" s="118" t="e">
        <f t="shared" ca="1" si="159"/>
        <v>#REF!</v>
      </c>
      <c r="I951" s="118" t="e">
        <f t="shared" ca="1" si="160"/>
        <v>#REF!</v>
      </c>
      <c r="J951" s="118" t="e">
        <f t="shared" ca="1" si="161"/>
        <v>#REF!</v>
      </c>
      <c r="K951" s="118" t="e">
        <f t="shared" ca="1" si="162"/>
        <v>#REF!</v>
      </c>
      <c r="L951" s="118" t="e">
        <f t="shared" ca="1" si="163"/>
        <v>#REF!</v>
      </c>
      <c r="M951" s="118" t="e">
        <f t="shared" ca="1" si="164"/>
        <v>#REF!</v>
      </c>
    </row>
    <row r="952" spans="1:13" x14ac:dyDescent="0.25">
      <c r="A952" s="119" t="s">
        <v>265</v>
      </c>
      <c r="B952" s="119">
        <v>45405</v>
      </c>
      <c r="C952" s="118" t="e">
        <f t="shared" ca="1" si="154"/>
        <v>#REF!</v>
      </c>
      <c r="D952" s="118" t="e">
        <f t="shared" ca="1" si="155"/>
        <v>#REF!</v>
      </c>
      <c r="E952" s="118" t="e">
        <f t="shared" ca="1" si="156"/>
        <v>#REF!</v>
      </c>
      <c r="F952" s="118" t="e">
        <f t="shared" ca="1" si="157"/>
        <v>#REF!</v>
      </c>
      <c r="G952" s="118" t="e">
        <f t="shared" ca="1" si="158"/>
        <v>#REF!</v>
      </c>
      <c r="H952" s="118" t="e">
        <f t="shared" ca="1" si="159"/>
        <v>#REF!</v>
      </c>
      <c r="I952" s="118" t="e">
        <f t="shared" ca="1" si="160"/>
        <v>#REF!</v>
      </c>
      <c r="J952" s="118" t="e">
        <f t="shared" ca="1" si="161"/>
        <v>#REF!</v>
      </c>
      <c r="K952" s="118" t="e">
        <f t="shared" ca="1" si="162"/>
        <v>#REF!</v>
      </c>
      <c r="L952" s="118" t="e">
        <f t="shared" ca="1" si="163"/>
        <v>#REF!</v>
      </c>
      <c r="M952" s="118" t="e">
        <f t="shared" ca="1" si="164"/>
        <v>#REF!</v>
      </c>
    </row>
    <row r="953" spans="1:13" x14ac:dyDescent="0.25">
      <c r="A953" s="119">
        <v>45406</v>
      </c>
      <c r="B953" s="119">
        <v>45406</v>
      </c>
      <c r="C953" s="118" t="e">
        <f t="shared" ca="1" si="154"/>
        <v>#REF!</v>
      </c>
      <c r="D953" s="118" t="e">
        <f t="shared" ca="1" si="155"/>
        <v>#REF!</v>
      </c>
      <c r="E953" s="118" t="e">
        <f t="shared" ca="1" si="156"/>
        <v>#REF!</v>
      </c>
      <c r="F953" s="118" t="e">
        <f t="shared" ca="1" si="157"/>
        <v>#REF!</v>
      </c>
      <c r="G953" s="118" t="e">
        <f t="shared" ca="1" si="158"/>
        <v>#REF!</v>
      </c>
      <c r="H953" s="118" t="e">
        <f t="shared" ca="1" si="159"/>
        <v>#REF!</v>
      </c>
      <c r="I953" s="118" t="e">
        <f t="shared" ca="1" si="160"/>
        <v>#REF!</v>
      </c>
      <c r="J953" s="118" t="e">
        <f t="shared" ca="1" si="161"/>
        <v>#REF!</v>
      </c>
      <c r="K953" s="118" t="e">
        <f t="shared" ca="1" si="162"/>
        <v>#REF!</v>
      </c>
      <c r="L953" s="118" t="e">
        <f t="shared" ca="1" si="163"/>
        <v>#REF!</v>
      </c>
      <c r="M953" s="118" t="e">
        <f t="shared" ca="1" si="164"/>
        <v>#REF!</v>
      </c>
    </row>
    <row r="954" spans="1:13" x14ac:dyDescent="0.25">
      <c r="A954" s="119">
        <v>45407</v>
      </c>
      <c r="B954" s="119">
        <v>45407</v>
      </c>
      <c r="C954" s="118" t="e">
        <f t="shared" ca="1" si="154"/>
        <v>#REF!</v>
      </c>
      <c r="D954" s="118" t="e">
        <f t="shared" ca="1" si="155"/>
        <v>#REF!</v>
      </c>
      <c r="E954" s="118" t="e">
        <f t="shared" ca="1" si="156"/>
        <v>#REF!</v>
      </c>
      <c r="F954" s="118" t="e">
        <f t="shared" ca="1" si="157"/>
        <v>#REF!</v>
      </c>
      <c r="G954" s="118" t="e">
        <f t="shared" ca="1" si="158"/>
        <v>#REF!</v>
      </c>
      <c r="H954" s="118" t="e">
        <f t="shared" ca="1" si="159"/>
        <v>#REF!</v>
      </c>
      <c r="I954" s="118" t="e">
        <f t="shared" ca="1" si="160"/>
        <v>#REF!</v>
      </c>
      <c r="J954" s="118" t="e">
        <f t="shared" ca="1" si="161"/>
        <v>#REF!</v>
      </c>
      <c r="K954" s="118" t="e">
        <f t="shared" ca="1" si="162"/>
        <v>#REF!</v>
      </c>
      <c r="L954" s="118" t="e">
        <f t="shared" ca="1" si="163"/>
        <v>#REF!</v>
      </c>
      <c r="M954" s="118" t="e">
        <f t="shared" ca="1" si="164"/>
        <v>#REF!</v>
      </c>
    </row>
    <row r="955" spans="1:13" x14ac:dyDescent="0.25">
      <c r="A955" s="119">
        <v>45408</v>
      </c>
      <c r="B955" s="119">
        <v>45408</v>
      </c>
      <c r="C955" s="118" t="e">
        <f t="shared" ca="1" si="154"/>
        <v>#REF!</v>
      </c>
      <c r="D955" s="118" t="e">
        <f t="shared" ca="1" si="155"/>
        <v>#REF!</v>
      </c>
      <c r="E955" s="118" t="e">
        <f t="shared" ca="1" si="156"/>
        <v>#REF!</v>
      </c>
      <c r="F955" s="118" t="e">
        <f t="shared" ca="1" si="157"/>
        <v>#REF!</v>
      </c>
      <c r="G955" s="118" t="e">
        <f t="shared" ca="1" si="158"/>
        <v>#REF!</v>
      </c>
      <c r="H955" s="118" t="e">
        <f t="shared" ca="1" si="159"/>
        <v>#REF!</v>
      </c>
      <c r="I955" s="118" t="e">
        <f t="shared" ca="1" si="160"/>
        <v>#REF!</v>
      </c>
      <c r="J955" s="118" t="e">
        <f t="shared" ca="1" si="161"/>
        <v>#REF!</v>
      </c>
      <c r="K955" s="118" t="e">
        <f t="shared" ca="1" si="162"/>
        <v>#REF!</v>
      </c>
      <c r="L955" s="118" t="e">
        <f t="shared" ca="1" si="163"/>
        <v>#REF!</v>
      </c>
      <c r="M955" s="118" t="e">
        <f t="shared" ca="1" si="164"/>
        <v>#REF!</v>
      </c>
    </row>
    <row r="956" spans="1:13" x14ac:dyDescent="0.25">
      <c r="A956" s="119">
        <v>45409</v>
      </c>
      <c r="B956" s="119">
        <v>45409</v>
      </c>
      <c r="C956" s="118" t="e">
        <f t="shared" ca="1" si="154"/>
        <v>#REF!</v>
      </c>
      <c r="D956" s="118" t="e">
        <f t="shared" ca="1" si="155"/>
        <v>#REF!</v>
      </c>
      <c r="E956" s="118" t="e">
        <f t="shared" ca="1" si="156"/>
        <v>#REF!</v>
      </c>
      <c r="F956" s="118" t="e">
        <f t="shared" ca="1" si="157"/>
        <v>#REF!</v>
      </c>
      <c r="G956" s="118" t="e">
        <f t="shared" ca="1" si="158"/>
        <v>#REF!</v>
      </c>
      <c r="H956" s="118" t="e">
        <f t="shared" ca="1" si="159"/>
        <v>#REF!</v>
      </c>
      <c r="I956" s="118" t="e">
        <f t="shared" ca="1" si="160"/>
        <v>#REF!</v>
      </c>
      <c r="J956" s="118" t="e">
        <f t="shared" ca="1" si="161"/>
        <v>#REF!</v>
      </c>
      <c r="K956" s="118" t="e">
        <f t="shared" ca="1" si="162"/>
        <v>#REF!</v>
      </c>
      <c r="L956" s="118" t="e">
        <f t="shared" ca="1" si="163"/>
        <v>#REF!</v>
      </c>
      <c r="M956" s="118" t="e">
        <f t="shared" ca="1" si="164"/>
        <v>#REF!</v>
      </c>
    </row>
    <row r="957" spans="1:13" x14ac:dyDescent="0.25">
      <c r="A957" s="119">
        <v>45410</v>
      </c>
      <c r="B957" s="119">
        <v>45410</v>
      </c>
      <c r="C957" s="118" t="e">
        <f t="shared" ca="1" si="154"/>
        <v>#REF!</v>
      </c>
      <c r="D957" s="118" t="e">
        <f t="shared" ca="1" si="155"/>
        <v>#REF!</v>
      </c>
      <c r="E957" s="118" t="e">
        <f t="shared" ca="1" si="156"/>
        <v>#REF!</v>
      </c>
      <c r="F957" s="118" t="e">
        <f t="shared" ca="1" si="157"/>
        <v>#REF!</v>
      </c>
      <c r="G957" s="118" t="e">
        <f t="shared" ca="1" si="158"/>
        <v>#REF!</v>
      </c>
      <c r="H957" s="118" t="e">
        <f t="shared" ca="1" si="159"/>
        <v>#REF!</v>
      </c>
      <c r="I957" s="118" t="e">
        <f t="shared" ca="1" si="160"/>
        <v>#REF!</v>
      </c>
      <c r="J957" s="118" t="e">
        <f t="shared" ca="1" si="161"/>
        <v>#REF!</v>
      </c>
      <c r="K957" s="118" t="e">
        <f t="shared" ca="1" si="162"/>
        <v>#REF!</v>
      </c>
      <c r="L957" s="118" t="e">
        <f t="shared" ca="1" si="163"/>
        <v>#REF!</v>
      </c>
      <c r="M957" s="118" t="e">
        <f t="shared" ca="1" si="164"/>
        <v>#REF!</v>
      </c>
    </row>
    <row r="958" spans="1:13" x14ac:dyDescent="0.25">
      <c r="A958" s="119">
        <v>45411</v>
      </c>
      <c r="B958" s="119">
        <v>45411</v>
      </c>
      <c r="C958" s="118" t="e">
        <f t="shared" ca="1" si="154"/>
        <v>#REF!</v>
      </c>
      <c r="D958" s="118" t="e">
        <f t="shared" ca="1" si="155"/>
        <v>#REF!</v>
      </c>
      <c r="E958" s="118" t="e">
        <f t="shared" ca="1" si="156"/>
        <v>#REF!</v>
      </c>
      <c r="F958" s="118" t="e">
        <f t="shared" ca="1" si="157"/>
        <v>#REF!</v>
      </c>
      <c r="G958" s="118" t="e">
        <f t="shared" ca="1" si="158"/>
        <v>#REF!</v>
      </c>
      <c r="H958" s="118" t="e">
        <f t="shared" ca="1" si="159"/>
        <v>#REF!</v>
      </c>
      <c r="I958" s="118" t="e">
        <f t="shared" ca="1" si="160"/>
        <v>#REF!</v>
      </c>
      <c r="J958" s="118" t="e">
        <f t="shared" ca="1" si="161"/>
        <v>#REF!</v>
      </c>
      <c r="K958" s="118" t="e">
        <f t="shared" ca="1" si="162"/>
        <v>#REF!</v>
      </c>
      <c r="L958" s="118" t="e">
        <f t="shared" ca="1" si="163"/>
        <v>#REF!</v>
      </c>
      <c r="M958" s="118" t="e">
        <f t="shared" ca="1" si="164"/>
        <v>#REF!</v>
      </c>
    </row>
    <row r="959" spans="1:13" x14ac:dyDescent="0.25">
      <c r="A959" s="119">
        <v>45412</v>
      </c>
      <c r="B959" s="119">
        <v>45412</v>
      </c>
      <c r="C959" s="118" t="e">
        <f t="shared" ca="1" si="154"/>
        <v>#REF!</v>
      </c>
      <c r="D959" s="118" t="e">
        <f t="shared" ca="1" si="155"/>
        <v>#REF!</v>
      </c>
      <c r="E959" s="118" t="e">
        <f t="shared" ca="1" si="156"/>
        <v>#REF!</v>
      </c>
      <c r="F959" s="118" t="e">
        <f t="shared" ca="1" si="157"/>
        <v>#REF!</v>
      </c>
      <c r="G959" s="118" t="e">
        <f t="shared" ca="1" si="158"/>
        <v>#REF!</v>
      </c>
      <c r="H959" s="118" t="e">
        <f t="shared" ca="1" si="159"/>
        <v>#REF!</v>
      </c>
      <c r="I959" s="118" t="e">
        <f t="shared" ca="1" si="160"/>
        <v>#REF!</v>
      </c>
      <c r="J959" s="118" t="e">
        <f t="shared" ca="1" si="161"/>
        <v>#REF!</v>
      </c>
      <c r="K959" s="118" t="e">
        <f t="shared" ca="1" si="162"/>
        <v>#REF!</v>
      </c>
      <c r="L959" s="118" t="e">
        <f t="shared" ca="1" si="163"/>
        <v>#REF!</v>
      </c>
      <c r="M959" s="118" t="e">
        <f t="shared" ca="1" si="164"/>
        <v>#REF!</v>
      </c>
    </row>
    <row r="960" spans="1:13" x14ac:dyDescent="0.25">
      <c r="A960" s="119">
        <v>45413</v>
      </c>
      <c r="B960" s="119">
        <v>45413</v>
      </c>
      <c r="C960" s="118" t="e">
        <f t="shared" ca="1" si="154"/>
        <v>#REF!</v>
      </c>
      <c r="D960" s="118" t="e">
        <f t="shared" ca="1" si="155"/>
        <v>#REF!</v>
      </c>
      <c r="E960" s="118" t="e">
        <f t="shared" ca="1" si="156"/>
        <v>#REF!</v>
      </c>
      <c r="F960" s="118" t="e">
        <f t="shared" ca="1" si="157"/>
        <v>#REF!</v>
      </c>
      <c r="G960" s="118" t="e">
        <f t="shared" ca="1" si="158"/>
        <v>#REF!</v>
      </c>
      <c r="H960" s="118" t="e">
        <f t="shared" ca="1" si="159"/>
        <v>#REF!</v>
      </c>
      <c r="I960" s="118" t="e">
        <f t="shared" ca="1" si="160"/>
        <v>#REF!</v>
      </c>
      <c r="J960" s="118" t="e">
        <f t="shared" ca="1" si="161"/>
        <v>#REF!</v>
      </c>
      <c r="K960" s="118" t="e">
        <f t="shared" ca="1" si="162"/>
        <v>#REF!</v>
      </c>
      <c r="L960" s="118" t="e">
        <f t="shared" ca="1" si="163"/>
        <v>#REF!</v>
      </c>
      <c r="M960" s="118" t="e">
        <f t="shared" ca="1" si="164"/>
        <v>#REF!</v>
      </c>
    </row>
    <row r="961" spans="1:13" x14ac:dyDescent="0.25">
      <c r="A961" s="119">
        <v>45414</v>
      </c>
      <c r="B961" s="119">
        <v>45414</v>
      </c>
      <c r="C961" s="118" t="e">
        <f t="shared" ca="1" si="154"/>
        <v>#REF!</v>
      </c>
      <c r="D961" s="118" t="e">
        <f t="shared" ca="1" si="155"/>
        <v>#REF!</v>
      </c>
      <c r="E961" s="118" t="e">
        <f t="shared" ca="1" si="156"/>
        <v>#REF!</v>
      </c>
      <c r="F961" s="118" t="e">
        <f t="shared" ca="1" si="157"/>
        <v>#REF!</v>
      </c>
      <c r="G961" s="118" t="e">
        <f t="shared" ca="1" si="158"/>
        <v>#REF!</v>
      </c>
      <c r="H961" s="118" t="e">
        <f t="shared" ca="1" si="159"/>
        <v>#REF!</v>
      </c>
      <c r="I961" s="118" t="e">
        <f t="shared" ca="1" si="160"/>
        <v>#REF!</v>
      </c>
      <c r="J961" s="118" t="e">
        <f t="shared" ca="1" si="161"/>
        <v>#REF!</v>
      </c>
      <c r="K961" s="118" t="e">
        <f t="shared" ca="1" si="162"/>
        <v>#REF!</v>
      </c>
      <c r="L961" s="118" t="e">
        <f t="shared" ca="1" si="163"/>
        <v>#REF!</v>
      </c>
      <c r="M961" s="118" t="e">
        <f t="shared" ca="1" si="164"/>
        <v>#REF!</v>
      </c>
    </row>
    <row r="962" spans="1:13" x14ac:dyDescent="0.25">
      <c r="A962" s="119" t="s">
        <v>266</v>
      </c>
      <c r="B962" s="119">
        <v>45415</v>
      </c>
      <c r="C962" s="118" t="e">
        <f t="shared" ca="1" si="154"/>
        <v>#REF!</v>
      </c>
      <c r="D962" s="118" t="e">
        <f t="shared" ca="1" si="155"/>
        <v>#REF!</v>
      </c>
      <c r="E962" s="118" t="e">
        <f t="shared" ca="1" si="156"/>
        <v>#REF!</v>
      </c>
      <c r="F962" s="118" t="e">
        <f t="shared" ca="1" si="157"/>
        <v>#REF!</v>
      </c>
      <c r="G962" s="118" t="e">
        <f t="shared" ca="1" si="158"/>
        <v>#REF!</v>
      </c>
      <c r="H962" s="118" t="e">
        <f t="shared" ca="1" si="159"/>
        <v>#REF!</v>
      </c>
      <c r="I962" s="118" t="e">
        <f t="shared" ca="1" si="160"/>
        <v>#REF!</v>
      </c>
      <c r="J962" s="118" t="e">
        <f t="shared" ca="1" si="161"/>
        <v>#REF!</v>
      </c>
      <c r="K962" s="118" t="e">
        <f t="shared" ca="1" si="162"/>
        <v>#REF!</v>
      </c>
      <c r="L962" s="118" t="e">
        <f t="shared" ca="1" si="163"/>
        <v>#REF!</v>
      </c>
      <c r="M962" s="118" t="e">
        <f t="shared" ca="1" si="164"/>
        <v>#REF!</v>
      </c>
    </row>
    <row r="963" spans="1:13" x14ac:dyDescent="0.25">
      <c r="A963" s="119">
        <v>45416</v>
      </c>
      <c r="B963" s="119">
        <v>45416</v>
      </c>
      <c r="C963" s="118" t="e">
        <f t="shared" ref="C963:C1026" ca="1" si="165">INDIRECT(CONCATENATE("",$A963,"!H10"))</f>
        <v>#REF!</v>
      </c>
      <c r="D963" s="118" t="e">
        <f t="shared" ref="D963:D1026" ca="1" si="166">INDIRECT(CONCATENATE("",$A963,"!H11"))</f>
        <v>#REF!</v>
      </c>
      <c r="E963" s="118" t="e">
        <f t="shared" ref="E963:E1026" ca="1" si="167">INDIRECT(CONCATENATE("",$A963,"!H12"))</f>
        <v>#REF!</v>
      </c>
      <c r="F963" s="118" t="e">
        <f t="shared" ref="F963:F1026" ca="1" si="168">INDIRECT(CONCATENATE("",$A963,"!H13"))</f>
        <v>#REF!</v>
      </c>
      <c r="G963" s="118" t="e">
        <f t="shared" ref="G963:G1026" ca="1" si="169">INDIRECT(CONCATENATE("",$A963,"!H14"))</f>
        <v>#REF!</v>
      </c>
      <c r="H963" s="118" t="e">
        <f t="shared" ref="H963:H1026" ca="1" si="170">INDIRECT(CONCATENATE("",$A963,"!i12"))</f>
        <v>#REF!</v>
      </c>
      <c r="I963" s="118" t="e">
        <f t="shared" ref="I963:I1026" ca="1" si="171">INDIRECT(CONCATENATE("",$A963,"!i13"))</f>
        <v>#REF!</v>
      </c>
      <c r="J963" s="118" t="e">
        <f t="shared" ref="J963:J1026" ca="1" si="172">INDIRECT(CONCATENATE("",$A963,"!i14"))</f>
        <v>#REF!</v>
      </c>
      <c r="K963" s="118" t="e">
        <f t="shared" ref="K963:K1026" ca="1" si="173">INDIRECT(CONCATENATE("",$A963,"!J12"))</f>
        <v>#REF!</v>
      </c>
      <c r="L963" s="118" t="e">
        <f t="shared" ref="L963:L1026" ca="1" si="174">INDIRECT(CONCATENATE("",$A963,"!J13"))</f>
        <v>#REF!</v>
      </c>
      <c r="M963" s="118" t="e">
        <f t="shared" ref="M963:M1026" ca="1" si="175">INDIRECT(CONCATENATE("",$A963,"!J14"))</f>
        <v>#REF!</v>
      </c>
    </row>
    <row r="964" spans="1:13" x14ac:dyDescent="0.25">
      <c r="A964" s="119" t="s">
        <v>282</v>
      </c>
      <c r="B964" s="119">
        <v>45417</v>
      </c>
      <c r="C964" s="118" t="e">
        <f t="shared" ca="1" si="165"/>
        <v>#REF!</v>
      </c>
      <c r="D964" s="118" t="e">
        <f t="shared" ca="1" si="166"/>
        <v>#REF!</v>
      </c>
      <c r="E964" s="118" t="e">
        <f t="shared" ca="1" si="167"/>
        <v>#REF!</v>
      </c>
      <c r="F964" s="118" t="e">
        <f t="shared" ca="1" si="168"/>
        <v>#REF!</v>
      </c>
      <c r="G964" s="118" t="e">
        <f t="shared" ca="1" si="169"/>
        <v>#REF!</v>
      </c>
      <c r="H964" s="118" t="e">
        <f t="shared" ca="1" si="170"/>
        <v>#REF!</v>
      </c>
      <c r="I964" s="118" t="e">
        <f t="shared" ca="1" si="171"/>
        <v>#REF!</v>
      </c>
      <c r="J964" s="118" t="e">
        <f t="shared" ca="1" si="172"/>
        <v>#REF!</v>
      </c>
      <c r="K964" s="118" t="e">
        <f t="shared" ca="1" si="173"/>
        <v>#REF!</v>
      </c>
      <c r="L964" s="118" t="e">
        <f t="shared" ca="1" si="174"/>
        <v>#REF!</v>
      </c>
      <c r="M964" s="118" t="e">
        <f t="shared" ca="1" si="175"/>
        <v>#REF!</v>
      </c>
    </row>
    <row r="965" spans="1:13" x14ac:dyDescent="0.25">
      <c r="A965" s="119">
        <v>45418</v>
      </c>
      <c r="B965" s="119">
        <v>45418</v>
      </c>
      <c r="C965" s="118" t="e">
        <f t="shared" ca="1" si="165"/>
        <v>#REF!</v>
      </c>
      <c r="D965" s="118" t="e">
        <f t="shared" ca="1" si="166"/>
        <v>#REF!</v>
      </c>
      <c r="E965" s="118" t="e">
        <f t="shared" ca="1" si="167"/>
        <v>#REF!</v>
      </c>
      <c r="F965" s="118" t="e">
        <f t="shared" ca="1" si="168"/>
        <v>#REF!</v>
      </c>
      <c r="G965" s="118" t="e">
        <f t="shared" ca="1" si="169"/>
        <v>#REF!</v>
      </c>
      <c r="H965" s="118" t="e">
        <f t="shared" ca="1" si="170"/>
        <v>#REF!</v>
      </c>
      <c r="I965" s="118" t="e">
        <f t="shared" ca="1" si="171"/>
        <v>#REF!</v>
      </c>
      <c r="J965" s="118" t="e">
        <f t="shared" ca="1" si="172"/>
        <v>#REF!</v>
      </c>
      <c r="K965" s="118" t="e">
        <f t="shared" ca="1" si="173"/>
        <v>#REF!</v>
      </c>
      <c r="L965" s="118" t="e">
        <f t="shared" ca="1" si="174"/>
        <v>#REF!</v>
      </c>
      <c r="M965" s="118" t="e">
        <f t="shared" ca="1" si="175"/>
        <v>#REF!</v>
      </c>
    </row>
    <row r="966" spans="1:13" x14ac:dyDescent="0.25">
      <c r="A966" s="119">
        <v>45419</v>
      </c>
      <c r="B966" s="119">
        <v>45419</v>
      </c>
      <c r="C966" s="118" t="e">
        <f t="shared" ca="1" si="165"/>
        <v>#REF!</v>
      </c>
      <c r="D966" s="118" t="e">
        <f t="shared" ca="1" si="166"/>
        <v>#REF!</v>
      </c>
      <c r="E966" s="118" t="e">
        <f t="shared" ca="1" si="167"/>
        <v>#REF!</v>
      </c>
      <c r="F966" s="118" t="e">
        <f t="shared" ca="1" si="168"/>
        <v>#REF!</v>
      </c>
      <c r="G966" s="118" t="e">
        <f t="shared" ca="1" si="169"/>
        <v>#REF!</v>
      </c>
      <c r="H966" s="118" t="e">
        <f t="shared" ca="1" si="170"/>
        <v>#REF!</v>
      </c>
      <c r="I966" s="118" t="e">
        <f t="shared" ca="1" si="171"/>
        <v>#REF!</v>
      </c>
      <c r="J966" s="118" t="e">
        <f t="shared" ca="1" si="172"/>
        <v>#REF!</v>
      </c>
      <c r="K966" s="118" t="e">
        <f t="shared" ca="1" si="173"/>
        <v>#REF!</v>
      </c>
      <c r="L966" s="118" t="e">
        <f t="shared" ca="1" si="174"/>
        <v>#REF!</v>
      </c>
      <c r="M966" s="118" t="e">
        <f t="shared" ca="1" si="175"/>
        <v>#REF!</v>
      </c>
    </row>
    <row r="967" spans="1:13" x14ac:dyDescent="0.25">
      <c r="A967" s="119">
        <v>45420</v>
      </c>
      <c r="B967" s="119">
        <v>45420</v>
      </c>
      <c r="C967" s="118" t="e">
        <f t="shared" ca="1" si="165"/>
        <v>#REF!</v>
      </c>
      <c r="D967" s="118" t="e">
        <f t="shared" ca="1" si="166"/>
        <v>#REF!</v>
      </c>
      <c r="E967" s="118" t="e">
        <f t="shared" ca="1" si="167"/>
        <v>#REF!</v>
      </c>
      <c r="F967" s="118" t="e">
        <f t="shared" ca="1" si="168"/>
        <v>#REF!</v>
      </c>
      <c r="G967" s="118" t="e">
        <f t="shared" ca="1" si="169"/>
        <v>#REF!</v>
      </c>
      <c r="H967" s="118" t="e">
        <f t="shared" ca="1" si="170"/>
        <v>#REF!</v>
      </c>
      <c r="I967" s="118" t="e">
        <f t="shared" ca="1" si="171"/>
        <v>#REF!</v>
      </c>
      <c r="J967" s="118" t="e">
        <f t="shared" ca="1" si="172"/>
        <v>#REF!</v>
      </c>
      <c r="K967" s="118" t="e">
        <f t="shared" ca="1" si="173"/>
        <v>#REF!</v>
      </c>
      <c r="L967" s="118" t="e">
        <f t="shared" ca="1" si="174"/>
        <v>#REF!</v>
      </c>
      <c r="M967" s="118" t="e">
        <f t="shared" ca="1" si="175"/>
        <v>#REF!</v>
      </c>
    </row>
    <row r="968" spans="1:13" x14ac:dyDescent="0.25">
      <c r="A968" s="119">
        <v>45421</v>
      </c>
      <c r="B968" s="119">
        <v>45421</v>
      </c>
      <c r="C968" s="118" t="e">
        <f t="shared" ca="1" si="165"/>
        <v>#REF!</v>
      </c>
      <c r="D968" s="118" t="e">
        <f t="shared" ca="1" si="166"/>
        <v>#REF!</v>
      </c>
      <c r="E968" s="118" t="e">
        <f t="shared" ca="1" si="167"/>
        <v>#REF!</v>
      </c>
      <c r="F968" s="118" t="e">
        <f t="shared" ca="1" si="168"/>
        <v>#REF!</v>
      </c>
      <c r="G968" s="118" t="e">
        <f t="shared" ca="1" si="169"/>
        <v>#REF!</v>
      </c>
      <c r="H968" s="118" t="e">
        <f t="shared" ca="1" si="170"/>
        <v>#REF!</v>
      </c>
      <c r="I968" s="118" t="e">
        <f t="shared" ca="1" si="171"/>
        <v>#REF!</v>
      </c>
      <c r="J968" s="118" t="e">
        <f t="shared" ca="1" si="172"/>
        <v>#REF!</v>
      </c>
      <c r="K968" s="118" t="e">
        <f t="shared" ca="1" si="173"/>
        <v>#REF!</v>
      </c>
      <c r="L968" s="118" t="e">
        <f t="shared" ca="1" si="174"/>
        <v>#REF!</v>
      </c>
      <c r="M968" s="118" t="e">
        <f t="shared" ca="1" si="175"/>
        <v>#REF!</v>
      </c>
    </row>
    <row r="969" spans="1:13" x14ac:dyDescent="0.25">
      <c r="A969" s="119" t="s">
        <v>267</v>
      </c>
      <c r="B969" s="119">
        <v>45422</v>
      </c>
      <c r="C969" s="118" t="e">
        <f t="shared" ca="1" si="165"/>
        <v>#REF!</v>
      </c>
      <c r="D969" s="118" t="e">
        <f t="shared" ca="1" si="166"/>
        <v>#REF!</v>
      </c>
      <c r="E969" s="118" t="e">
        <f t="shared" ca="1" si="167"/>
        <v>#REF!</v>
      </c>
      <c r="F969" s="118" t="e">
        <f t="shared" ca="1" si="168"/>
        <v>#REF!</v>
      </c>
      <c r="G969" s="118" t="e">
        <f t="shared" ca="1" si="169"/>
        <v>#REF!</v>
      </c>
      <c r="H969" s="118" t="e">
        <f t="shared" ca="1" si="170"/>
        <v>#REF!</v>
      </c>
      <c r="I969" s="118" t="e">
        <f t="shared" ca="1" si="171"/>
        <v>#REF!</v>
      </c>
      <c r="J969" s="118" t="e">
        <f t="shared" ca="1" si="172"/>
        <v>#REF!</v>
      </c>
      <c r="K969" s="118" t="e">
        <f t="shared" ca="1" si="173"/>
        <v>#REF!</v>
      </c>
      <c r="L969" s="118" t="e">
        <f t="shared" ca="1" si="174"/>
        <v>#REF!</v>
      </c>
      <c r="M969" s="118" t="e">
        <f t="shared" ca="1" si="175"/>
        <v>#REF!</v>
      </c>
    </row>
    <row r="970" spans="1:13" x14ac:dyDescent="0.25">
      <c r="A970" s="119">
        <v>45423</v>
      </c>
      <c r="B970" s="119">
        <v>45423</v>
      </c>
      <c r="C970" s="118" t="e">
        <f t="shared" ca="1" si="165"/>
        <v>#REF!</v>
      </c>
      <c r="D970" s="118" t="e">
        <f t="shared" ca="1" si="166"/>
        <v>#REF!</v>
      </c>
      <c r="E970" s="118" t="e">
        <f t="shared" ca="1" si="167"/>
        <v>#REF!</v>
      </c>
      <c r="F970" s="118" t="e">
        <f t="shared" ca="1" si="168"/>
        <v>#REF!</v>
      </c>
      <c r="G970" s="118" t="e">
        <f t="shared" ca="1" si="169"/>
        <v>#REF!</v>
      </c>
      <c r="H970" s="118" t="e">
        <f t="shared" ca="1" si="170"/>
        <v>#REF!</v>
      </c>
      <c r="I970" s="118" t="e">
        <f t="shared" ca="1" si="171"/>
        <v>#REF!</v>
      </c>
      <c r="J970" s="118" t="e">
        <f t="shared" ca="1" si="172"/>
        <v>#REF!</v>
      </c>
      <c r="K970" s="118" t="e">
        <f t="shared" ca="1" si="173"/>
        <v>#REF!</v>
      </c>
      <c r="L970" s="118" t="e">
        <f t="shared" ca="1" si="174"/>
        <v>#REF!</v>
      </c>
      <c r="M970" s="118" t="e">
        <f t="shared" ca="1" si="175"/>
        <v>#REF!</v>
      </c>
    </row>
    <row r="971" spans="1:13" x14ac:dyDescent="0.25">
      <c r="A971" s="119">
        <v>45424</v>
      </c>
      <c r="B971" s="119">
        <v>45424</v>
      </c>
      <c r="C971" s="118" t="e">
        <f t="shared" ca="1" si="165"/>
        <v>#REF!</v>
      </c>
      <c r="D971" s="118" t="e">
        <f t="shared" ca="1" si="166"/>
        <v>#REF!</v>
      </c>
      <c r="E971" s="118" t="e">
        <f t="shared" ca="1" si="167"/>
        <v>#REF!</v>
      </c>
      <c r="F971" s="118" t="e">
        <f t="shared" ca="1" si="168"/>
        <v>#REF!</v>
      </c>
      <c r="G971" s="118" t="e">
        <f t="shared" ca="1" si="169"/>
        <v>#REF!</v>
      </c>
      <c r="H971" s="118" t="e">
        <f t="shared" ca="1" si="170"/>
        <v>#REF!</v>
      </c>
      <c r="I971" s="118" t="e">
        <f t="shared" ca="1" si="171"/>
        <v>#REF!</v>
      </c>
      <c r="J971" s="118" t="e">
        <f t="shared" ca="1" si="172"/>
        <v>#REF!</v>
      </c>
      <c r="K971" s="118" t="e">
        <f t="shared" ca="1" si="173"/>
        <v>#REF!</v>
      </c>
      <c r="L971" s="118" t="e">
        <f t="shared" ca="1" si="174"/>
        <v>#REF!</v>
      </c>
      <c r="M971" s="118" t="e">
        <f t="shared" ca="1" si="175"/>
        <v>#REF!</v>
      </c>
    </row>
    <row r="972" spans="1:13" x14ac:dyDescent="0.25">
      <c r="A972" s="119">
        <v>45425</v>
      </c>
      <c r="B972" s="119">
        <v>45425</v>
      </c>
      <c r="C972" s="118" t="e">
        <f t="shared" ca="1" si="165"/>
        <v>#REF!</v>
      </c>
      <c r="D972" s="118" t="e">
        <f t="shared" ca="1" si="166"/>
        <v>#REF!</v>
      </c>
      <c r="E972" s="118" t="e">
        <f t="shared" ca="1" si="167"/>
        <v>#REF!</v>
      </c>
      <c r="F972" s="118" t="e">
        <f t="shared" ca="1" si="168"/>
        <v>#REF!</v>
      </c>
      <c r="G972" s="118" t="e">
        <f t="shared" ca="1" si="169"/>
        <v>#REF!</v>
      </c>
      <c r="H972" s="118" t="e">
        <f t="shared" ca="1" si="170"/>
        <v>#REF!</v>
      </c>
      <c r="I972" s="118" t="e">
        <f t="shared" ca="1" si="171"/>
        <v>#REF!</v>
      </c>
      <c r="J972" s="118" t="e">
        <f t="shared" ca="1" si="172"/>
        <v>#REF!</v>
      </c>
      <c r="K972" s="118" t="e">
        <f t="shared" ca="1" si="173"/>
        <v>#REF!</v>
      </c>
      <c r="L972" s="118" t="e">
        <f t="shared" ca="1" si="174"/>
        <v>#REF!</v>
      </c>
      <c r="M972" s="118" t="e">
        <f t="shared" ca="1" si="175"/>
        <v>#REF!</v>
      </c>
    </row>
    <row r="973" spans="1:13" x14ac:dyDescent="0.25">
      <c r="A973" s="119">
        <v>45426</v>
      </c>
      <c r="B973" s="119">
        <v>45426</v>
      </c>
      <c r="C973" s="118" t="e">
        <f t="shared" ca="1" si="165"/>
        <v>#REF!</v>
      </c>
      <c r="D973" s="118" t="e">
        <f t="shared" ca="1" si="166"/>
        <v>#REF!</v>
      </c>
      <c r="E973" s="118" t="e">
        <f t="shared" ca="1" si="167"/>
        <v>#REF!</v>
      </c>
      <c r="F973" s="118" t="e">
        <f t="shared" ca="1" si="168"/>
        <v>#REF!</v>
      </c>
      <c r="G973" s="118" t="e">
        <f t="shared" ca="1" si="169"/>
        <v>#REF!</v>
      </c>
      <c r="H973" s="118" t="e">
        <f t="shared" ca="1" si="170"/>
        <v>#REF!</v>
      </c>
      <c r="I973" s="118" t="e">
        <f t="shared" ca="1" si="171"/>
        <v>#REF!</v>
      </c>
      <c r="J973" s="118" t="e">
        <f t="shared" ca="1" si="172"/>
        <v>#REF!</v>
      </c>
      <c r="K973" s="118" t="e">
        <f t="shared" ca="1" si="173"/>
        <v>#REF!</v>
      </c>
      <c r="L973" s="118" t="e">
        <f t="shared" ca="1" si="174"/>
        <v>#REF!</v>
      </c>
      <c r="M973" s="118" t="e">
        <f t="shared" ca="1" si="175"/>
        <v>#REF!</v>
      </c>
    </row>
    <row r="974" spans="1:13" x14ac:dyDescent="0.25">
      <c r="A974" s="119" t="s">
        <v>268</v>
      </c>
      <c r="B974" s="119">
        <v>45427</v>
      </c>
      <c r="C974" s="118" t="e">
        <f t="shared" ca="1" si="165"/>
        <v>#REF!</v>
      </c>
      <c r="D974" s="118" t="e">
        <f t="shared" ca="1" si="166"/>
        <v>#REF!</v>
      </c>
      <c r="E974" s="118" t="e">
        <f t="shared" ca="1" si="167"/>
        <v>#REF!</v>
      </c>
      <c r="F974" s="118" t="e">
        <f t="shared" ca="1" si="168"/>
        <v>#REF!</v>
      </c>
      <c r="G974" s="118" t="e">
        <f t="shared" ca="1" si="169"/>
        <v>#REF!</v>
      </c>
      <c r="H974" s="118" t="e">
        <f t="shared" ca="1" si="170"/>
        <v>#REF!</v>
      </c>
      <c r="I974" s="118" t="e">
        <f t="shared" ca="1" si="171"/>
        <v>#REF!</v>
      </c>
      <c r="J974" s="118" t="e">
        <f t="shared" ca="1" si="172"/>
        <v>#REF!</v>
      </c>
      <c r="K974" s="118" t="e">
        <f t="shared" ca="1" si="173"/>
        <v>#REF!</v>
      </c>
      <c r="L974" s="118" t="e">
        <f t="shared" ca="1" si="174"/>
        <v>#REF!</v>
      </c>
      <c r="M974" s="118" t="e">
        <f t="shared" ca="1" si="175"/>
        <v>#REF!</v>
      </c>
    </row>
    <row r="975" spans="1:13" x14ac:dyDescent="0.25">
      <c r="A975" s="119">
        <v>45428</v>
      </c>
      <c r="B975" s="119">
        <v>45428</v>
      </c>
      <c r="C975" s="118" t="e">
        <f t="shared" ca="1" si="165"/>
        <v>#REF!</v>
      </c>
      <c r="D975" s="118" t="e">
        <f t="shared" ca="1" si="166"/>
        <v>#REF!</v>
      </c>
      <c r="E975" s="118" t="e">
        <f t="shared" ca="1" si="167"/>
        <v>#REF!</v>
      </c>
      <c r="F975" s="118" t="e">
        <f t="shared" ca="1" si="168"/>
        <v>#REF!</v>
      </c>
      <c r="G975" s="118" t="e">
        <f t="shared" ca="1" si="169"/>
        <v>#REF!</v>
      </c>
      <c r="H975" s="118" t="e">
        <f t="shared" ca="1" si="170"/>
        <v>#REF!</v>
      </c>
      <c r="I975" s="118" t="e">
        <f t="shared" ca="1" si="171"/>
        <v>#REF!</v>
      </c>
      <c r="J975" s="118" t="e">
        <f t="shared" ca="1" si="172"/>
        <v>#REF!</v>
      </c>
      <c r="K975" s="118" t="e">
        <f t="shared" ca="1" si="173"/>
        <v>#REF!</v>
      </c>
      <c r="L975" s="118" t="e">
        <f t="shared" ca="1" si="174"/>
        <v>#REF!</v>
      </c>
      <c r="M975" s="118" t="e">
        <f t="shared" ca="1" si="175"/>
        <v>#REF!</v>
      </c>
    </row>
    <row r="976" spans="1:13" x14ac:dyDescent="0.25">
      <c r="A976" s="119">
        <v>45429</v>
      </c>
      <c r="B976" s="119">
        <v>45429</v>
      </c>
      <c r="C976" s="118" t="e">
        <f t="shared" ca="1" si="165"/>
        <v>#REF!</v>
      </c>
      <c r="D976" s="118" t="e">
        <f t="shared" ca="1" si="166"/>
        <v>#REF!</v>
      </c>
      <c r="E976" s="118" t="e">
        <f t="shared" ca="1" si="167"/>
        <v>#REF!</v>
      </c>
      <c r="F976" s="118" t="e">
        <f t="shared" ca="1" si="168"/>
        <v>#REF!</v>
      </c>
      <c r="G976" s="118" t="e">
        <f t="shared" ca="1" si="169"/>
        <v>#REF!</v>
      </c>
      <c r="H976" s="118" t="e">
        <f t="shared" ca="1" si="170"/>
        <v>#REF!</v>
      </c>
      <c r="I976" s="118" t="e">
        <f t="shared" ca="1" si="171"/>
        <v>#REF!</v>
      </c>
      <c r="J976" s="118" t="e">
        <f t="shared" ca="1" si="172"/>
        <v>#REF!</v>
      </c>
      <c r="K976" s="118" t="e">
        <f t="shared" ca="1" si="173"/>
        <v>#REF!</v>
      </c>
      <c r="L976" s="118" t="e">
        <f t="shared" ca="1" si="174"/>
        <v>#REF!</v>
      </c>
      <c r="M976" s="118" t="e">
        <f t="shared" ca="1" si="175"/>
        <v>#REF!</v>
      </c>
    </row>
    <row r="977" spans="1:13" x14ac:dyDescent="0.25">
      <c r="A977" s="119">
        <v>45430</v>
      </c>
      <c r="B977" s="119">
        <v>45430</v>
      </c>
      <c r="C977" s="118" t="e">
        <f t="shared" ca="1" si="165"/>
        <v>#REF!</v>
      </c>
      <c r="D977" s="118" t="e">
        <f t="shared" ca="1" si="166"/>
        <v>#REF!</v>
      </c>
      <c r="E977" s="118" t="e">
        <f t="shared" ca="1" si="167"/>
        <v>#REF!</v>
      </c>
      <c r="F977" s="118" t="e">
        <f t="shared" ca="1" si="168"/>
        <v>#REF!</v>
      </c>
      <c r="G977" s="118" t="e">
        <f t="shared" ca="1" si="169"/>
        <v>#REF!</v>
      </c>
      <c r="H977" s="118" t="e">
        <f t="shared" ca="1" si="170"/>
        <v>#REF!</v>
      </c>
      <c r="I977" s="118" t="e">
        <f t="shared" ca="1" si="171"/>
        <v>#REF!</v>
      </c>
      <c r="J977" s="118" t="e">
        <f t="shared" ca="1" si="172"/>
        <v>#REF!</v>
      </c>
      <c r="K977" s="118" t="e">
        <f t="shared" ca="1" si="173"/>
        <v>#REF!</v>
      </c>
      <c r="L977" s="118" t="e">
        <f t="shared" ca="1" si="174"/>
        <v>#REF!</v>
      </c>
      <c r="M977" s="118" t="e">
        <f t="shared" ca="1" si="175"/>
        <v>#REF!</v>
      </c>
    </row>
    <row r="978" spans="1:13" x14ac:dyDescent="0.25">
      <c r="A978" s="119">
        <v>45431</v>
      </c>
      <c r="B978" s="119">
        <v>45431</v>
      </c>
      <c r="C978" s="118" t="e">
        <f t="shared" ca="1" si="165"/>
        <v>#REF!</v>
      </c>
      <c r="D978" s="118" t="e">
        <f t="shared" ca="1" si="166"/>
        <v>#REF!</v>
      </c>
      <c r="E978" s="118" t="e">
        <f t="shared" ca="1" si="167"/>
        <v>#REF!</v>
      </c>
      <c r="F978" s="118" t="e">
        <f t="shared" ca="1" si="168"/>
        <v>#REF!</v>
      </c>
      <c r="G978" s="118" t="e">
        <f t="shared" ca="1" si="169"/>
        <v>#REF!</v>
      </c>
      <c r="H978" s="118" t="e">
        <f t="shared" ca="1" si="170"/>
        <v>#REF!</v>
      </c>
      <c r="I978" s="118" t="e">
        <f t="shared" ca="1" si="171"/>
        <v>#REF!</v>
      </c>
      <c r="J978" s="118" t="e">
        <f t="shared" ca="1" si="172"/>
        <v>#REF!</v>
      </c>
      <c r="K978" s="118" t="e">
        <f t="shared" ca="1" si="173"/>
        <v>#REF!</v>
      </c>
      <c r="L978" s="118" t="e">
        <f t="shared" ca="1" si="174"/>
        <v>#REF!</v>
      </c>
      <c r="M978" s="118" t="e">
        <f t="shared" ca="1" si="175"/>
        <v>#REF!</v>
      </c>
    </row>
    <row r="979" spans="1:13" x14ac:dyDescent="0.25">
      <c r="A979" s="119">
        <v>45432</v>
      </c>
      <c r="B979" s="119">
        <v>45432</v>
      </c>
      <c r="C979" s="118" t="e">
        <f t="shared" ca="1" si="165"/>
        <v>#REF!</v>
      </c>
      <c r="D979" s="118" t="e">
        <f t="shared" ca="1" si="166"/>
        <v>#REF!</v>
      </c>
      <c r="E979" s="118" t="e">
        <f t="shared" ca="1" si="167"/>
        <v>#REF!</v>
      </c>
      <c r="F979" s="118" t="e">
        <f t="shared" ca="1" si="168"/>
        <v>#REF!</v>
      </c>
      <c r="G979" s="118" t="e">
        <f t="shared" ca="1" si="169"/>
        <v>#REF!</v>
      </c>
      <c r="H979" s="118" t="e">
        <f t="shared" ca="1" si="170"/>
        <v>#REF!</v>
      </c>
      <c r="I979" s="118" t="e">
        <f t="shared" ca="1" si="171"/>
        <v>#REF!</v>
      </c>
      <c r="J979" s="118" t="e">
        <f t="shared" ca="1" si="172"/>
        <v>#REF!</v>
      </c>
      <c r="K979" s="118" t="e">
        <f t="shared" ca="1" si="173"/>
        <v>#REF!</v>
      </c>
      <c r="L979" s="118" t="e">
        <f t="shared" ca="1" si="174"/>
        <v>#REF!</v>
      </c>
      <c r="M979" s="118" t="e">
        <f t="shared" ca="1" si="175"/>
        <v>#REF!</v>
      </c>
    </row>
    <row r="980" spans="1:13" x14ac:dyDescent="0.25">
      <c r="A980" s="119" t="s">
        <v>269</v>
      </c>
      <c r="B980" s="119">
        <v>45433</v>
      </c>
      <c r="C980" s="118">
        <f t="shared" ca="1" si="165"/>
        <v>3.7999407189260097</v>
      </c>
      <c r="D980" s="118">
        <f t="shared" ca="1" si="166"/>
        <v>0.17699999999999999</v>
      </c>
      <c r="E980" s="118">
        <f t="shared" ca="1" si="167"/>
        <v>25.953079178885631</v>
      </c>
      <c r="F980" s="118">
        <f t="shared" ca="1" si="168"/>
        <v>28.97188287046578</v>
      </c>
      <c r="G980" s="118">
        <f t="shared" ca="1" si="169"/>
        <v>580.00000000000273</v>
      </c>
      <c r="H980" s="118">
        <f t="shared" ca="1" si="170"/>
        <v>32.741633515543377</v>
      </c>
      <c r="I980" s="118">
        <f t="shared" ca="1" si="171"/>
        <v>29.734925689014489</v>
      </c>
      <c r="J980" s="118">
        <f t="shared" ca="1" si="172"/>
        <v>334.99999999999642</v>
      </c>
      <c r="K980" s="118">
        <f t="shared" ca="1" si="173"/>
        <v>23.620471108633257</v>
      </c>
      <c r="L980" s="118">
        <f t="shared" ca="1" si="174"/>
        <v>32.889427083420557</v>
      </c>
      <c r="M980" s="118">
        <f t="shared" ca="1" si="175"/>
        <v>834.99999999999682</v>
      </c>
    </row>
    <row r="981" spans="1:13" x14ac:dyDescent="0.25">
      <c r="A981" s="119">
        <v>45434</v>
      </c>
      <c r="B981" s="119">
        <v>45434</v>
      </c>
      <c r="C981" s="118" t="e">
        <f t="shared" ca="1" si="165"/>
        <v>#REF!</v>
      </c>
      <c r="D981" s="118" t="e">
        <f t="shared" ca="1" si="166"/>
        <v>#REF!</v>
      </c>
      <c r="E981" s="118" t="e">
        <f t="shared" ca="1" si="167"/>
        <v>#REF!</v>
      </c>
      <c r="F981" s="118" t="e">
        <f t="shared" ca="1" si="168"/>
        <v>#REF!</v>
      </c>
      <c r="G981" s="118" t="e">
        <f t="shared" ca="1" si="169"/>
        <v>#REF!</v>
      </c>
      <c r="H981" s="118" t="e">
        <f t="shared" ca="1" si="170"/>
        <v>#REF!</v>
      </c>
      <c r="I981" s="118" t="e">
        <f t="shared" ca="1" si="171"/>
        <v>#REF!</v>
      </c>
      <c r="J981" s="118" t="e">
        <f t="shared" ca="1" si="172"/>
        <v>#REF!</v>
      </c>
      <c r="K981" s="118" t="e">
        <f t="shared" ca="1" si="173"/>
        <v>#REF!</v>
      </c>
      <c r="L981" s="118" t="e">
        <f t="shared" ca="1" si="174"/>
        <v>#REF!</v>
      </c>
      <c r="M981" s="118" t="e">
        <f t="shared" ca="1" si="175"/>
        <v>#REF!</v>
      </c>
    </row>
    <row r="982" spans="1:13" x14ac:dyDescent="0.25">
      <c r="A982" s="119">
        <v>45435</v>
      </c>
      <c r="B982" s="119">
        <v>45435</v>
      </c>
      <c r="C982" s="118" t="e">
        <f t="shared" ca="1" si="165"/>
        <v>#REF!</v>
      </c>
      <c r="D982" s="118" t="e">
        <f t="shared" ca="1" si="166"/>
        <v>#REF!</v>
      </c>
      <c r="E982" s="118" t="e">
        <f t="shared" ca="1" si="167"/>
        <v>#REF!</v>
      </c>
      <c r="F982" s="118" t="e">
        <f t="shared" ca="1" si="168"/>
        <v>#REF!</v>
      </c>
      <c r="G982" s="118" t="e">
        <f t="shared" ca="1" si="169"/>
        <v>#REF!</v>
      </c>
      <c r="H982" s="118" t="e">
        <f t="shared" ca="1" si="170"/>
        <v>#REF!</v>
      </c>
      <c r="I982" s="118" t="e">
        <f t="shared" ca="1" si="171"/>
        <v>#REF!</v>
      </c>
      <c r="J982" s="118" t="e">
        <f t="shared" ca="1" si="172"/>
        <v>#REF!</v>
      </c>
      <c r="K982" s="118" t="e">
        <f t="shared" ca="1" si="173"/>
        <v>#REF!</v>
      </c>
      <c r="L982" s="118" t="e">
        <f t="shared" ca="1" si="174"/>
        <v>#REF!</v>
      </c>
      <c r="M982" s="118" t="e">
        <f t="shared" ca="1" si="175"/>
        <v>#REF!</v>
      </c>
    </row>
    <row r="983" spans="1:13" x14ac:dyDescent="0.25">
      <c r="A983" s="119">
        <v>45436</v>
      </c>
      <c r="B983" s="119">
        <v>45436</v>
      </c>
      <c r="C983" s="118" t="e">
        <f t="shared" ca="1" si="165"/>
        <v>#REF!</v>
      </c>
      <c r="D983" s="118" t="e">
        <f t="shared" ca="1" si="166"/>
        <v>#REF!</v>
      </c>
      <c r="E983" s="118" t="e">
        <f t="shared" ca="1" si="167"/>
        <v>#REF!</v>
      </c>
      <c r="F983" s="118" t="e">
        <f t="shared" ca="1" si="168"/>
        <v>#REF!</v>
      </c>
      <c r="G983" s="118" t="e">
        <f t="shared" ca="1" si="169"/>
        <v>#REF!</v>
      </c>
      <c r="H983" s="118" t="e">
        <f t="shared" ca="1" si="170"/>
        <v>#REF!</v>
      </c>
      <c r="I983" s="118" t="e">
        <f t="shared" ca="1" si="171"/>
        <v>#REF!</v>
      </c>
      <c r="J983" s="118" t="e">
        <f t="shared" ca="1" si="172"/>
        <v>#REF!</v>
      </c>
      <c r="K983" s="118" t="e">
        <f t="shared" ca="1" si="173"/>
        <v>#REF!</v>
      </c>
      <c r="L983" s="118" t="e">
        <f t="shared" ca="1" si="174"/>
        <v>#REF!</v>
      </c>
      <c r="M983" s="118" t="e">
        <f t="shared" ca="1" si="175"/>
        <v>#REF!</v>
      </c>
    </row>
    <row r="984" spans="1:13" x14ac:dyDescent="0.25">
      <c r="A984" s="119">
        <v>45437</v>
      </c>
      <c r="B984" s="119">
        <v>45437</v>
      </c>
      <c r="C984" s="118" t="e">
        <f t="shared" ca="1" si="165"/>
        <v>#REF!</v>
      </c>
      <c r="D984" s="118" t="e">
        <f t="shared" ca="1" si="166"/>
        <v>#REF!</v>
      </c>
      <c r="E984" s="118" t="e">
        <f t="shared" ca="1" si="167"/>
        <v>#REF!</v>
      </c>
      <c r="F984" s="118" t="e">
        <f t="shared" ca="1" si="168"/>
        <v>#REF!</v>
      </c>
      <c r="G984" s="118" t="e">
        <f t="shared" ca="1" si="169"/>
        <v>#REF!</v>
      </c>
      <c r="H984" s="118" t="e">
        <f t="shared" ca="1" si="170"/>
        <v>#REF!</v>
      </c>
      <c r="I984" s="118" t="e">
        <f t="shared" ca="1" si="171"/>
        <v>#REF!</v>
      </c>
      <c r="J984" s="118" t="e">
        <f t="shared" ca="1" si="172"/>
        <v>#REF!</v>
      </c>
      <c r="K984" s="118" t="e">
        <f t="shared" ca="1" si="173"/>
        <v>#REF!</v>
      </c>
      <c r="L984" s="118" t="e">
        <f t="shared" ca="1" si="174"/>
        <v>#REF!</v>
      </c>
      <c r="M984" s="118" t="e">
        <f t="shared" ca="1" si="175"/>
        <v>#REF!</v>
      </c>
    </row>
    <row r="985" spans="1:13" x14ac:dyDescent="0.25">
      <c r="A985" s="119">
        <v>45438</v>
      </c>
      <c r="B985" s="119">
        <v>45438</v>
      </c>
      <c r="C985" s="118" t="e">
        <f t="shared" ca="1" si="165"/>
        <v>#REF!</v>
      </c>
      <c r="D985" s="118" t="e">
        <f t="shared" ca="1" si="166"/>
        <v>#REF!</v>
      </c>
      <c r="E985" s="118" t="e">
        <f t="shared" ca="1" si="167"/>
        <v>#REF!</v>
      </c>
      <c r="F985" s="118" t="e">
        <f t="shared" ca="1" si="168"/>
        <v>#REF!</v>
      </c>
      <c r="G985" s="118" t="e">
        <f t="shared" ca="1" si="169"/>
        <v>#REF!</v>
      </c>
      <c r="H985" s="118" t="e">
        <f t="shared" ca="1" si="170"/>
        <v>#REF!</v>
      </c>
      <c r="I985" s="118" t="e">
        <f t="shared" ca="1" si="171"/>
        <v>#REF!</v>
      </c>
      <c r="J985" s="118" t="e">
        <f t="shared" ca="1" si="172"/>
        <v>#REF!</v>
      </c>
      <c r="K985" s="118" t="e">
        <f t="shared" ca="1" si="173"/>
        <v>#REF!</v>
      </c>
      <c r="L985" s="118" t="e">
        <f t="shared" ca="1" si="174"/>
        <v>#REF!</v>
      </c>
      <c r="M985" s="118" t="e">
        <f t="shared" ca="1" si="175"/>
        <v>#REF!</v>
      </c>
    </row>
    <row r="986" spans="1:13" x14ac:dyDescent="0.25">
      <c r="A986" s="119">
        <v>45439</v>
      </c>
      <c r="B986" s="119">
        <v>45439</v>
      </c>
      <c r="C986" s="118" t="e">
        <f t="shared" ca="1" si="165"/>
        <v>#REF!</v>
      </c>
      <c r="D986" s="118" t="e">
        <f t="shared" ca="1" si="166"/>
        <v>#REF!</v>
      </c>
      <c r="E986" s="118" t="e">
        <f t="shared" ca="1" si="167"/>
        <v>#REF!</v>
      </c>
      <c r="F986" s="118" t="e">
        <f t="shared" ca="1" si="168"/>
        <v>#REF!</v>
      </c>
      <c r="G986" s="118" t="e">
        <f t="shared" ca="1" si="169"/>
        <v>#REF!</v>
      </c>
      <c r="H986" s="118" t="e">
        <f t="shared" ca="1" si="170"/>
        <v>#REF!</v>
      </c>
      <c r="I986" s="118" t="e">
        <f t="shared" ca="1" si="171"/>
        <v>#REF!</v>
      </c>
      <c r="J986" s="118" t="e">
        <f t="shared" ca="1" si="172"/>
        <v>#REF!</v>
      </c>
      <c r="K986" s="118" t="e">
        <f t="shared" ca="1" si="173"/>
        <v>#REF!</v>
      </c>
      <c r="L986" s="118" t="e">
        <f t="shared" ca="1" si="174"/>
        <v>#REF!</v>
      </c>
      <c r="M986" s="118" t="e">
        <f t="shared" ca="1" si="175"/>
        <v>#REF!</v>
      </c>
    </row>
    <row r="987" spans="1:13" x14ac:dyDescent="0.25">
      <c r="A987" s="119" t="s">
        <v>270</v>
      </c>
      <c r="B987" s="119">
        <v>45440</v>
      </c>
      <c r="C987" s="118">
        <f t="shared" ca="1" si="165"/>
        <v>3.5084598678429519</v>
      </c>
      <c r="D987" s="118">
        <f t="shared" ca="1" si="166"/>
        <v>0.16500000000000001</v>
      </c>
      <c r="E987" s="118">
        <f t="shared" ca="1" si="167"/>
        <v>21.710865011419774</v>
      </c>
      <c r="F987" s="118">
        <f t="shared" ca="1" si="168"/>
        <v>28.667686781903466</v>
      </c>
      <c r="G987" s="118">
        <f t="shared" ca="1" si="169"/>
        <v>600.00000000000045</v>
      </c>
      <c r="H987" s="118">
        <f t="shared" ca="1" si="170"/>
        <v>26.603128665134808</v>
      </c>
      <c r="I987" s="118">
        <f t="shared" ca="1" si="171"/>
        <v>26.087428899711739</v>
      </c>
      <c r="J987" s="118">
        <f t="shared" ca="1" si="172"/>
        <v>809.99999999999966</v>
      </c>
      <c r="K987" s="118">
        <f t="shared" ca="1" si="173"/>
        <v>23.899659713224764</v>
      </c>
      <c r="L987" s="118">
        <f t="shared" ca="1" si="174"/>
        <v>29.747240591983005</v>
      </c>
      <c r="M987" s="118">
        <f t="shared" ca="1" si="175"/>
        <v>705.00000000001114</v>
      </c>
    </row>
    <row r="988" spans="1:13" x14ac:dyDescent="0.25">
      <c r="A988" s="119">
        <v>45441</v>
      </c>
      <c r="B988" s="119">
        <v>45441</v>
      </c>
      <c r="C988" s="118" t="e">
        <f t="shared" ca="1" si="165"/>
        <v>#REF!</v>
      </c>
      <c r="D988" s="118" t="e">
        <f t="shared" ca="1" si="166"/>
        <v>#REF!</v>
      </c>
      <c r="E988" s="118" t="e">
        <f t="shared" ca="1" si="167"/>
        <v>#REF!</v>
      </c>
      <c r="F988" s="118" t="e">
        <f t="shared" ca="1" si="168"/>
        <v>#REF!</v>
      </c>
      <c r="G988" s="118" t="e">
        <f t="shared" ca="1" si="169"/>
        <v>#REF!</v>
      </c>
      <c r="H988" s="118" t="e">
        <f t="shared" ca="1" si="170"/>
        <v>#REF!</v>
      </c>
      <c r="I988" s="118" t="e">
        <f t="shared" ca="1" si="171"/>
        <v>#REF!</v>
      </c>
      <c r="J988" s="118" t="e">
        <f t="shared" ca="1" si="172"/>
        <v>#REF!</v>
      </c>
      <c r="K988" s="118" t="e">
        <f t="shared" ca="1" si="173"/>
        <v>#REF!</v>
      </c>
      <c r="L988" s="118" t="e">
        <f t="shared" ca="1" si="174"/>
        <v>#REF!</v>
      </c>
      <c r="M988" s="118" t="e">
        <f t="shared" ca="1" si="175"/>
        <v>#REF!</v>
      </c>
    </row>
    <row r="989" spans="1:13" x14ac:dyDescent="0.25">
      <c r="A989" s="119">
        <v>45442</v>
      </c>
      <c r="B989" s="119">
        <v>45442</v>
      </c>
      <c r="C989" s="118" t="e">
        <f t="shared" ca="1" si="165"/>
        <v>#REF!</v>
      </c>
      <c r="D989" s="118" t="e">
        <f t="shared" ca="1" si="166"/>
        <v>#REF!</v>
      </c>
      <c r="E989" s="118" t="e">
        <f t="shared" ca="1" si="167"/>
        <v>#REF!</v>
      </c>
      <c r="F989" s="118" t="e">
        <f t="shared" ca="1" si="168"/>
        <v>#REF!</v>
      </c>
      <c r="G989" s="118" t="e">
        <f t="shared" ca="1" si="169"/>
        <v>#REF!</v>
      </c>
      <c r="H989" s="118" t="e">
        <f t="shared" ca="1" si="170"/>
        <v>#REF!</v>
      </c>
      <c r="I989" s="118" t="e">
        <f t="shared" ca="1" si="171"/>
        <v>#REF!</v>
      </c>
      <c r="J989" s="118" t="e">
        <f t="shared" ca="1" si="172"/>
        <v>#REF!</v>
      </c>
      <c r="K989" s="118" t="e">
        <f t="shared" ca="1" si="173"/>
        <v>#REF!</v>
      </c>
      <c r="L989" s="118" t="e">
        <f t="shared" ca="1" si="174"/>
        <v>#REF!</v>
      </c>
      <c r="M989" s="118" t="e">
        <f t="shared" ca="1" si="175"/>
        <v>#REF!</v>
      </c>
    </row>
    <row r="990" spans="1:13" x14ac:dyDescent="0.25">
      <c r="A990" s="119">
        <v>45443</v>
      </c>
      <c r="B990" s="119">
        <v>45443</v>
      </c>
      <c r="C990" s="118" t="e">
        <f t="shared" ca="1" si="165"/>
        <v>#REF!</v>
      </c>
      <c r="D990" s="118" t="e">
        <f t="shared" ca="1" si="166"/>
        <v>#REF!</v>
      </c>
      <c r="E990" s="118" t="e">
        <f t="shared" ca="1" si="167"/>
        <v>#REF!</v>
      </c>
      <c r="F990" s="118" t="e">
        <f t="shared" ca="1" si="168"/>
        <v>#REF!</v>
      </c>
      <c r="G990" s="118" t="e">
        <f t="shared" ca="1" si="169"/>
        <v>#REF!</v>
      </c>
      <c r="H990" s="118" t="e">
        <f t="shared" ca="1" si="170"/>
        <v>#REF!</v>
      </c>
      <c r="I990" s="118" t="e">
        <f t="shared" ca="1" si="171"/>
        <v>#REF!</v>
      </c>
      <c r="J990" s="118" t="e">
        <f t="shared" ca="1" si="172"/>
        <v>#REF!</v>
      </c>
      <c r="K990" s="118" t="e">
        <f t="shared" ca="1" si="173"/>
        <v>#REF!</v>
      </c>
      <c r="L990" s="118" t="e">
        <f t="shared" ca="1" si="174"/>
        <v>#REF!</v>
      </c>
      <c r="M990" s="118" t="e">
        <f t="shared" ca="1" si="175"/>
        <v>#REF!</v>
      </c>
    </row>
    <row r="991" spans="1:13" x14ac:dyDescent="0.25">
      <c r="A991" s="119">
        <v>45444</v>
      </c>
      <c r="B991" s="119">
        <v>45444</v>
      </c>
      <c r="C991" s="118" t="e">
        <f t="shared" ca="1" si="165"/>
        <v>#REF!</v>
      </c>
      <c r="D991" s="118" t="e">
        <f t="shared" ca="1" si="166"/>
        <v>#REF!</v>
      </c>
      <c r="E991" s="118" t="e">
        <f t="shared" ca="1" si="167"/>
        <v>#REF!</v>
      </c>
      <c r="F991" s="118" t="e">
        <f t="shared" ca="1" si="168"/>
        <v>#REF!</v>
      </c>
      <c r="G991" s="118" t="e">
        <f t="shared" ca="1" si="169"/>
        <v>#REF!</v>
      </c>
      <c r="H991" s="118" t="e">
        <f t="shared" ca="1" si="170"/>
        <v>#REF!</v>
      </c>
      <c r="I991" s="118" t="e">
        <f t="shared" ca="1" si="171"/>
        <v>#REF!</v>
      </c>
      <c r="J991" s="118" t="e">
        <f t="shared" ca="1" si="172"/>
        <v>#REF!</v>
      </c>
      <c r="K991" s="118" t="e">
        <f t="shared" ca="1" si="173"/>
        <v>#REF!</v>
      </c>
      <c r="L991" s="118" t="e">
        <f t="shared" ca="1" si="174"/>
        <v>#REF!</v>
      </c>
      <c r="M991" s="118" t="e">
        <f t="shared" ca="1" si="175"/>
        <v>#REF!</v>
      </c>
    </row>
    <row r="992" spans="1:13" x14ac:dyDescent="0.25">
      <c r="A992" s="119">
        <v>45445</v>
      </c>
      <c r="B992" s="119">
        <v>45445</v>
      </c>
      <c r="C992" s="118" t="e">
        <f t="shared" ca="1" si="165"/>
        <v>#REF!</v>
      </c>
      <c r="D992" s="118" t="e">
        <f t="shared" ca="1" si="166"/>
        <v>#REF!</v>
      </c>
      <c r="E992" s="118" t="e">
        <f t="shared" ca="1" si="167"/>
        <v>#REF!</v>
      </c>
      <c r="F992" s="118" t="e">
        <f t="shared" ca="1" si="168"/>
        <v>#REF!</v>
      </c>
      <c r="G992" s="118" t="e">
        <f t="shared" ca="1" si="169"/>
        <v>#REF!</v>
      </c>
      <c r="H992" s="118" t="e">
        <f t="shared" ca="1" si="170"/>
        <v>#REF!</v>
      </c>
      <c r="I992" s="118" t="e">
        <f t="shared" ca="1" si="171"/>
        <v>#REF!</v>
      </c>
      <c r="J992" s="118" t="e">
        <f t="shared" ca="1" si="172"/>
        <v>#REF!</v>
      </c>
      <c r="K992" s="118" t="e">
        <f t="shared" ca="1" si="173"/>
        <v>#REF!</v>
      </c>
      <c r="L992" s="118" t="e">
        <f t="shared" ca="1" si="174"/>
        <v>#REF!</v>
      </c>
      <c r="M992" s="118" t="e">
        <f t="shared" ca="1" si="175"/>
        <v>#REF!</v>
      </c>
    </row>
    <row r="993" spans="1:13" x14ac:dyDescent="0.25">
      <c r="A993" s="119" t="s">
        <v>283</v>
      </c>
      <c r="B993" s="119">
        <v>45446</v>
      </c>
      <c r="C993" s="118" t="e">
        <f t="shared" ca="1" si="165"/>
        <v>#REF!</v>
      </c>
      <c r="D993" s="118" t="e">
        <f t="shared" ca="1" si="166"/>
        <v>#REF!</v>
      </c>
      <c r="E993" s="118" t="e">
        <f t="shared" ca="1" si="167"/>
        <v>#REF!</v>
      </c>
      <c r="F993" s="118" t="e">
        <f t="shared" ca="1" si="168"/>
        <v>#REF!</v>
      </c>
      <c r="G993" s="118" t="e">
        <f t="shared" ca="1" si="169"/>
        <v>#REF!</v>
      </c>
      <c r="H993" s="118" t="e">
        <f t="shared" ca="1" si="170"/>
        <v>#REF!</v>
      </c>
      <c r="I993" s="118" t="e">
        <f t="shared" ca="1" si="171"/>
        <v>#REF!</v>
      </c>
      <c r="J993" s="118" t="e">
        <f t="shared" ca="1" si="172"/>
        <v>#REF!</v>
      </c>
      <c r="K993" s="118" t="e">
        <f t="shared" ca="1" si="173"/>
        <v>#REF!</v>
      </c>
      <c r="L993" s="118" t="e">
        <f t="shared" ca="1" si="174"/>
        <v>#REF!</v>
      </c>
      <c r="M993" s="118" t="e">
        <f t="shared" ca="1" si="175"/>
        <v>#REF!</v>
      </c>
    </row>
    <row r="994" spans="1:13" x14ac:dyDescent="0.25">
      <c r="A994" s="119">
        <v>45447</v>
      </c>
      <c r="B994" s="119">
        <v>45447</v>
      </c>
      <c r="C994" s="118" t="e">
        <f t="shared" ca="1" si="165"/>
        <v>#REF!</v>
      </c>
      <c r="D994" s="118" t="e">
        <f t="shared" ca="1" si="166"/>
        <v>#REF!</v>
      </c>
      <c r="E994" s="118" t="e">
        <f t="shared" ca="1" si="167"/>
        <v>#REF!</v>
      </c>
      <c r="F994" s="118" t="e">
        <f t="shared" ca="1" si="168"/>
        <v>#REF!</v>
      </c>
      <c r="G994" s="118" t="e">
        <f t="shared" ca="1" si="169"/>
        <v>#REF!</v>
      </c>
      <c r="H994" s="118" t="e">
        <f t="shared" ca="1" si="170"/>
        <v>#REF!</v>
      </c>
      <c r="I994" s="118" t="e">
        <f t="shared" ca="1" si="171"/>
        <v>#REF!</v>
      </c>
      <c r="J994" s="118" t="e">
        <f t="shared" ca="1" si="172"/>
        <v>#REF!</v>
      </c>
      <c r="K994" s="118" t="e">
        <f t="shared" ca="1" si="173"/>
        <v>#REF!</v>
      </c>
      <c r="L994" s="118" t="e">
        <f t="shared" ca="1" si="174"/>
        <v>#REF!</v>
      </c>
      <c r="M994" s="118" t="e">
        <f t="shared" ca="1" si="175"/>
        <v>#REF!</v>
      </c>
    </row>
    <row r="995" spans="1:13" x14ac:dyDescent="0.25">
      <c r="A995" s="119" t="s">
        <v>284</v>
      </c>
      <c r="B995" s="119">
        <v>45448</v>
      </c>
      <c r="C995" s="118" t="e">
        <f t="shared" ca="1" si="165"/>
        <v>#REF!</v>
      </c>
      <c r="D995" s="118" t="e">
        <f t="shared" ca="1" si="166"/>
        <v>#REF!</v>
      </c>
      <c r="E995" s="118" t="e">
        <f t="shared" ca="1" si="167"/>
        <v>#REF!</v>
      </c>
      <c r="F995" s="118" t="e">
        <f t="shared" ca="1" si="168"/>
        <v>#REF!</v>
      </c>
      <c r="G995" s="118" t="e">
        <f t="shared" ca="1" si="169"/>
        <v>#REF!</v>
      </c>
      <c r="H995" s="118" t="e">
        <f t="shared" ca="1" si="170"/>
        <v>#REF!</v>
      </c>
      <c r="I995" s="118" t="e">
        <f t="shared" ca="1" si="171"/>
        <v>#REF!</v>
      </c>
      <c r="J995" s="118" t="e">
        <f t="shared" ca="1" si="172"/>
        <v>#REF!</v>
      </c>
      <c r="K995" s="118" t="e">
        <f t="shared" ca="1" si="173"/>
        <v>#REF!</v>
      </c>
      <c r="L995" s="118" t="e">
        <f t="shared" ca="1" si="174"/>
        <v>#REF!</v>
      </c>
      <c r="M995" s="118" t="e">
        <f t="shared" ca="1" si="175"/>
        <v>#REF!</v>
      </c>
    </row>
    <row r="996" spans="1:13" x14ac:dyDescent="0.25">
      <c r="A996" s="119" t="s">
        <v>285</v>
      </c>
      <c r="B996" s="119">
        <v>45448</v>
      </c>
      <c r="C996" s="118" t="e">
        <f t="shared" ca="1" si="165"/>
        <v>#REF!</v>
      </c>
      <c r="D996" s="118" t="e">
        <f t="shared" ca="1" si="166"/>
        <v>#REF!</v>
      </c>
      <c r="E996" s="118" t="e">
        <f t="shared" ca="1" si="167"/>
        <v>#REF!</v>
      </c>
      <c r="F996" s="118" t="e">
        <f t="shared" ca="1" si="168"/>
        <v>#REF!</v>
      </c>
      <c r="G996" s="118" t="e">
        <f t="shared" ca="1" si="169"/>
        <v>#REF!</v>
      </c>
      <c r="H996" s="118" t="e">
        <f t="shared" ca="1" si="170"/>
        <v>#REF!</v>
      </c>
      <c r="I996" s="118" t="e">
        <f t="shared" ca="1" si="171"/>
        <v>#REF!</v>
      </c>
      <c r="J996" s="118" t="e">
        <f t="shared" ca="1" si="172"/>
        <v>#REF!</v>
      </c>
      <c r="K996" s="118" t="e">
        <f t="shared" ca="1" si="173"/>
        <v>#REF!</v>
      </c>
      <c r="L996" s="118" t="e">
        <f t="shared" ca="1" si="174"/>
        <v>#REF!</v>
      </c>
      <c r="M996" s="118" t="e">
        <f t="shared" ca="1" si="175"/>
        <v>#REF!</v>
      </c>
    </row>
    <row r="997" spans="1:13" x14ac:dyDescent="0.25">
      <c r="A997" s="119">
        <v>45449</v>
      </c>
      <c r="B997" s="119">
        <v>45449</v>
      </c>
      <c r="C997" s="118" t="e">
        <f t="shared" ca="1" si="165"/>
        <v>#REF!</v>
      </c>
      <c r="D997" s="118" t="e">
        <f t="shared" ca="1" si="166"/>
        <v>#REF!</v>
      </c>
      <c r="E997" s="118" t="e">
        <f t="shared" ca="1" si="167"/>
        <v>#REF!</v>
      </c>
      <c r="F997" s="118" t="e">
        <f t="shared" ca="1" si="168"/>
        <v>#REF!</v>
      </c>
      <c r="G997" s="118" t="e">
        <f t="shared" ca="1" si="169"/>
        <v>#REF!</v>
      </c>
      <c r="H997" s="118" t="e">
        <f t="shared" ca="1" si="170"/>
        <v>#REF!</v>
      </c>
      <c r="I997" s="118" t="e">
        <f t="shared" ca="1" si="171"/>
        <v>#REF!</v>
      </c>
      <c r="J997" s="118" t="e">
        <f t="shared" ca="1" si="172"/>
        <v>#REF!</v>
      </c>
      <c r="K997" s="118" t="e">
        <f t="shared" ca="1" si="173"/>
        <v>#REF!</v>
      </c>
      <c r="L997" s="118" t="e">
        <f t="shared" ca="1" si="174"/>
        <v>#REF!</v>
      </c>
      <c r="M997" s="118" t="e">
        <f t="shared" ca="1" si="175"/>
        <v>#REF!</v>
      </c>
    </row>
    <row r="998" spans="1:13" x14ac:dyDescent="0.25">
      <c r="A998" s="119">
        <v>45450</v>
      </c>
      <c r="B998" s="119">
        <v>45450</v>
      </c>
      <c r="C998" s="118" t="e">
        <f t="shared" ca="1" si="165"/>
        <v>#REF!</v>
      </c>
      <c r="D998" s="118" t="e">
        <f t="shared" ca="1" si="166"/>
        <v>#REF!</v>
      </c>
      <c r="E998" s="118" t="e">
        <f t="shared" ca="1" si="167"/>
        <v>#REF!</v>
      </c>
      <c r="F998" s="118" t="e">
        <f t="shared" ca="1" si="168"/>
        <v>#REF!</v>
      </c>
      <c r="G998" s="118" t="e">
        <f t="shared" ca="1" si="169"/>
        <v>#REF!</v>
      </c>
      <c r="H998" s="118" t="e">
        <f t="shared" ca="1" si="170"/>
        <v>#REF!</v>
      </c>
      <c r="I998" s="118" t="e">
        <f t="shared" ca="1" si="171"/>
        <v>#REF!</v>
      </c>
      <c r="J998" s="118" t="e">
        <f t="shared" ca="1" si="172"/>
        <v>#REF!</v>
      </c>
      <c r="K998" s="118" t="e">
        <f t="shared" ca="1" si="173"/>
        <v>#REF!</v>
      </c>
      <c r="L998" s="118" t="e">
        <f t="shared" ca="1" si="174"/>
        <v>#REF!</v>
      </c>
      <c r="M998" s="118" t="e">
        <f t="shared" ca="1" si="175"/>
        <v>#REF!</v>
      </c>
    </row>
    <row r="999" spans="1:13" x14ac:dyDescent="0.25">
      <c r="A999" s="119">
        <v>45451</v>
      </c>
      <c r="B999" s="119">
        <v>45451</v>
      </c>
      <c r="C999" s="118" t="e">
        <f t="shared" ca="1" si="165"/>
        <v>#REF!</v>
      </c>
      <c r="D999" s="118" t="e">
        <f t="shared" ca="1" si="166"/>
        <v>#REF!</v>
      </c>
      <c r="E999" s="118" t="e">
        <f t="shared" ca="1" si="167"/>
        <v>#REF!</v>
      </c>
      <c r="F999" s="118" t="e">
        <f t="shared" ca="1" si="168"/>
        <v>#REF!</v>
      </c>
      <c r="G999" s="118" t="e">
        <f t="shared" ca="1" si="169"/>
        <v>#REF!</v>
      </c>
      <c r="H999" s="118" t="e">
        <f t="shared" ca="1" si="170"/>
        <v>#REF!</v>
      </c>
      <c r="I999" s="118" t="e">
        <f t="shared" ca="1" si="171"/>
        <v>#REF!</v>
      </c>
      <c r="J999" s="118" t="e">
        <f t="shared" ca="1" si="172"/>
        <v>#REF!</v>
      </c>
      <c r="K999" s="118" t="e">
        <f t="shared" ca="1" si="173"/>
        <v>#REF!</v>
      </c>
      <c r="L999" s="118" t="e">
        <f t="shared" ca="1" si="174"/>
        <v>#REF!</v>
      </c>
      <c r="M999" s="118" t="e">
        <f t="shared" ca="1" si="175"/>
        <v>#REF!</v>
      </c>
    </row>
    <row r="1000" spans="1:13" x14ac:dyDescent="0.25">
      <c r="A1000" s="119">
        <v>45452</v>
      </c>
      <c r="B1000" s="119">
        <v>45452</v>
      </c>
      <c r="C1000" s="118" t="e">
        <f t="shared" ca="1" si="165"/>
        <v>#REF!</v>
      </c>
      <c r="D1000" s="118" t="e">
        <f t="shared" ca="1" si="166"/>
        <v>#REF!</v>
      </c>
      <c r="E1000" s="118" t="e">
        <f t="shared" ca="1" si="167"/>
        <v>#REF!</v>
      </c>
      <c r="F1000" s="118" t="e">
        <f t="shared" ca="1" si="168"/>
        <v>#REF!</v>
      </c>
      <c r="G1000" s="118" t="e">
        <f t="shared" ca="1" si="169"/>
        <v>#REF!</v>
      </c>
      <c r="H1000" s="118" t="e">
        <f t="shared" ca="1" si="170"/>
        <v>#REF!</v>
      </c>
      <c r="I1000" s="118" t="e">
        <f t="shared" ca="1" si="171"/>
        <v>#REF!</v>
      </c>
      <c r="J1000" s="118" t="e">
        <f t="shared" ca="1" si="172"/>
        <v>#REF!</v>
      </c>
      <c r="K1000" s="118" t="e">
        <f t="shared" ca="1" si="173"/>
        <v>#REF!</v>
      </c>
      <c r="L1000" s="118" t="e">
        <f t="shared" ca="1" si="174"/>
        <v>#REF!</v>
      </c>
      <c r="M1000" s="118" t="e">
        <f t="shared" ca="1" si="175"/>
        <v>#REF!</v>
      </c>
    </row>
    <row r="1001" spans="1:13" x14ac:dyDescent="0.25">
      <c r="A1001" s="119" t="s">
        <v>286</v>
      </c>
      <c r="B1001" s="119">
        <v>45453</v>
      </c>
      <c r="C1001" s="118" t="e">
        <f t="shared" ca="1" si="165"/>
        <v>#REF!</v>
      </c>
      <c r="D1001" s="118" t="e">
        <f t="shared" ca="1" si="166"/>
        <v>#REF!</v>
      </c>
      <c r="E1001" s="118" t="e">
        <f t="shared" ca="1" si="167"/>
        <v>#REF!</v>
      </c>
      <c r="F1001" s="118" t="e">
        <f t="shared" ca="1" si="168"/>
        <v>#REF!</v>
      </c>
      <c r="G1001" s="118" t="e">
        <f t="shared" ca="1" si="169"/>
        <v>#REF!</v>
      </c>
      <c r="H1001" s="118" t="e">
        <f t="shared" ca="1" si="170"/>
        <v>#REF!</v>
      </c>
      <c r="I1001" s="118" t="e">
        <f t="shared" ca="1" si="171"/>
        <v>#REF!</v>
      </c>
      <c r="J1001" s="118" t="e">
        <f t="shared" ca="1" si="172"/>
        <v>#REF!</v>
      </c>
      <c r="K1001" s="118" t="e">
        <f t="shared" ca="1" si="173"/>
        <v>#REF!</v>
      </c>
      <c r="L1001" s="118" t="e">
        <f t="shared" ca="1" si="174"/>
        <v>#REF!</v>
      </c>
      <c r="M1001" s="118" t="e">
        <f t="shared" ca="1" si="175"/>
        <v>#REF!</v>
      </c>
    </row>
    <row r="1002" spans="1:13" x14ac:dyDescent="0.25">
      <c r="A1002" s="119" t="s">
        <v>287</v>
      </c>
      <c r="B1002" s="119">
        <v>45453</v>
      </c>
      <c r="C1002" s="118" t="e">
        <f t="shared" ca="1" si="165"/>
        <v>#REF!</v>
      </c>
      <c r="D1002" s="118" t="e">
        <f t="shared" ca="1" si="166"/>
        <v>#REF!</v>
      </c>
      <c r="E1002" s="118" t="e">
        <f t="shared" ca="1" si="167"/>
        <v>#REF!</v>
      </c>
      <c r="F1002" s="118" t="e">
        <f t="shared" ca="1" si="168"/>
        <v>#REF!</v>
      </c>
      <c r="G1002" s="118" t="e">
        <f t="shared" ca="1" si="169"/>
        <v>#REF!</v>
      </c>
      <c r="H1002" s="118" t="e">
        <f t="shared" ca="1" si="170"/>
        <v>#REF!</v>
      </c>
      <c r="I1002" s="118" t="e">
        <f t="shared" ca="1" si="171"/>
        <v>#REF!</v>
      </c>
      <c r="J1002" s="118" t="e">
        <f t="shared" ca="1" si="172"/>
        <v>#REF!</v>
      </c>
      <c r="K1002" s="118" t="e">
        <f t="shared" ca="1" si="173"/>
        <v>#REF!</v>
      </c>
      <c r="L1002" s="118" t="e">
        <f t="shared" ca="1" si="174"/>
        <v>#REF!</v>
      </c>
      <c r="M1002" s="118" t="e">
        <f t="shared" ca="1" si="175"/>
        <v>#REF!</v>
      </c>
    </row>
    <row r="1003" spans="1:13" x14ac:dyDescent="0.25">
      <c r="A1003" s="119" t="s">
        <v>271</v>
      </c>
      <c r="B1003" s="119">
        <v>45454</v>
      </c>
      <c r="C1003" s="118" t="e">
        <f t="shared" ca="1" si="165"/>
        <v>#REF!</v>
      </c>
      <c r="D1003" s="118" t="e">
        <f t="shared" ca="1" si="166"/>
        <v>#REF!</v>
      </c>
      <c r="E1003" s="118" t="e">
        <f t="shared" ca="1" si="167"/>
        <v>#REF!</v>
      </c>
      <c r="F1003" s="118" t="e">
        <f t="shared" ca="1" si="168"/>
        <v>#REF!</v>
      </c>
      <c r="G1003" s="118" t="e">
        <f t="shared" ca="1" si="169"/>
        <v>#REF!</v>
      </c>
      <c r="H1003" s="118" t="e">
        <f t="shared" ca="1" si="170"/>
        <v>#REF!</v>
      </c>
      <c r="I1003" s="118" t="e">
        <f t="shared" ca="1" si="171"/>
        <v>#REF!</v>
      </c>
      <c r="J1003" s="118" t="e">
        <f t="shared" ca="1" si="172"/>
        <v>#REF!</v>
      </c>
      <c r="K1003" s="118" t="e">
        <f t="shared" ca="1" si="173"/>
        <v>#REF!</v>
      </c>
      <c r="L1003" s="118" t="e">
        <f t="shared" ca="1" si="174"/>
        <v>#REF!</v>
      </c>
      <c r="M1003" s="118" t="e">
        <f t="shared" ca="1" si="175"/>
        <v>#REF!</v>
      </c>
    </row>
    <row r="1004" spans="1:13" x14ac:dyDescent="0.25">
      <c r="A1004" s="119" t="s">
        <v>288</v>
      </c>
      <c r="B1004" s="119">
        <v>45455</v>
      </c>
      <c r="C1004" s="118" t="e">
        <f t="shared" ca="1" si="165"/>
        <v>#REF!</v>
      </c>
      <c r="D1004" s="118" t="e">
        <f t="shared" ca="1" si="166"/>
        <v>#REF!</v>
      </c>
      <c r="E1004" s="118" t="e">
        <f t="shared" ca="1" si="167"/>
        <v>#REF!</v>
      </c>
      <c r="F1004" s="118" t="e">
        <f t="shared" ca="1" si="168"/>
        <v>#REF!</v>
      </c>
      <c r="G1004" s="118" t="e">
        <f t="shared" ca="1" si="169"/>
        <v>#REF!</v>
      </c>
      <c r="H1004" s="118" t="e">
        <f t="shared" ca="1" si="170"/>
        <v>#REF!</v>
      </c>
      <c r="I1004" s="118" t="e">
        <f t="shared" ca="1" si="171"/>
        <v>#REF!</v>
      </c>
      <c r="J1004" s="118" t="e">
        <f t="shared" ca="1" si="172"/>
        <v>#REF!</v>
      </c>
      <c r="K1004" s="118" t="e">
        <f t="shared" ca="1" si="173"/>
        <v>#REF!</v>
      </c>
      <c r="L1004" s="118" t="e">
        <f t="shared" ca="1" si="174"/>
        <v>#REF!</v>
      </c>
      <c r="M1004" s="118" t="e">
        <f t="shared" ca="1" si="175"/>
        <v>#REF!</v>
      </c>
    </row>
    <row r="1005" spans="1:13" x14ac:dyDescent="0.25">
      <c r="A1005" s="119">
        <v>45456</v>
      </c>
      <c r="B1005" s="119">
        <v>45456</v>
      </c>
      <c r="C1005" s="118" t="e">
        <f t="shared" ca="1" si="165"/>
        <v>#REF!</v>
      </c>
      <c r="D1005" s="118" t="e">
        <f t="shared" ca="1" si="166"/>
        <v>#REF!</v>
      </c>
      <c r="E1005" s="118" t="e">
        <f t="shared" ca="1" si="167"/>
        <v>#REF!</v>
      </c>
      <c r="F1005" s="118" t="e">
        <f t="shared" ca="1" si="168"/>
        <v>#REF!</v>
      </c>
      <c r="G1005" s="118" t="e">
        <f t="shared" ca="1" si="169"/>
        <v>#REF!</v>
      </c>
      <c r="H1005" s="118" t="e">
        <f t="shared" ca="1" si="170"/>
        <v>#REF!</v>
      </c>
      <c r="I1005" s="118" t="e">
        <f t="shared" ca="1" si="171"/>
        <v>#REF!</v>
      </c>
      <c r="J1005" s="118" t="e">
        <f t="shared" ca="1" si="172"/>
        <v>#REF!</v>
      </c>
      <c r="K1005" s="118" t="e">
        <f t="shared" ca="1" si="173"/>
        <v>#REF!</v>
      </c>
      <c r="L1005" s="118" t="e">
        <f t="shared" ca="1" si="174"/>
        <v>#REF!</v>
      </c>
      <c r="M1005" s="118" t="e">
        <f t="shared" ca="1" si="175"/>
        <v>#REF!</v>
      </c>
    </row>
    <row r="1006" spans="1:13" x14ac:dyDescent="0.25">
      <c r="A1006" s="119">
        <v>45457</v>
      </c>
      <c r="B1006" s="119">
        <v>45457</v>
      </c>
      <c r="C1006" s="118" t="e">
        <f t="shared" ca="1" si="165"/>
        <v>#REF!</v>
      </c>
      <c r="D1006" s="118" t="e">
        <f t="shared" ca="1" si="166"/>
        <v>#REF!</v>
      </c>
      <c r="E1006" s="118" t="e">
        <f t="shared" ca="1" si="167"/>
        <v>#REF!</v>
      </c>
      <c r="F1006" s="118" t="e">
        <f t="shared" ca="1" si="168"/>
        <v>#REF!</v>
      </c>
      <c r="G1006" s="118" t="e">
        <f t="shared" ca="1" si="169"/>
        <v>#REF!</v>
      </c>
      <c r="H1006" s="118" t="e">
        <f t="shared" ca="1" si="170"/>
        <v>#REF!</v>
      </c>
      <c r="I1006" s="118" t="e">
        <f t="shared" ca="1" si="171"/>
        <v>#REF!</v>
      </c>
      <c r="J1006" s="118" t="e">
        <f t="shared" ca="1" si="172"/>
        <v>#REF!</v>
      </c>
      <c r="K1006" s="118" t="e">
        <f t="shared" ca="1" si="173"/>
        <v>#REF!</v>
      </c>
      <c r="L1006" s="118" t="e">
        <f t="shared" ca="1" si="174"/>
        <v>#REF!</v>
      </c>
      <c r="M1006" s="118" t="e">
        <f t="shared" ca="1" si="175"/>
        <v>#REF!</v>
      </c>
    </row>
    <row r="1007" spans="1:13" x14ac:dyDescent="0.25">
      <c r="A1007" s="119">
        <v>45458</v>
      </c>
      <c r="B1007" s="119">
        <v>45458</v>
      </c>
      <c r="C1007" s="118" t="e">
        <f t="shared" ca="1" si="165"/>
        <v>#REF!</v>
      </c>
      <c r="D1007" s="118" t="e">
        <f t="shared" ca="1" si="166"/>
        <v>#REF!</v>
      </c>
      <c r="E1007" s="118" t="e">
        <f t="shared" ca="1" si="167"/>
        <v>#REF!</v>
      </c>
      <c r="F1007" s="118" t="e">
        <f t="shared" ca="1" si="168"/>
        <v>#REF!</v>
      </c>
      <c r="G1007" s="118" t="e">
        <f t="shared" ca="1" si="169"/>
        <v>#REF!</v>
      </c>
      <c r="H1007" s="118" t="e">
        <f t="shared" ca="1" si="170"/>
        <v>#REF!</v>
      </c>
      <c r="I1007" s="118" t="e">
        <f t="shared" ca="1" si="171"/>
        <v>#REF!</v>
      </c>
      <c r="J1007" s="118" t="e">
        <f t="shared" ca="1" si="172"/>
        <v>#REF!</v>
      </c>
      <c r="K1007" s="118" t="e">
        <f t="shared" ca="1" si="173"/>
        <v>#REF!</v>
      </c>
      <c r="L1007" s="118" t="e">
        <f t="shared" ca="1" si="174"/>
        <v>#REF!</v>
      </c>
      <c r="M1007" s="118" t="e">
        <f t="shared" ca="1" si="175"/>
        <v>#REF!</v>
      </c>
    </row>
    <row r="1008" spans="1:13" x14ac:dyDescent="0.25">
      <c r="A1008" s="119">
        <v>45459</v>
      </c>
      <c r="B1008" s="119">
        <v>45459</v>
      </c>
      <c r="C1008" s="118" t="e">
        <f t="shared" ca="1" si="165"/>
        <v>#REF!</v>
      </c>
      <c r="D1008" s="118" t="e">
        <f t="shared" ca="1" si="166"/>
        <v>#REF!</v>
      </c>
      <c r="E1008" s="118" t="e">
        <f t="shared" ca="1" si="167"/>
        <v>#REF!</v>
      </c>
      <c r="F1008" s="118" t="e">
        <f t="shared" ca="1" si="168"/>
        <v>#REF!</v>
      </c>
      <c r="G1008" s="118" t="e">
        <f t="shared" ca="1" si="169"/>
        <v>#REF!</v>
      </c>
      <c r="H1008" s="118" t="e">
        <f t="shared" ca="1" si="170"/>
        <v>#REF!</v>
      </c>
      <c r="I1008" s="118" t="e">
        <f t="shared" ca="1" si="171"/>
        <v>#REF!</v>
      </c>
      <c r="J1008" s="118" t="e">
        <f t="shared" ca="1" si="172"/>
        <v>#REF!</v>
      </c>
      <c r="K1008" s="118" t="e">
        <f t="shared" ca="1" si="173"/>
        <v>#REF!</v>
      </c>
      <c r="L1008" s="118" t="e">
        <f t="shared" ca="1" si="174"/>
        <v>#REF!</v>
      </c>
      <c r="M1008" s="118" t="e">
        <f t="shared" ca="1" si="175"/>
        <v>#REF!</v>
      </c>
    </row>
    <row r="1009" spans="1:13" x14ac:dyDescent="0.25">
      <c r="A1009" s="119">
        <v>45460</v>
      </c>
      <c r="B1009" s="119">
        <v>45460</v>
      </c>
      <c r="C1009" s="118" t="e">
        <f t="shared" ca="1" si="165"/>
        <v>#REF!</v>
      </c>
      <c r="D1009" s="118" t="e">
        <f t="shared" ca="1" si="166"/>
        <v>#REF!</v>
      </c>
      <c r="E1009" s="118" t="e">
        <f t="shared" ca="1" si="167"/>
        <v>#REF!</v>
      </c>
      <c r="F1009" s="118" t="e">
        <f t="shared" ca="1" si="168"/>
        <v>#REF!</v>
      </c>
      <c r="G1009" s="118" t="e">
        <f t="shared" ca="1" si="169"/>
        <v>#REF!</v>
      </c>
      <c r="H1009" s="118" t="e">
        <f t="shared" ca="1" si="170"/>
        <v>#REF!</v>
      </c>
      <c r="I1009" s="118" t="e">
        <f t="shared" ca="1" si="171"/>
        <v>#REF!</v>
      </c>
      <c r="J1009" s="118" t="e">
        <f t="shared" ca="1" si="172"/>
        <v>#REF!</v>
      </c>
      <c r="K1009" s="118" t="e">
        <f t="shared" ca="1" si="173"/>
        <v>#REF!</v>
      </c>
      <c r="L1009" s="118" t="e">
        <f t="shared" ca="1" si="174"/>
        <v>#REF!</v>
      </c>
      <c r="M1009" s="118" t="e">
        <f t="shared" ca="1" si="175"/>
        <v>#REF!</v>
      </c>
    </row>
    <row r="1010" spans="1:13" x14ac:dyDescent="0.25">
      <c r="A1010" s="119">
        <v>45461</v>
      </c>
      <c r="B1010" s="119">
        <v>45461</v>
      </c>
      <c r="C1010" s="118" t="e">
        <f t="shared" ca="1" si="165"/>
        <v>#REF!</v>
      </c>
      <c r="D1010" s="118" t="e">
        <f t="shared" ca="1" si="166"/>
        <v>#REF!</v>
      </c>
      <c r="E1010" s="118" t="e">
        <f t="shared" ca="1" si="167"/>
        <v>#REF!</v>
      </c>
      <c r="F1010" s="118" t="e">
        <f t="shared" ca="1" si="168"/>
        <v>#REF!</v>
      </c>
      <c r="G1010" s="118" t="e">
        <f t="shared" ca="1" si="169"/>
        <v>#REF!</v>
      </c>
      <c r="H1010" s="118" t="e">
        <f t="shared" ca="1" si="170"/>
        <v>#REF!</v>
      </c>
      <c r="I1010" s="118" t="e">
        <f t="shared" ca="1" si="171"/>
        <v>#REF!</v>
      </c>
      <c r="J1010" s="118" t="e">
        <f t="shared" ca="1" si="172"/>
        <v>#REF!</v>
      </c>
      <c r="K1010" s="118" t="e">
        <f t="shared" ca="1" si="173"/>
        <v>#REF!</v>
      </c>
      <c r="L1010" s="118" t="e">
        <f t="shared" ca="1" si="174"/>
        <v>#REF!</v>
      </c>
      <c r="M1010" s="118" t="e">
        <f t="shared" ca="1" si="175"/>
        <v>#REF!</v>
      </c>
    </row>
    <row r="1011" spans="1:13" x14ac:dyDescent="0.25">
      <c r="A1011" s="119">
        <v>45462</v>
      </c>
      <c r="B1011" s="119">
        <v>45462</v>
      </c>
      <c r="C1011" s="118" t="e">
        <f t="shared" ca="1" si="165"/>
        <v>#REF!</v>
      </c>
      <c r="D1011" s="118" t="e">
        <f t="shared" ca="1" si="166"/>
        <v>#REF!</v>
      </c>
      <c r="E1011" s="118" t="e">
        <f t="shared" ca="1" si="167"/>
        <v>#REF!</v>
      </c>
      <c r="F1011" s="118" t="e">
        <f t="shared" ca="1" si="168"/>
        <v>#REF!</v>
      </c>
      <c r="G1011" s="118" t="e">
        <f t="shared" ca="1" si="169"/>
        <v>#REF!</v>
      </c>
      <c r="H1011" s="118" t="e">
        <f t="shared" ca="1" si="170"/>
        <v>#REF!</v>
      </c>
      <c r="I1011" s="118" t="e">
        <f t="shared" ca="1" si="171"/>
        <v>#REF!</v>
      </c>
      <c r="J1011" s="118" t="e">
        <f t="shared" ca="1" si="172"/>
        <v>#REF!</v>
      </c>
      <c r="K1011" s="118" t="e">
        <f t="shared" ca="1" si="173"/>
        <v>#REF!</v>
      </c>
      <c r="L1011" s="118" t="e">
        <f t="shared" ca="1" si="174"/>
        <v>#REF!</v>
      </c>
      <c r="M1011" s="118" t="e">
        <f t="shared" ca="1" si="175"/>
        <v>#REF!</v>
      </c>
    </row>
    <row r="1012" spans="1:13" x14ac:dyDescent="0.25">
      <c r="A1012" s="119">
        <v>45463</v>
      </c>
      <c r="B1012" s="119">
        <v>45463</v>
      </c>
      <c r="C1012" s="118" t="e">
        <f t="shared" ca="1" si="165"/>
        <v>#REF!</v>
      </c>
      <c r="D1012" s="118" t="e">
        <f t="shared" ca="1" si="166"/>
        <v>#REF!</v>
      </c>
      <c r="E1012" s="118" t="e">
        <f t="shared" ca="1" si="167"/>
        <v>#REF!</v>
      </c>
      <c r="F1012" s="118" t="e">
        <f t="shared" ca="1" si="168"/>
        <v>#REF!</v>
      </c>
      <c r="G1012" s="118" t="e">
        <f t="shared" ca="1" si="169"/>
        <v>#REF!</v>
      </c>
      <c r="H1012" s="118" t="e">
        <f t="shared" ca="1" si="170"/>
        <v>#REF!</v>
      </c>
      <c r="I1012" s="118" t="e">
        <f t="shared" ca="1" si="171"/>
        <v>#REF!</v>
      </c>
      <c r="J1012" s="118" t="e">
        <f t="shared" ca="1" si="172"/>
        <v>#REF!</v>
      </c>
      <c r="K1012" s="118" t="e">
        <f t="shared" ca="1" si="173"/>
        <v>#REF!</v>
      </c>
      <c r="L1012" s="118" t="e">
        <f t="shared" ca="1" si="174"/>
        <v>#REF!</v>
      </c>
      <c r="M1012" s="118" t="e">
        <f t="shared" ca="1" si="175"/>
        <v>#REF!</v>
      </c>
    </row>
    <row r="1013" spans="1:13" x14ac:dyDescent="0.25">
      <c r="A1013" s="119">
        <v>45464</v>
      </c>
      <c r="B1013" s="119">
        <v>45464</v>
      </c>
      <c r="C1013" s="118" t="e">
        <f t="shared" ca="1" si="165"/>
        <v>#REF!</v>
      </c>
      <c r="D1013" s="118" t="e">
        <f t="shared" ca="1" si="166"/>
        <v>#REF!</v>
      </c>
      <c r="E1013" s="118" t="e">
        <f t="shared" ca="1" si="167"/>
        <v>#REF!</v>
      </c>
      <c r="F1013" s="118" t="e">
        <f t="shared" ca="1" si="168"/>
        <v>#REF!</v>
      </c>
      <c r="G1013" s="118" t="e">
        <f t="shared" ca="1" si="169"/>
        <v>#REF!</v>
      </c>
      <c r="H1013" s="118" t="e">
        <f t="shared" ca="1" si="170"/>
        <v>#REF!</v>
      </c>
      <c r="I1013" s="118" t="e">
        <f t="shared" ca="1" si="171"/>
        <v>#REF!</v>
      </c>
      <c r="J1013" s="118" t="e">
        <f t="shared" ca="1" si="172"/>
        <v>#REF!</v>
      </c>
      <c r="K1013" s="118" t="e">
        <f t="shared" ca="1" si="173"/>
        <v>#REF!</v>
      </c>
      <c r="L1013" s="118" t="e">
        <f t="shared" ca="1" si="174"/>
        <v>#REF!</v>
      </c>
      <c r="M1013" s="118" t="e">
        <f t="shared" ca="1" si="175"/>
        <v>#REF!</v>
      </c>
    </row>
    <row r="1014" spans="1:13" x14ac:dyDescent="0.25">
      <c r="A1014" s="119">
        <v>45465</v>
      </c>
      <c r="B1014" s="119">
        <v>45465</v>
      </c>
      <c r="C1014" s="118" t="e">
        <f t="shared" ca="1" si="165"/>
        <v>#REF!</v>
      </c>
      <c r="D1014" s="118" t="e">
        <f t="shared" ca="1" si="166"/>
        <v>#REF!</v>
      </c>
      <c r="E1014" s="118" t="e">
        <f t="shared" ca="1" si="167"/>
        <v>#REF!</v>
      </c>
      <c r="F1014" s="118" t="e">
        <f t="shared" ca="1" si="168"/>
        <v>#REF!</v>
      </c>
      <c r="G1014" s="118" t="e">
        <f t="shared" ca="1" si="169"/>
        <v>#REF!</v>
      </c>
      <c r="H1014" s="118" t="e">
        <f t="shared" ca="1" si="170"/>
        <v>#REF!</v>
      </c>
      <c r="I1014" s="118" t="e">
        <f t="shared" ca="1" si="171"/>
        <v>#REF!</v>
      </c>
      <c r="J1014" s="118" t="e">
        <f t="shared" ca="1" si="172"/>
        <v>#REF!</v>
      </c>
      <c r="K1014" s="118" t="e">
        <f t="shared" ca="1" si="173"/>
        <v>#REF!</v>
      </c>
      <c r="L1014" s="118" t="e">
        <f t="shared" ca="1" si="174"/>
        <v>#REF!</v>
      </c>
      <c r="M1014" s="118" t="e">
        <f t="shared" ca="1" si="175"/>
        <v>#REF!</v>
      </c>
    </row>
    <row r="1015" spans="1:13" x14ac:dyDescent="0.25">
      <c r="A1015" s="119">
        <v>45466</v>
      </c>
      <c r="B1015" s="119">
        <v>45466</v>
      </c>
      <c r="C1015" s="118" t="e">
        <f t="shared" ca="1" si="165"/>
        <v>#REF!</v>
      </c>
      <c r="D1015" s="118" t="e">
        <f t="shared" ca="1" si="166"/>
        <v>#REF!</v>
      </c>
      <c r="E1015" s="118" t="e">
        <f t="shared" ca="1" si="167"/>
        <v>#REF!</v>
      </c>
      <c r="F1015" s="118" t="e">
        <f t="shared" ca="1" si="168"/>
        <v>#REF!</v>
      </c>
      <c r="G1015" s="118" t="e">
        <f t="shared" ca="1" si="169"/>
        <v>#REF!</v>
      </c>
      <c r="H1015" s="118" t="e">
        <f t="shared" ca="1" si="170"/>
        <v>#REF!</v>
      </c>
      <c r="I1015" s="118" t="e">
        <f t="shared" ca="1" si="171"/>
        <v>#REF!</v>
      </c>
      <c r="J1015" s="118" t="e">
        <f t="shared" ca="1" si="172"/>
        <v>#REF!</v>
      </c>
      <c r="K1015" s="118" t="e">
        <f t="shared" ca="1" si="173"/>
        <v>#REF!</v>
      </c>
      <c r="L1015" s="118" t="e">
        <f t="shared" ca="1" si="174"/>
        <v>#REF!</v>
      </c>
      <c r="M1015" s="118" t="e">
        <f t="shared" ca="1" si="175"/>
        <v>#REF!</v>
      </c>
    </row>
    <row r="1016" spans="1:13" x14ac:dyDescent="0.25">
      <c r="A1016" s="119">
        <v>45467</v>
      </c>
      <c r="B1016" s="119">
        <v>45467</v>
      </c>
      <c r="C1016" s="118" t="e">
        <f t="shared" ca="1" si="165"/>
        <v>#REF!</v>
      </c>
      <c r="D1016" s="118" t="e">
        <f t="shared" ca="1" si="166"/>
        <v>#REF!</v>
      </c>
      <c r="E1016" s="118" t="e">
        <f t="shared" ca="1" si="167"/>
        <v>#REF!</v>
      </c>
      <c r="F1016" s="118" t="e">
        <f t="shared" ca="1" si="168"/>
        <v>#REF!</v>
      </c>
      <c r="G1016" s="118" t="e">
        <f t="shared" ca="1" si="169"/>
        <v>#REF!</v>
      </c>
      <c r="H1016" s="118" t="e">
        <f t="shared" ca="1" si="170"/>
        <v>#REF!</v>
      </c>
      <c r="I1016" s="118" t="e">
        <f t="shared" ca="1" si="171"/>
        <v>#REF!</v>
      </c>
      <c r="J1016" s="118" t="e">
        <f t="shared" ca="1" si="172"/>
        <v>#REF!</v>
      </c>
      <c r="K1016" s="118" t="e">
        <f t="shared" ca="1" si="173"/>
        <v>#REF!</v>
      </c>
      <c r="L1016" s="118" t="e">
        <f t="shared" ca="1" si="174"/>
        <v>#REF!</v>
      </c>
      <c r="M1016" s="118" t="e">
        <f t="shared" ca="1" si="175"/>
        <v>#REF!</v>
      </c>
    </row>
    <row r="1017" spans="1:13" x14ac:dyDescent="0.25">
      <c r="A1017" s="119">
        <v>45468</v>
      </c>
      <c r="B1017" s="119">
        <v>45468</v>
      </c>
      <c r="C1017" s="118" t="e">
        <f t="shared" ca="1" si="165"/>
        <v>#REF!</v>
      </c>
      <c r="D1017" s="118" t="e">
        <f t="shared" ca="1" si="166"/>
        <v>#REF!</v>
      </c>
      <c r="E1017" s="118" t="e">
        <f t="shared" ca="1" si="167"/>
        <v>#REF!</v>
      </c>
      <c r="F1017" s="118" t="e">
        <f t="shared" ca="1" si="168"/>
        <v>#REF!</v>
      </c>
      <c r="G1017" s="118" t="e">
        <f t="shared" ca="1" si="169"/>
        <v>#REF!</v>
      </c>
      <c r="H1017" s="118" t="e">
        <f t="shared" ca="1" si="170"/>
        <v>#REF!</v>
      </c>
      <c r="I1017" s="118" t="e">
        <f t="shared" ca="1" si="171"/>
        <v>#REF!</v>
      </c>
      <c r="J1017" s="118" t="e">
        <f t="shared" ca="1" si="172"/>
        <v>#REF!</v>
      </c>
      <c r="K1017" s="118" t="e">
        <f t="shared" ca="1" si="173"/>
        <v>#REF!</v>
      </c>
      <c r="L1017" s="118" t="e">
        <f t="shared" ca="1" si="174"/>
        <v>#REF!</v>
      </c>
      <c r="M1017" s="118" t="e">
        <f t="shared" ca="1" si="175"/>
        <v>#REF!</v>
      </c>
    </row>
    <row r="1018" spans="1:13" x14ac:dyDescent="0.25">
      <c r="A1018" s="119">
        <v>45469</v>
      </c>
      <c r="B1018" s="119">
        <v>45469</v>
      </c>
      <c r="C1018" s="118" t="e">
        <f t="shared" ca="1" si="165"/>
        <v>#REF!</v>
      </c>
      <c r="D1018" s="118" t="e">
        <f t="shared" ca="1" si="166"/>
        <v>#REF!</v>
      </c>
      <c r="E1018" s="118" t="e">
        <f t="shared" ca="1" si="167"/>
        <v>#REF!</v>
      </c>
      <c r="F1018" s="118" t="e">
        <f t="shared" ca="1" si="168"/>
        <v>#REF!</v>
      </c>
      <c r="G1018" s="118" t="e">
        <f t="shared" ca="1" si="169"/>
        <v>#REF!</v>
      </c>
      <c r="H1018" s="118" t="e">
        <f t="shared" ca="1" si="170"/>
        <v>#REF!</v>
      </c>
      <c r="I1018" s="118" t="e">
        <f t="shared" ca="1" si="171"/>
        <v>#REF!</v>
      </c>
      <c r="J1018" s="118" t="e">
        <f t="shared" ca="1" si="172"/>
        <v>#REF!</v>
      </c>
      <c r="K1018" s="118" t="e">
        <f t="shared" ca="1" si="173"/>
        <v>#REF!</v>
      </c>
      <c r="L1018" s="118" t="e">
        <f t="shared" ca="1" si="174"/>
        <v>#REF!</v>
      </c>
      <c r="M1018" s="118" t="e">
        <f t="shared" ca="1" si="175"/>
        <v>#REF!</v>
      </c>
    </row>
    <row r="1019" spans="1:13" x14ac:dyDescent="0.25">
      <c r="A1019" s="119">
        <v>45470</v>
      </c>
      <c r="B1019" s="119">
        <v>45470</v>
      </c>
      <c r="C1019" s="118" t="e">
        <f t="shared" ca="1" si="165"/>
        <v>#REF!</v>
      </c>
      <c r="D1019" s="118" t="e">
        <f t="shared" ca="1" si="166"/>
        <v>#REF!</v>
      </c>
      <c r="E1019" s="118" t="e">
        <f t="shared" ca="1" si="167"/>
        <v>#REF!</v>
      </c>
      <c r="F1019" s="118" t="e">
        <f t="shared" ca="1" si="168"/>
        <v>#REF!</v>
      </c>
      <c r="G1019" s="118" t="e">
        <f t="shared" ca="1" si="169"/>
        <v>#REF!</v>
      </c>
      <c r="H1019" s="118" t="e">
        <f t="shared" ca="1" si="170"/>
        <v>#REF!</v>
      </c>
      <c r="I1019" s="118" t="e">
        <f t="shared" ca="1" si="171"/>
        <v>#REF!</v>
      </c>
      <c r="J1019" s="118" t="e">
        <f t="shared" ca="1" si="172"/>
        <v>#REF!</v>
      </c>
      <c r="K1019" s="118" t="e">
        <f t="shared" ca="1" si="173"/>
        <v>#REF!</v>
      </c>
      <c r="L1019" s="118" t="e">
        <f t="shared" ca="1" si="174"/>
        <v>#REF!</v>
      </c>
      <c r="M1019" s="118" t="e">
        <f t="shared" ca="1" si="175"/>
        <v>#REF!</v>
      </c>
    </row>
    <row r="1020" spans="1:13" x14ac:dyDescent="0.25">
      <c r="A1020" s="119">
        <v>45471</v>
      </c>
      <c r="B1020" s="119">
        <v>45471</v>
      </c>
      <c r="C1020" s="118" t="e">
        <f t="shared" ca="1" si="165"/>
        <v>#REF!</v>
      </c>
      <c r="D1020" s="118" t="e">
        <f t="shared" ca="1" si="166"/>
        <v>#REF!</v>
      </c>
      <c r="E1020" s="118" t="e">
        <f t="shared" ca="1" si="167"/>
        <v>#REF!</v>
      </c>
      <c r="F1020" s="118" t="e">
        <f t="shared" ca="1" si="168"/>
        <v>#REF!</v>
      </c>
      <c r="G1020" s="118" t="e">
        <f t="shared" ca="1" si="169"/>
        <v>#REF!</v>
      </c>
      <c r="H1020" s="118" t="e">
        <f t="shared" ca="1" si="170"/>
        <v>#REF!</v>
      </c>
      <c r="I1020" s="118" t="e">
        <f t="shared" ca="1" si="171"/>
        <v>#REF!</v>
      </c>
      <c r="J1020" s="118" t="e">
        <f t="shared" ca="1" si="172"/>
        <v>#REF!</v>
      </c>
      <c r="K1020" s="118" t="e">
        <f t="shared" ca="1" si="173"/>
        <v>#REF!</v>
      </c>
      <c r="L1020" s="118" t="e">
        <f t="shared" ca="1" si="174"/>
        <v>#REF!</v>
      </c>
      <c r="M1020" s="118" t="e">
        <f t="shared" ca="1" si="175"/>
        <v>#REF!</v>
      </c>
    </row>
    <row r="1021" spans="1:13" x14ac:dyDescent="0.25">
      <c r="A1021" s="119">
        <v>45472</v>
      </c>
      <c r="B1021" s="119">
        <v>45472</v>
      </c>
      <c r="C1021" s="118" t="e">
        <f t="shared" ca="1" si="165"/>
        <v>#REF!</v>
      </c>
      <c r="D1021" s="118" t="e">
        <f t="shared" ca="1" si="166"/>
        <v>#REF!</v>
      </c>
      <c r="E1021" s="118" t="e">
        <f t="shared" ca="1" si="167"/>
        <v>#REF!</v>
      </c>
      <c r="F1021" s="118" t="e">
        <f t="shared" ca="1" si="168"/>
        <v>#REF!</v>
      </c>
      <c r="G1021" s="118" t="e">
        <f t="shared" ca="1" si="169"/>
        <v>#REF!</v>
      </c>
      <c r="H1021" s="118" t="e">
        <f t="shared" ca="1" si="170"/>
        <v>#REF!</v>
      </c>
      <c r="I1021" s="118" t="e">
        <f t="shared" ca="1" si="171"/>
        <v>#REF!</v>
      </c>
      <c r="J1021" s="118" t="e">
        <f t="shared" ca="1" si="172"/>
        <v>#REF!</v>
      </c>
      <c r="K1021" s="118" t="e">
        <f t="shared" ca="1" si="173"/>
        <v>#REF!</v>
      </c>
      <c r="L1021" s="118" t="e">
        <f t="shared" ca="1" si="174"/>
        <v>#REF!</v>
      </c>
      <c r="M1021" s="118" t="e">
        <f t="shared" ca="1" si="175"/>
        <v>#REF!</v>
      </c>
    </row>
    <row r="1022" spans="1:13" x14ac:dyDescent="0.25">
      <c r="A1022" s="119">
        <v>45473</v>
      </c>
      <c r="B1022" s="119">
        <v>45473</v>
      </c>
      <c r="C1022" s="118" t="e">
        <f t="shared" ca="1" si="165"/>
        <v>#REF!</v>
      </c>
      <c r="D1022" s="118" t="e">
        <f t="shared" ca="1" si="166"/>
        <v>#REF!</v>
      </c>
      <c r="E1022" s="118" t="e">
        <f t="shared" ca="1" si="167"/>
        <v>#REF!</v>
      </c>
      <c r="F1022" s="118" t="e">
        <f t="shared" ca="1" si="168"/>
        <v>#REF!</v>
      </c>
      <c r="G1022" s="118" t="e">
        <f t="shared" ca="1" si="169"/>
        <v>#REF!</v>
      </c>
      <c r="H1022" s="118" t="e">
        <f t="shared" ca="1" si="170"/>
        <v>#REF!</v>
      </c>
      <c r="I1022" s="118" t="e">
        <f t="shared" ca="1" si="171"/>
        <v>#REF!</v>
      </c>
      <c r="J1022" s="118" t="e">
        <f t="shared" ca="1" si="172"/>
        <v>#REF!</v>
      </c>
      <c r="K1022" s="118" t="e">
        <f t="shared" ca="1" si="173"/>
        <v>#REF!</v>
      </c>
      <c r="L1022" s="118" t="e">
        <f t="shared" ca="1" si="174"/>
        <v>#REF!</v>
      </c>
      <c r="M1022" s="118" t="e">
        <f t="shared" ca="1" si="175"/>
        <v>#REF!</v>
      </c>
    </row>
    <row r="1023" spans="1:13" x14ac:dyDescent="0.25">
      <c r="A1023" s="119">
        <v>45474</v>
      </c>
      <c r="B1023" s="119">
        <v>45474</v>
      </c>
      <c r="C1023" s="118" t="e">
        <f t="shared" ca="1" si="165"/>
        <v>#REF!</v>
      </c>
      <c r="D1023" s="118" t="e">
        <f t="shared" ca="1" si="166"/>
        <v>#REF!</v>
      </c>
      <c r="E1023" s="118" t="e">
        <f t="shared" ca="1" si="167"/>
        <v>#REF!</v>
      </c>
      <c r="F1023" s="118" t="e">
        <f t="shared" ca="1" si="168"/>
        <v>#REF!</v>
      </c>
      <c r="G1023" s="118" t="e">
        <f t="shared" ca="1" si="169"/>
        <v>#REF!</v>
      </c>
      <c r="H1023" s="118" t="e">
        <f t="shared" ca="1" si="170"/>
        <v>#REF!</v>
      </c>
      <c r="I1023" s="118" t="e">
        <f t="shared" ca="1" si="171"/>
        <v>#REF!</v>
      </c>
      <c r="J1023" s="118" t="e">
        <f t="shared" ca="1" si="172"/>
        <v>#REF!</v>
      </c>
      <c r="K1023" s="118" t="e">
        <f t="shared" ca="1" si="173"/>
        <v>#REF!</v>
      </c>
      <c r="L1023" s="118" t="e">
        <f t="shared" ca="1" si="174"/>
        <v>#REF!</v>
      </c>
      <c r="M1023" s="118" t="e">
        <f t="shared" ca="1" si="175"/>
        <v>#REF!</v>
      </c>
    </row>
    <row r="1024" spans="1:13" x14ac:dyDescent="0.25">
      <c r="A1024" s="119">
        <v>45475</v>
      </c>
      <c r="B1024" s="119">
        <v>45475</v>
      </c>
      <c r="C1024" s="118" t="e">
        <f t="shared" ca="1" si="165"/>
        <v>#REF!</v>
      </c>
      <c r="D1024" s="118" t="e">
        <f t="shared" ca="1" si="166"/>
        <v>#REF!</v>
      </c>
      <c r="E1024" s="118" t="e">
        <f t="shared" ca="1" si="167"/>
        <v>#REF!</v>
      </c>
      <c r="F1024" s="118" t="e">
        <f t="shared" ca="1" si="168"/>
        <v>#REF!</v>
      </c>
      <c r="G1024" s="118" t="e">
        <f t="shared" ca="1" si="169"/>
        <v>#REF!</v>
      </c>
      <c r="H1024" s="118" t="e">
        <f t="shared" ca="1" si="170"/>
        <v>#REF!</v>
      </c>
      <c r="I1024" s="118" t="e">
        <f t="shared" ca="1" si="171"/>
        <v>#REF!</v>
      </c>
      <c r="J1024" s="118" t="e">
        <f t="shared" ca="1" si="172"/>
        <v>#REF!</v>
      </c>
      <c r="K1024" s="118" t="e">
        <f t="shared" ca="1" si="173"/>
        <v>#REF!</v>
      </c>
      <c r="L1024" s="118" t="e">
        <f t="shared" ca="1" si="174"/>
        <v>#REF!</v>
      </c>
      <c r="M1024" s="118" t="e">
        <f t="shared" ca="1" si="175"/>
        <v>#REF!</v>
      </c>
    </row>
    <row r="1025" spans="1:13" x14ac:dyDescent="0.25">
      <c r="A1025" s="119">
        <v>45476</v>
      </c>
      <c r="B1025" s="119">
        <v>45476</v>
      </c>
      <c r="C1025" s="118" t="e">
        <f t="shared" ca="1" si="165"/>
        <v>#REF!</v>
      </c>
      <c r="D1025" s="118" t="e">
        <f t="shared" ca="1" si="166"/>
        <v>#REF!</v>
      </c>
      <c r="E1025" s="118" t="e">
        <f t="shared" ca="1" si="167"/>
        <v>#REF!</v>
      </c>
      <c r="F1025" s="118" t="e">
        <f t="shared" ca="1" si="168"/>
        <v>#REF!</v>
      </c>
      <c r="G1025" s="118" t="e">
        <f t="shared" ca="1" si="169"/>
        <v>#REF!</v>
      </c>
      <c r="H1025" s="118" t="e">
        <f t="shared" ca="1" si="170"/>
        <v>#REF!</v>
      </c>
      <c r="I1025" s="118" t="e">
        <f t="shared" ca="1" si="171"/>
        <v>#REF!</v>
      </c>
      <c r="J1025" s="118" t="e">
        <f t="shared" ca="1" si="172"/>
        <v>#REF!</v>
      </c>
      <c r="K1025" s="118" t="e">
        <f t="shared" ca="1" si="173"/>
        <v>#REF!</v>
      </c>
      <c r="L1025" s="118" t="e">
        <f t="shared" ca="1" si="174"/>
        <v>#REF!</v>
      </c>
      <c r="M1025" s="118" t="e">
        <f t="shared" ca="1" si="175"/>
        <v>#REF!</v>
      </c>
    </row>
    <row r="1026" spans="1:13" x14ac:dyDescent="0.25">
      <c r="A1026" s="119">
        <v>45477</v>
      </c>
      <c r="B1026" s="119">
        <v>45477</v>
      </c>
      <c r="C1026" s="118" t="e">
        <f t="shared" ca="1" si="165"/>
        <v>#REF!</v>
      </c>
      <c r="D1026" s="118" t="e">
        <f t="shared" ca="1" si="166"/>
        <v>#REF!</v>
      </c>
      <c r="E1026" s="118" t="e">
        <f t="shared" ca="1" si="167"/>
        <v>#REF!</v>
      </c>
      <c r="F1026" s="118" t="e">
        <f t="shared" ca="1" si="168"/>
        <v>#REF!</v>
      </c>
      <c r="G1026" s="118" t="e">
        <f t="shared" ca="1" si="169"/>
        <v>#REF!</v>
      </c>
      <c r="H1026" s="118" t="e">
        <f t="shared" ca="1" si="170"/>
        <v>#REF!</v>
      </c>
      <c r="I1026" s="118" t="e">
        <f t="shared" ca="1" si="171"/>
        <v>#REF!</v>
      </c>
      <c r="J1026" s="118" t="e">
        <f t="shared" ca="1" si="172"/>
        <v>#REF!</v>
      </c>
      <c r="K1026" s="118" t="e">
        <f t="shared" ca="1" si="173"/>
        <v>#REF!</v>
      </c>
      <c r="L1026" s="118" t="e">
        <f t="shared" ca="1" si="174"/>
        <v>#REF!</v>
      </c>
      <c r="M1026" s="118" t="e">
        <f t="shared" ca="1" si="175"/>
        <v>#REF!</v>
      </c>
    </row>
    <row r="1027" spans="1:13" x14ac:dyDescent="0.25">
      <c r="A1027" s="119">
        <v>45478</v>
      </c>
      <c r="B1027" s="119">
        <v>45478</v>
      </c>
      <c r="C1027" s="118" t="e">
        <f t="shared" ref="C1027:C1090" ca="1" si="176">INDIRECT(CONCATENATE("",$A1027,"!H10"))</f>
        <v>#REF!</v>
      </c>
      <c r="D1027" s="118" t="e">
        <f t="shared" ref="D1027:D1090" ca="1" si="177">INDIRECT(CONCATENATE("",$A1027,"!H11"))</f>
        <v>#REF!</v>
      </c>
      <c r="E1027" s="118" t="e">
        <f t="shared" ref="E1027:E1090" ca="1" si="178">INDIRECT(CONCATENATE("",$A1027,"!H12"))</f>
        <v>#REF!</v>
      </c>
      <c r="F1027" s="118" t="e">
        <f t="shared" ref="F1027:F1090" ca="1" si="179">INDIRECT(CONCATENATE("",$A1027,"!H13"))</f>
        <v>#REF!</v>
      </c>
      <c r="G1027" s="118" t="e">
        <f t="shared" ref="G1027:G1090" ca="1" si="180">INDIRECT(CONCATENATE("",$A1027,"!H14"))</f>
        <v>#REF!</v>
      </c>
      <c r="H1027" s="118" t="e">
        <f t="shared" ref="H1027:H1090" ca="1" si="181">INDIRECT(CONCATENATE("",$A1027,"!i12"))</f>
        <v>#REF!</v>
      </c>
      <c r="I1027" s="118" t="e">
        <f t="shared" ref="I1027:I1090" ca="1" si="182">INDIRECT(CONCATENATE("",$A1027,"!i13"))</f>
        <v>#REF!</v>
      </c>
      <c r="J1027" s="118" t="e">
        <f t="shared" ref="J1027:J1090" ca="1" si="183">INDIRECT(CONCATENATE("",$A1027,"!i14"))</f>
        <v>#REF!</v>
      </c>
      <c r="K1027" s="118" t="e">
        <f t="shared" ref="K1027:K1090" ca="1" si="184">INDIRECT(CONCATENATE("",$A1027,"!J12"))</f>
        <v>#REF!</v>
      </c>
      <c r="L1027" s="118" t="e">
        <f t="shared" ref="L1027:L1090" ca="1" si="185">INDIRECT(CONCATENATE("",$A1027,"!J13"))</f>
        <v>#REF!</v>
      </c>
      <c r="M1027" s="118" t="e">
        <f t="shared" ref="M1027:M1090" ca="1" si="186">INDIRECT(CONCATENATE("",$A1027,"!J14"))</f>
        <v>#REF!</v>
      </c>
    </row>
    <row r="1028" spans="1:13" x14ac:dyDescent="0.25">
      <c r="A1028" s="119">
        <v>45479</v>
      </c>
      <c r="B1028" s="119">
        <v>45479</v>
      </c>
      <c r="C1028" s="118" t="e">
        <f t="shared" ca="1" si="176"/>
        <v>#REF!</v>
      </c>
      <c r="D1028" s="118" t="e">
        <f t="shared" ca="1" si="177"/>
        <v>#REF!</v>
      </c>
      <c r="E1028" s="118" t="e">
        <f t="shared" ca="1" si="178"/>
        <v>#REF!</v>
      </c>
      <c r="F1028" s="118" t="e">
        <f t="shared" ca="1" si="179"/>
        <v>#REF!</v>
      </c>
      <c r="G1028" s="118" t="e">
        <f t="shared" ca="1" si="180"/>
        <v>#REF!</v>
      </c>
      <c r="H1028" s="118" t="e">
        <f t="shared" ca="1" si="181"/>
        <v>#REF!</v>
      </c>
      <c r="I1028" s="118" t="e">
        <f t="shared" ca="1" si="182"/>
        <v>#REF!</v>
      </c>
      <c r="J1028" s="118" t="e">
        <f t="shared" ca="1" si="183"/>
        <v>#REF!</v>
      </c>
      <c r="K1028" s="118" t="e">
        <f t="shared" ca="1" si="184"/>
        <v>#REF!</v>
      </c>
      <c r="L1028" s="118" t="e">
        <f t="shared" ca="1" si="185"/>
        <v>#REF!</v>
      </c>
      <c r="M1028" s="118" t="e">
        <f t="shared" ca="1" si="186"/>
        <v>#REF!</v>
      </c>
    </row>
    <row r="1029" spans="1:13" x14ac:dyDescent="0.25">
      <c r="A1029" s="119">
        <v>45480</v>
      </c>
      <c r="B1029" s="119">
        <v>45480</v>
      </c>
      <c r="C1029" s="118" t="e">
        <f t="shared" ca="1" si="176"/>
        <v>#REF!</v>
      </c>
      <c r="D1029" s="118" t="e">
        <f t="shared" ca="1" si="177"/>
        <v>#REF!</v>
      </c>
      <c r="E1029" s="118" t="e">
        <f t="shared" ca="1" si="178"/>
        <v>#REF!</v>
      </c>
      <c r="F1029" s="118" t="e">
        <f t="shared" ca="1" si="179"/>
        <v>#REF!</v>
      </c>
      <c r="G1029" s="118" t="e">
        <f t="shared" ca="1" si="180"/>
        <v>#REF!</v>
      </c>
      <c r="H1029" s="118" t="e">
        <f t="shared" ca="1" si="181"/>
        <v>#REF!</v>
      </c>
      <c r="I1029" s="118" t="e">
        <f t="shared" ca="1" si="182"/>
        <v>#REF!</v>
      </c>
      <c r="J1029" s="118" t="e">
        <f t="shared" ca="1" si="183"/>
        <v>#REF!</v>
      </c>
      <c r="K1029" s="118" t="e">
        <f t="shared" ca="1" si="184"/>
        <v>#REF!</v>
      </c>
      <c r="L1029" s="118" t="e">
        <f t="shared" ca="1" si="185"/>
        <v>#REF!</v>
      </c>
      <c r="M1029" s="118" t="e">
        <f t="shared" ca="1" si="186"/>
        <v>#REF!</v>
      </c>
    </row>
    <row r="1030" spans="1:13" x14ac:dyDescent="0.25">
      <c r="A1030" s="119">
        <v>45481</v>
      </c>
      <c r="B1030" s="119">
        <v>45481</v>
      </c>
      <c r="C1030" s="118" t="e">
        <f t="shared" ca="1" si="176"/>
        <v>#REF!</v>
      </c>
      <c r="D1030" s="118" t="e">
        <f t="shared" ca="1" si="177"/>
        <v>#REF!</v>
      </c>
      <c r="E1030" s="118" t="e">
        <f t="shared" ca="1" si="178"/>
        <v>#REF!</v>
      </c>
      <c r="F1030" s="118" t="e">
        <f t="shared" ca="1" si="179"/>
        <v>#REF!</v>
      </c>
      <c r="G1030" s="118" t="e">
        <f t="shared" ca="1" si="180"/>
        <v>#REF!</v>
      </c>
      <c r="H1030" s="118" t="e">
        <f t="shared" ca="1" si="181"/>
        <v>#REF!</v>
      </c>
      <c r="I1030" s="118" t="e">
        <f t="shared" ca="1" si="182"/>
        <v>#REF!</v>
      </c>
      <c r="J1030" s="118" t="e">
        <f t="shared" ca="1" si="183"/>
        <v>#REF!</v>
      </c>
      <c r="K1030" s="118" t="e">
        <f t="shared" ca="1" si="184"/>
        <v>#REF!</v>
      </c>
      <c r="L1030" s="118" t="e">
        <f t="shared" ca="1" si="185"/>
        <v>#REF!</v>
      </c>
      <c r="M1030" s="118" t="e">
        <f t="shared" ca="1" si="186"/>
        <v>#REF!</v>
      </c>
    </row>
    <row r="1031" spans="1:13" x14ac:dyDescent="0.25">
      <c r="A1031" s="119">
        <v>45482</v>
      </c>
      <c r="B1031" s="119">
        <v>45482</v>
      </c>
      <c r="C1031" s="118" t="e">
        <f t="shared" ca="1" si="176"/>
        <v>#REF!</v>
      </c>
      <c r="D1031" s="118" t="e">
        <f t="shared" ca="1" si="177"/>
        <v>#REF!</v>
      </c>
      <c r="E1031" s="118" t="e">
        <f t="shared" ca="1" si="178"/>
        <v>#REF!</v>
      </c>
      <c r="F1031" s="118" t="e">
        <f t="shared" ca="1" si="179"/>
        <v>#REF!</v>
      </c>
      <c r="G1031" s="118" t="e">
        <f t="shared" ca="1" si="180"/>
        <v>#REF!</v>
      </c>
      <c r="H1031" s="118" t="e">
        <f t="shared" ca="1" si="181"/>
        <v>#REF!</v>
      </c>
      <c r="I1031" s="118" t="e">
        <f t="shared" ca="1" si="182"/>
        <v>#REF!</v>
      </c>
      <c r="J1031" s="118" t="e">
        <f t="shared" ca="1" si="183"/>
        <v>#REF!</v>
      </c>
      <c r="K1031" s="118" t="e">
        <f t="shared" ca="1" si="184"/>
        <v>#REF!</v>
      </c>
      <c r="L1031" s="118" t="e">
        <f t="shared" ca="1" si="185"/>
        <v>#REF!</v>
      </c>
      <c r="M1031" s="118" t="e">
        <f t="shared" ca="1" si="186"/>
        <v>#REF!</v>
      </c>
    </row>
    <row r="1032" spans="1:13" x14ac:dyDescent="0.25">
      <c r="A1032" s="119">
        <v>45483</v>
      </c>
      <c r="B1032" s="119">
        <v>45483</v>
      </c>
      <c r="C1032" s="118" t="e">
        <f t="shared" ca="1" si="176"/>
        <v>#REF!</v>
      </c>
      <c r="D1032" s="118" t="e">
        <f t="shared" ca="1" si="177"/>
        <v>#REF!</v>
      </c>
      <c r="E1032" s="118" t="e">
        <f t="shared" ca="1" si="178"/>
        <v>#REF!</v>
      </c>
      <c r="F1032" s="118" t="e">
        <f t="shared" ca="1" si="179"/>
        <v>#REF!</v>
      </c>
      <c r="G1032" s="118" t="e">
        <f t="shared" ca="1" si="180"/>
        <v>#REF!</v>
      </c>
      <c r="H1032" s="118" t="e">
        <f t="shared" ca="1" si="181"/>
        <v>#REF!</v>
      </c>
      <c r="I1032" s="118" t="e">
        <f t="shared" ca="1" si="182"/>
        <v>#REF!</v>
      </c>
      <c r="J1032" s="118" t="e">
        <f t="shared" ca="1" si="183"/>
        <v>#REF!</v>
      </c>
      <c r="K1032" s="118" t="e">
        <f t="shared" ca="1" si="184"/>
        <v>#REF!</v>
      </c>
      <c r="L1032" s="118" t="e">
        <f t="shared" ca="1" si="185"/>
        <v>#REF!</v>
      </c>
      <c r="M1032" s="118" t="e">
        <f t="shared" ca="1" si="186"/>
        <v>#REF!</v>
      </c>
    </row>
    <row r="1033" spans="1:13" x14ac:dyDescent="0.25">
      <c r="A1033" s="119">
        <v>45484</v>
      </c>
      <c r="B1033" s="119">
        <v>45484</v>
      </c>
      <c r="C1033" s="118" t="e">
        <f t="shared" ca="1" si="176"/>
        <v>#REF!</v>
      </c>
      <c r="D1033" s="118" t="e">
        <f t="shared" ca="1" si="177"/>
        <v>#REF!</v>
      </c>
      <c r="E1033" s="118" t="e">
        <f t="shared" ca="1" si="178"/>
        <v>#REF!</v>
      </c>
      <c r="F1033" s="118" t="e">
        <f t="shared" ca="1" si="179"/>
        <v>#REF!</v>
      </c>
      <c r="G1033" s="118" t="e">
        <f t="shared" ca="1" si="180"/>
        <v>#REF!</v>
      </c>
      <c r="H1033" s="118" t="e">
        <f t="shared" ca="1" si="181"/>
        <v>#REF!</v>
      </c>
      <c r="I1033" s="118" t="e">
        <f t="shared" ca="1" si="182"/>
        <v>#REF!</v>
      </c>
      <c r="J1033" s="118" t="e">
        <f t="shared" ca="1" si="183"/>
        <v>#REF!</v>
      </c>
      <c r="K1033" s="118" t="e">
        <f t="shared" ca="1" si="184"/>
        <v>#REF!</v>
      </c>
      <c r="L1033" s="118" t="e">
        <f t="shared" ca="1" si="185"/>
        <v>#REF!</v>
      </c>
      <c r="M1033" s="118" t="e">
        <f t="shared" ca="1" si="186"/>
        <v>#REF!</v>
      </c>
    </row>
    <row r="1034" spans="1:13" x14ac:dyDescent="0.25">
      <c r="A1034" s="119">
        <v>45485</v>
      </c>
      <c r="B1034" s="119">
        <v>45485</v>
      </c>
      <c r="C1034" s="118" t="e">
        <f t="shared" ca="1" si="176"/>
        <v>#REF!</v>
      </c>
      <c r="D1034" s="118" t="e">
        <f t="shared" ca="1" si="177"/>
        <v>#REF!</v>
      </c>
      <c r="E1034" s="118" t="e">
        <f t="shared" ca="1" si="178"/>
        <v>#REF!</v>
      </c>
      <c r="F1034" s="118" t="e">
        <f t="shared" ca="1" si="179"/>
        <v>#REF!</v>
      </c>
      <c r="G1034" s="118" t="e">
        <f t="shared" ca="1" si="180"/>
        <v>#REF!</v>
      </c>
      <c r="H1034" s="118" t="e">
        <f t="shared" ca="1" si="181"/>
        <v>#REF!</v>
      </c>
      <c r="I1034" s="118" t="e">
        <f t="shared" ca="1" si="182"/>
        <v>#REF!</v>
      </c>
      <c r="J1034" s="118" t="e">
        <f t="shared" ca="1" si="183"/>
        <v>#REF!</v>
      </c>
      <c r="K1034" s="118" t="e">
        <f t="shared" ca="1" si="184"/>
        <v>#REF!</v>
      </c>
      <c r="L1034" s="118" t="e">
        <f t="shared" ca="1" si="185"/>
        <v>#REF!</v>
      </c>
      <c r="M1034" s="118" t="e">
        <f t="shared" ca="1" si="186"/>
        <v>#REF!</v>
      </c>
    </row>
    <row r="1035" spans="1:13" x14ac:dyDescent="0.25">
      <c r="A1035" s="119">
        <v>45486</v>
      </c>
      <c r="B1035" s="119">
        <v>45486</v>
      </c>
      <c r="C1035" s="118" t="e">
        <f t="shared" ca="1" si="176"/>
        <v>#REF!</v>
      </c>
      <c r="D1035" s="118" t="e">
        <f t="shared" ca="1" si="177"/>
        <v>#REF!</v>
      </c>
      <c r="E1035" s="118" t="e">
        <f t="shared" ca="1" si="178"/>
        <v>#REF!</v>
      </c>
      <c r="F1035" s="118" t="e">
        <f t="shared" ca="1" si="179"/>
        <v>#REF!</v>
      </c>
      <c r="G1035" s="118" t="e">
        <f t="shared" ca="1" si="180"/>
        <v>#REF!</v>
      </c>
      <c r="H1035" s="118" t="e">
        <f t="shared" ca="1" si="181"/>
        <v>#REF!</v>
      </c>
      <c r="I1035" s="118" t="e">
        <f t="shared" ca="1" si="182"/>
        <v>#REF!</v>
      </c>
      <c r="J1035" s="118" t="e">
        <f t="shared" ca="1" si="183"/>
        <v>#REF!</v>
      </c>
      <c r="K1035" s="118" t="e">
        <f t="shared" ca="1" si="184"/>
        <v>#REF!</v>
      </c>
      <c r="L1035" s="118" t="e">
        <f t="shared" ca="1" si="185"/>
        <v>#REF!</v>
      </c>
      <c r="M1035" s="118" t="e">
        <f t="shared" ca="1" si="186"/>
        <v>#REF!</v>
      </c>
    </row>
    <row r="1036" spans="1:13" x14ac:dyDescent="0.25">
      <c r="A1036" s="119">
        <v>45487</v>
      </c>
      <c r="B1036" s="119">
        <v>45487</v>
      </c>
      <c r="C1036" s="118" t="e">
        <f t="shared" ca="1" si="176"/>
        <v>#REF!</v>
      </c>
      <c r="D1036" s="118" t="e">
        <f t="shared" ca="1" si="177"/>
        <v>#REF!</v>
      </c>
      <c r="E1036" s="118" t="e">
        <f t="shared" ca="1" si="178"/>
        <v>#REF!</v>
      </c>
      <c r="F1036" s="118" t="e">
        <f t="shared" ca="1" si="179"/>
        <v>#REF!</v>
      </c>
      <c r="G1036" s="118" t="e">
        <f t="shared" ca="1" si="180"/>
        <v>#REF!</v>
      </c>
      <c r="H1036" s="118" t="e">
        <f t="shared" ca="1" si="181"/>
        <v>#REF!</v>
      </c>
      <c r="I1036" s="118" t="e">
        <f t="shared" ca="1" si="182"/>
        <v>#REF!</v>
      </c>
      <c r="J1036" s="118" t="e">
        <f t="shared" ca="1" si="183"/>
        <v>#REF!</v>
      </c>
      <c r="K1036" s="118" t="e">
        <f t="shared" ca="1" si="184"/>
        <v>#REF!</v>
      </c>
      <c r="L1036" s="118" t="e">
        <f t="shared" ca="1" si="185"/>
        <v>#REF!</v>
      </c>
      <c r="M1036" s="118" t="e">
        <f t="shared" ca="1" si="186"/>
        <v>#REF!</v>
      </c>
    </row>
    <row r="1037" spans="1:13" x14ac:dyDescent="0.25">
      <c r="A1037" s="119">
        <v>45488</v>
      </c>
      <c r="B1037" s="119">
        <v>45488</v>
      </c>
      <c r="C1037" s="118" t="e">
        <f t="shared" ca="1" si="176"/>
        <v>#REF!</v>
      </c>
      <c r="D1037" s="118" t="e">
        <f t="shared" ca="1" si="177"/>
        <v>#REF!</v>
      </c>
      <c r="E1037" s="118" t="e">
        <f t="shared" ca="1" si="178"/>
        <v>#REF!</v>
      </c>
      <c r="F1037" s="118" t="e">
        <f t="shared" ca="1" si="179"/>
        <v>#REF!</v>
      </c>
      <c r="G1037" s="118" t="e">
        <f t="shared" ca="1" si="180"/>
        <v>#REF!</v>
      </c>
      <c r="H1037" s="118" t="e">
        <f t="shared" ca="1" si="181"/>
        <v>#REF!</v>
      </c>
      <c r="I1037" s="118" t="e">
        <f t="shared" ca="1" si="182"/>
        <v>#REF!</v>
      </c>
      <c r="J1037" s="118" t="e">
        <f t="shared" ca="1" si="183"/>
        <v>#REF!</v>
      </c>
      <c r="K1037" s="118" t="e">
        <f t="shared" ca="1" si="184"/>
        <v>#REF!</v>
      </c>
      <c r="L1037" s="118" t="e">
        <f t="shared" ca="1" si="185"/>
        <v>#REF!</v>
      </c>
      <c r="M1037" s="118" t="e">
        <f t="shared" ca="1" si="186"/>
        <v>#REF!</v>
      </c>
    </row>
    <row r="1038" spans="1:13" x14ac:dyDescent="0.25">
      <c r="A1038" s="119">
        <v>45489</v>
      </c>
      <c r="B1038" s="119">
        <v>45489</v>
      </c>
      <c r="C1038" s="118" t="e">
        <f t="shared" ca="1" si="176"/>
        <v>#REF!</v>
      </c>
      <c r="D1038" s="118" t="e">
        <f t="shared" ca="1" si="177"/>
        <v>#REF!</v>
      </c>
      <c r="E1038" s="118" t="e">
        <f t="shared" ca="1" si="178"/>
        <v>#REF!</v>
      </c>
      <c r="F1038" s="118" t="e">
        <f t="shared" ca="1" si="179"/>
        <v>#REF!</v>
      </c>
      <c r="G1038" s="118" t="e">
        <f t="shared" ca="1" si="180"/>
        <v>#REF!</v>
      </c>
      <c r="H1038" s="118" t="e">
        <f t="shared" ca="1" si="181"/>
        <v>#REF!</v>
      </c>
      <c r="I1038" s="118" t="e">
        <f t="shared" ca="1" si="182"/>
        <v>#REF!</v>
      </c>
      <c r="J1038" s="118" t="e">
        <f t="shared" ca="1" si="183"/>
        <v>#REF!</v>
      </c>
      <c r="K1038" s="118" t="e">
        <f t="shared" ca="1" si="184"/>
        <v>#REF!</v>
      </c>
      <c r="L1038" s="118" t="e">
        <f t="shared" ca="1" si="185"/>
        <v>#REF!</v>
      </c>
      <c r="M1038" s="118" t="e">
        <f t="shared" ca="1" si="186"/>
        <v>#REF!</v>
      </c>
    </row>
    <row r="1039" spans="1:13" x14ac:dyDescent="0.25">
      <c r="A1039" s="119">
        <v>45490</v>
      </c>
      <c r="B1039" s="119">
        <v>45490</v>
      </c>
      <c r="C1039" s="118" t="e">
        <f t="shared" ca="1" si="176"/>
        <v>#REF!</v>
      </c>
      <c r="D1039" s="118" t="e">
        <f t="shared" ca="1" si="177"/>
        <v>#REF!</v>
      </c>
      <c r="E1039" s="118" t="e">
        <f t="shared" ca="1" si="178"/>
        <v>#REF!</v>
      </c>
      <c r="F1039" s="118" t="e">
        <f t="shared" ca="1" si="179"/>
        <v>#REF!</v>
      </c>
      <c r="G1039" s="118" t="e">
        <f t="shared" ca="1" si="180"/>
        <v>#REF!</v>
      </c>
      <c r="H1039" s="118" t="e">
        <f t="shared" ca="1" si="181"/>
        <v>#REF!</v>
      </c>
      <c r="I1039" s="118" t="e">
        <f t="shared" ca="1" si="182"/>
        <v>#REF!</v>
      </c>
      <c r="J1039" s="118" t="e">
        <f t="shared" ca="1" si="183"/>
        <v>#REF!</v>
      </c>
      <c r="K1039" s="118" t="e">
        <f t="shared" ca="1" si="184"/>
        <v>#REF!</v>
      </c>
      <c r="L1039" s="118" t="e">
        <f t="shared" ca="1" si="185"/>
        <v>#REF!</v>
      </c>
      <c r="M1039" s="118" t="e">
        <f t="shared" ca="1" si="186"/>
        <v>#REF!</v>
      </c>
    </row>
    <row r="1040" spans="1:13" x14ac:dyDescent="0.25">
      <c r="A1040" s="119">
        <v>45491</v>
      </c>
      <c r="B1040" s="119">
        <v>45491</v>
      </c>
      <c r="C1040" s="118" t="e">
        <f t="shared" ca="1" si="176"/>
        <v>#REF!</v>
      </c>
      <c r="D1040" s="118" t="e">
        <f t="shared" ca="1" si="177"/>
        <v>#REF!</v>
      </c>
      <c r="E1040" s="118" t="e">
        <f t="shared" ca="1" si="178"/>
        <v>#REF!</v>
      </c>
      <c r="F1040" s="118" t="e">
        <f t="shared" ca="1" si="179"/>
        <v>#REF!</v>
      </c>
      <c r="G1040" s="118" t="e">
        <f t="shared" ca="1" si="180"/>
        <v>#REF!</v>
      </c>
      <c r="H1040" s="118" t="e">
        <f t="shared" ca="1" si="181"/>
        <v>#REF!</v>
      </c>
      <c r="I1040" s="118" t="e">
        <f t="shared" ca="1" si="182"/>
        <v>#REF!</v>
      </c>
      <c r="J1040" s="118" t="e">
        <f t="shared" ca="1" si="183"/>
        <v>#REF!</v>
      </c>
      <c r="K1040" s="118" t="e">
        <f t="shared" ca="1" si="184"/>
        <v>#REF!</v>
      </c>
      <c r="L1040" s="118" t="e">
        <f t="shared" ca="1" si="185"/>
        <v>#REF!</v>
      </c>
      <c r="M1040" s="118" t="e">
        <f t="shared" ca="1" si="186"/>
        <v>#REF!</v>
      </c>
    </row>
    <row r="1041" spans="1:13" x14ac:dyDescent="0.25">
      <c r="A1041" s="119">
        <v>45492</v>
      </c>
      <c r="B1041" s="119">
        <v>45492</v>
      </c>
      <c r="C1041" s="118" t="e">
        <f t="shared" ca="1" si="176"/>
        <v>#REF!</v>
      </c>
      <c r="D1041" s="118" t="e">
        <f t="shared" ca="1" si="177"/>
        <v>#REF!</v>
      </c>
      <c r="E1041" s="118" t="e">
        <f t="shared" ca="1" si="178"/>
        <v>#REF!</v>
      </c>
      <c r="F1041" s="118" t="e">
        <f t="shared" ca="1" si="179"/>
        <v>#REF!</v>
      </c>
      <c r="G1041" s="118" t="e">
        <f t="shared" ca="1" si="180"/>
        <v>#REF!</v>
      </c>
      <c r="H1041" s="118" t="e">
        <f t="shared" ca="1" si="181"/>
        <v>#REF!</v>
      </c>
      <c r="I1041" s="118" t="e">
        <f t="shared" ca="1" si="182"/>
        <v>#REF!</v>
      </c>
      <c r="J1041" s="118" t="e">
        <f t="shared" ca="1" si="183"/>
        <v>#REF!</v>
      </c>
      <c r="K1041" s="118" t="e">
        <f t="shared" ca="1" si="184"/>
        <v>#REF!</v>
      </c>
      <c r="L1041" s="118" t="e">
        <f t="shared" ca="1" si="185"/>
        <v>#REF!</v>
      </c>
      <c r="M1041" s="118" t="e">
        <f t="shared" ca="1" si="186"/>
        <v>#REF!</v>
      </c>
    </row>
    <row r="1042" spans="1:13" x14ac:dyDescent="0.25">
      <c r="A1042" s="119">
        <v>45493</v>
      </c>
      <c r="B1042" s="119">
        <v>45493</v>
      </c>
      <c r="C1042" s="118" t="e">
        <f t="shared" ca="1" si="176"/>
        <v>#REF!</v>
      </c>
      <c r="D1042" s="118" t="e">
        <f t="shared" ca="1" si="177"/>
        <v>#REF!</v>
      </c>
      <c r="E1042" s="118" t="e">
        <f t="shared" ca="1" si="178"/>
        <v>#REF!</v>
      </c>
      <c r="F1042" s="118" t="e">
        <f t="shared" ca="1" si="179"/>
        <v>#REF!</v>
      </c>
      <c r="G1042" s="118" t="e">
        <f t="shared" ca="1" si="180"/>
        <v>#REF!</v>
      </c>
      <c r="H1042" s="118" t="e">
        <f t="shared" ca="1" si="181"/>
        <v>#REF!</v>
      </c>
      <c r="I1042" s="118" t="e">
        <f t="shared" ca="1" si="182"/>
        <v>#REF!</v>
      </c>
      <c r="J1042" s="118" t="e">
        <f t="shared" ca="1" si="183"/>
        <v>#REF!</v>
      </c>
      <c r="K1042" s="118" t="e">
        <f t="shared" ca="1" si="184"/>
        <v>#REF!</v>
      </c>
      <c r="L1042" s="118" t="e">
        <f t="shared" ca="1" si="185"/>
        <v>#REF!</v>
      </c>
      <c r="M1042" s="118" t="e">
        <f t="shared" ca="1" si="186"/>
        <v>#REF!</v>
      </c>
    </row>
    <row r="1043" spans="1:13" x14ac:dyDescent="0.25">
      <c r="A1043" s="119">
        <v>45494</v>
      </c>
      <c r="B1043" s="119">
        <v>45494</v>
      </c>
      <c r="C1043" s="118" t="e">
        <f t="shared" ca="1" si="176"/>
        <v>#REF!</v>
      </c>
      <c r="D1043" s="118" t="e">
        <f t="shared" ca="1" si="177"/>
        <v>#REF!</v>
      </c>
      <c r="E1043" s="118" t="e">
        <f t="shared" ca="1" si="178"/>
        <v>#REF!</v>
      </c>
      <c r="F1043" s="118" t="e">
        <f t="shared" ca="1" si="179"/>
        <v>#REF!</v>
      </c>
      <c r="G1043" s="118" t="e">
        <f t="shared" ca="1" si="180"/>
        <v>#REF!</v>
      </c>
      <c r="H1043" s="118" t="e">
        <f t="shared" ca="1" si="181"/>
        <v>#REF!</v>
      </c>
      <c r="I1043" s="118" t="e">
        <f t="shared" ca="1" si="182"/>
        <v>#REF!</v>
      </c>
      <c r="J1043" s="118" t="e">
        <f t="shared" ca="1" si="183"/>
        <v>#REF!</v>
      </c>
      <c r="K1043" s="118" t="e">
        <f t="shared" ca="1" si="184"/>
        <v>#REF!</v>
      </c>
      <c r="L1043" s="118" t="e">
        <f t="shared" ca="1" si="185"/>
        <v>#REF!</v>
      </c>
      <c r="M1043" s="118" t="e">
        <f t="shared" ca="1" si="186"/>
        <v>#REF!</v>
      </c>
    </row>
    <row r="1044" spans="1:13" x14ac:dyDescent="0.25">
      <c r="A1044" s="119">
        <v>45495</v>
      </c>
      <c r="B1044" s="119">
        <v>45495</v>
      </c>
      <c r="C1044" s="118" t="e">
        <f t="shared" ca="1" si="176"/>
        <v>#REF!</v>
      </c>
      <c r="D1044" s="118" t="e">
        <f t="shared" ca="1" si="177"/>
        <v>#REF!</v>
      </c>
      <c r="E1044" s="118" t="e">
        <f t="shared" ca="1" si="178"/>
        <v>#REF!</v>
      </c>
      <c r="F1044" s="118" t="e">
        <f t="shared" ca="1" si="179"/>
        <v>#REF!</v>
      </c>
      <c r="G1044" s="118" t="e">
        <f t="shared" ca="1" si="180"/>
        <v>#REF!</v>
      </c>
      <c r="H1044" s="118" t="e">
        <f t="shared" ca="1" si="181"/>
        <v>#REF!</v>
      </c>
      <c r="I1044" s="118" t="e">
        <f t="shared" ca="1" si="182"/>
        <v>#REF!</v>
      </c>
      <c r="J1044" s="118" t="e">
        <f t="shared" ca="1" si="183"/>
        <v>#REF!</v>
      </c>
      <c r="K1044" s="118" t="e">
        <f t="shared" ca="1" si="184"/>
        <v>#REF!</v>
      </c>
      <c r="L1044" s="118" t="e">
        <f t="shared" ca="1" si="185"/>
        <v>#REF!</v>
      </c>
      <c r="M1044" s="118" t="e">
        <f t="shared" ca="1" si="186"/>
        <v>#REF!</v>
      </c>
    </row>
    <row r="1045" spans="1:13" x14ac:dyDescent="0.25">
      <c r="A1045" s="119">
        <v>45496</v>
      </c>
      <c r="B1045" s="119">
        <v>45496</v>
      </c>
      <c r="C1045" s="118" t="e">
        <f t="shared" ca="1" si="176"/>
        <v>#REF!</v>
      </c>
      <c r="D1045" s="118" t="e">
        <f t="shared" ca="1" si="177"/>
        <v>#REF!</v>
      </c>
      <c r="E1045" s="118" t="e">
        <f t="shared" ca="1" si="178"/>
        <v>#REF!</v>
      </c>
      <c r="F1045" s="118" t="e">
        <f t="shared" ca="1" si="179"/>
        <v>#REF!</v>
      </c>
      <c r="G1045" s="118" t="e">
        <f t="shared" ca="1" si="180"/>
        <v>#REF!</v>
      </c>
      <c r="H1045" s="118" t="e">
        <f t="shared" ca="1" si="181"/>
        <v>#REF!</v>
      </c>
      <c r="I1045" s="118" t="e">
        <f t="shared" ca="1" si="182"/>
        <v>#REF!</v>
      </c>
      <c r="J1045" s="118" t="e">
        <f t="shared" ca="1" si="183"/>
        <v>#REF!</v>
      </c>
      <c r="K1045" s="118" t="e">
        <f t="shared" ca="1" si="184"/>
        <v>#REF!</v>
      </c>
      <c r="L1045" s="118" t="e">
        <f t="shared" ca="1" si="185"/>
        <v>#REF!</v>
      </c>
      <c r="M1045" s="118" t="e">
        <f t="shared" ca="1" si="186"/>
        <v>#REF!</v>
      </c>
    </row>
    <row r="1046" spans="1:13" x14ac:dyDescent="0.25">
      <c r="A1046" s="119">
        <v>45497</v>
      </c>
      <c r="B1046" s="119">
        <v>45497</v>
      </c>
      <c r="C1046" s="118" t="e">
        <f t="shared" ca="1" si="176"/>
        <v>#REF!</v>
      </c>
      <c r="D1046" s="118" t="e">
        <f t="shared" ca="1" si="177"/>
        <v>#REF!</v>
      </c>
      <c r="E1046" s="118" t="e">
        <f t="shared" ca="1" si="178"/>
        <v>#REF!</v>
      </c>
      <c r="F1046" s="118" t="e">
        <f t="shared" ca="1" si="179"/>
        <v>#REF!</v>
      </c>
      <c r="G1046" s="118" t="e">
        <f t="shared" ca="1" si="180"/>
        <v>#REF!</v>
      </c>
      <c r="H1046" s="118" t="e">
        <f t="shared" ca="1" si="181"/>
        <v>#REF!</v>
      </c>
      <c r="I1046" s="118" t="e">
        <f t="shared" ca="1" si="182"/>
        <v>#REF!</v>
      </c>
      <c r="J1046" s="118" t="e">
        <f t="shared" ca="1" si="183"/>
        <v>#REF!</v>
      </c>
      <c r="K1046" s="118" t="e">
        <f t="shared" ca="1" si="184"/>
        <v>#REF!</v>
      </c>
      <c r="L1046" s="118" t="e">
        <f t="shared" ca="1" si="185"/>
        <v>#REF!</v>
      </c>
      <c r="M1046" s="118" t="e">
        <f t="shared" ca="1" si="186"/>
        <v>#REF!</v>
      </c>
    </row>
    <row r="1047" spans="1:13" x14ac:dyDescent="0.25">
      <c r="A1047" s="119">
        <v>45498</v>
      </c>
      <c r="B1047" s="119">
        <v>45498</v>
      </c>
      <c r="C1047" s="118" t="e">
        <f t="shared" ca="1" si="176"/>
        <v>#REF!</v>
      </c>
      <c r="D1047" s="118" t="e">
        <f t="shared" ca="1" si="177"/>
        <v>#REF!</v>
      </c>
      <c r="E1047" s="118" t="e">
        <f t="shared" ca="1" si="178"/>
        <v>#REF!</v>
      </c>
      <c r="F1047" s="118" t="e">
        <f t="shared" ca="1" si="179"/>
        <v>#REF!</v>
      </c>
      <c r="G1047" s="118" t="e">
        <f t="shared" ca="1" si="180"/>
        <v>#REF!</v>
      </c>
      <c r="H1047" s="118" t="e">
        <f t="shared" ca="1" si="181"/>
        <v>#REF!</v>
      </c>
      <c r="I1047" s="118" t="e">
        <f t="shared" ca="1" si="182"/>
        <v>#REF!</v>
      </c>
      <c r="J1047" s="118" t="e">
        <f t="shared" ca="1" si="183"/>
        <v>#REF!</v>
      </c>
      <c r="K1047" s="118" t="e">
        <f t="shared" ca="1" si="184"/>
        <v>#REF!</v>
      </c>
      <c r="L1047" s="118" t="e">
        <f t="shared" ca="1" si="185"/>
        <v>#REF!</v>
      </c>
      <c r="M1047" s="118" t="e">
        <f t="shared" ca="1" si="186"/>
        <v>#REF!</v>
      </c>
    </row>
    <row r="1048" spans="1:13" x14ac:dyDescent="0.25">
      <c r="A1048" s="119">
        <v>45499</v>
      </c>
      <c r="B1048" s="119">
        <v>45499</v>
      </c>
      <c r="C1048" s="118" t="e">
        <f t="shared" ca="1" si="176"/>
        <v>#REF!</v>
      </c>
      <c r="D1048" s="118" t="e">
        <f t="shared" ca="1" si="177"/>
        <v>#REF!</v>
      </c>
      <c r="E1048" s="118" t="e">
        <f t="shared" ca="1" si="178"/>
        <v>#REF!</v>
      </c>
      <c r="F1048" s="118" t="e">
        <f t="shared" ca="1" si="179"/>
        <v>#REF!</v>
      </c>
      <c r="G1048" s="118" t="e">
        <f t="shared" ca="1" si="180"/>
        <v>#REF!</v>
      </c>
      <c r="H1048" s="118" t="e">
        <f t="shared" ca="1" si="181"/>
        <v>#REF!</v>
      </c>
      <c r="I1048" s="118" t="e">
        <f t="shared" ca="1" si="182"/>
        <v>#REF!</v>
      </c>
      <c r="J1048" s="118" t="e">
        <f t="shared" ca="1" si="183"/>
        <v>#REF!</v>
      </c>
      <c r="K1048" s="118" t="e">
        <f t="shared" ca="1" si="184"/>
        <v>#REF!</v>
      </c>
      <c r="L1048" s="118" t="e">
        <f t="shared" ca="1" si="185"/>
        <v>#REF!</v>
      </c>
      <c r="M1048" s="118" t="e">
        <f t="shared" ca="1" si="186"/>
        <v>#REF!</v>
      </c>
    </row>
    <row r="1049" spans="1:13" x14ac:dyDescent="0.25">
      <c r="A1049" s="119">
        <v>45500</v>
      </c>
      <c r="B1049" s="119">
        <v>45500</v>
      </c>
      <c r="C1049" s="118" t="e">
        <f t="shared" ca="1" si="176"/>
        <v>#REF!</v>
      </c>
      <c r="D1049" s="118" t="e">
        <f t="shared" ca="1" si="177"/>
        <v>#REF!</v>
      </c>
      <c r="E1049" s="118" t="e">
        <f t="shared" ca="1" si="178"/>
        <v>#REF!</v>
      </c>
      <c r="F1049" s="118" t="e">
        <f t="shared" ca="1" si="179"/>
        <v>#REF!</v>
      </c>
      <c r="G1049" s="118" t="e">
        <f t="shared" ca="1" si="180"/>
        <v>#REF!</v>
      </c>
      <c r="H1049" s="118" t="e">
        <f t="shared" ca="1" si="181"/>
        <v>#REF!</v>
      </c>
      <c r="I1049" s="118" t="e">
        <f t="shared" ca="1" si="182"/>
        <v>#REF!</v>
      </c>
      <c r="J1049" s="118" t="e">
        <f t="shared" ca="1" si="183"/>
        <v>#REF!</v>
      </c>
      <c r="K1049" s="118" t="e">
        <f t="shared" ca="1" si="184"/>
        <v>#REF!</v>
      </c>
      <c r="L1049" s="118" t="e">
        <f t="shared" ca="1" si="185"/>
        <v>#REF!</v>
      </c>
      <c r="M1049" s="118" t="e">
        <f t="shared" ca="1" si="186"/>
        <v>#REF!</v>
      </c>
    </row>
    <row r="1050" spans="1:13" x14ac:dyDescent="0.25">
      <c r="A1050" s="119">
        <v>45501</v>
      </c>
      <c r="B1050" s="119">
        <v>45501</v>
      </c>
      <c r="C1050" s="118" t="e">
        <f t="shared" ca="1" si="176"/>
        <v>#REF!</v>
      </c>
      <c r="D1050" s="118" t="e">
        <f t="shared" ca="1" si="177"/>
        <v>#REF!</v>
      </c>
      <c r="E1050" s="118" t="e">
        <f t="shared" ca="1" si="178"/>
        <v>#REF!</v>
      </c>
      <c r="F1050" s="118" t="e">
        <f t="shared" ca="1" si="179"/>
        <v>#REF!</v>
      </c>
      <c r="G1050" s="118" t="e">
        <f t="shared" ca="1" si="180"/>
        <v>#REF!</v>
      </c>
      <c r="H1050" s="118" t="e">
        <f t="shared" ca="1" si="181"/>
        <v>#REF!</v>
      </c>
      <c r="I1050" s="118" t="e">
        <f t="shared" ca="1" si="182"/>
        <v>#REF!</v>
      </c>
      <c r="J1050" s="118" t="e">
        <f t="shared" ca="1" si="183"/>
        <v>#REF!</v>
      </c>
      <c r="K1050" s="118" t="e">
        <f t="shared" ca="1" si="184"/>
        <v>#REF!</v>
      </c>
      <c r="L1050" s="118" t="e">
        <f t="shared" ca="1" si="185"/>
        <v>#REF!</v>
      </c>
      <c r="M1050" s="118" t="e">
        <f t="shared" ca="1" si="186"/>
        <v>#REF!</v>
      </c>
    </row>
    <row r="1051" spans="1:13" x14ac:dyDescent="0.25">
      <c r="A1051" s="119">
        <v>45502</v>
      </c>
      <c r="B1051" s="119">
        <v>45502</v>
      </c>
      <c r="C1051" s="118" t="e">
        <f t="shared" ca="1" si="176"/>
        <v>#REF!</v>
      </c>
      <c r="D1051" s="118" t="e">
        <f t="shared" ca="1" si="177"/>
        <v>#REF!</v>
      </c>
      <c r="E1051" s="118" t="e">
        <f t="shared" ca="1" si="178"/>
        <v>#REF!</v>
      </c>
      <c r="F1051" s="118" t="e">
        <f t="shared" ca="1" si="179"/>
        <v>#REF!</v>
      </c>
      <c r="G1051" s="118" t="e">
        <f t="shared" ca="1" si="180"/>
        <v>#REF!</v>
      </c>
      <c r="H1051" s="118" t="e">
        <f t="shared" ca="1" si="181"/>
        <v>#REF!</v>
      </c>
      <c r="I1051" s="118" t="e">
        <f t="shared" ca="1" si="182"/>
        <v>#REF!</v>
      </c>
      <c r="J1051" s="118" t="e">
        <f t="shared" ca="1" si="183"/>
        <v>#REF!</v>
      </c>
      <c r="K1051" s="118" t="e">
        <f t="shared" ca="1" si="184"/>
        <v>#REF!</v>
      </c>
      <c r="L1051" s="118" t="e">
        <f t="shared" ca="1" si="185"/>
        <v>#REF!</v>
      </c>
      <c r="M1051" s="118" t="e">
        <f t="shared" ca="1" si="186"/>
        <v>#REF!</v>
      </c>
    </row>
    <row r="1052" spans="1:13" x14ac:dyDescent="0.25">
      <c r="A1052" s="119">
        <v>45503</v>
      </c>
      <c r="B1052" s="119">
        <v>45503</v>
      </c>
      <c r="C1052" s="118" t="e">
        <f t="shared" ca="1" si="176"/>
        <v>#REF!</v>
      </c>
      <c r="D1052" s="118" t="e">
        <f t="shared" ca="1" si="177"/>
        <v>#REF!</v>
      </c>
      <c r="E1052" s="118" t="e">
        <f t="shared" ca="1" si="178"/>
        <v>#REF!</v>
      </c>
      <c r="F1052" s="118" t="e">
        <f t="shared" ca="1" si="179"/>
        <v>#REF!</v>
      </c>
      <c r="G1052" s="118" t="e">
        <f t="shared" ca="1" si="180"/>
        <v>#REF!</v>
      </c>
      <c r="H1052" s="118" t="e">
        <f t="shared" ca="1" si="181"/>
        <v>#REF!</v>
      </c>
      <c r="I1052" s="118" t="e">
        <f t="shared" ca="1" si="182"/>
        <v>#REF!</v>
      </c>
      <c r="J1052" s="118" t="e">
        <f t="shared" ca="1" si="183"/>
        <v>#REF!</v>
      </c>
      <c r="K1052" s="118" t="e">
        <f t="shared" ca="1" si="184"/>
        <v>#REF!</v>
      </c>
      <c r="L1052" s="118" t="e">
        <f t="shared" ca="1" si="185"/>
        <v>#REF!</v>
      </c>
      <c r="M1052" s="118" t="e">
        <f t="shared" ca="1" si="186"/>
        <v>#REF!</v>
      </c>
    </row>
    <row r="1053" spans="1:13" x14ac:dyDescent="0.25">
      <c r="C1053" s="118" t="e">
        <f t="shared" ca="1" si="176"/>
        <v>#REF!</v>
      </c>
      <c r="D1053" s="118" t="e">
        <f t="shared" ca="1" si="177"/>
        <v>#REF!</v>
      </c>
      <c r="E1053" s="118" t="e">
        <f t="shared" ca="1" si="178"/>
        <v>#REF!</v>
      </c>
      <c r="F1053" s="118" t="e">
        <f t="shared" ca="1" si="179"/>
        <v>#REF!</v>
      </c>
      <c r="G1053" s="118" t="e">
        <f t="shared" ca="1" si="180"/>
        <v>#REF!</v>
      </c>
      <c r="H1053" s="118" t="e">
        <f t="shared" ca="1" si="181"/>
        <v>#REF!</v>
      </c>
      <c r="I1053" s="118" t="e">
        <f t="shared" ca="1" si="182"/>
        <v>#REF!</v>
      </c>
      <c r="J1053" s="118" t="e">
        <f t="shared" ca="1" si="183"/>
        <v>#REF!</v>
      </c>
      <c r="K1053" s="118" t="e">
        <f t="shared" ca="1" si="184"/>
        <v>#REF!</v>
      </c>
      <c r="L1053" s="118" t="e">
        <f t="shared" ca="1" si="185"/>
        <v>#REF!</v>
      </c>
      <c r="M1053" s="118" t="e">
        <f t="shared" ca="1" si="186"/>
        <v>#REF!</v>
      </c>
    </row>
    <row r="1054" spans="1:13" x14ac:dyDescent="0.25">
      <c r="C1054" s="118" t="e">
        <f t="shared" ca="1" si="176"/>
        <v>#REF!</v>
      </c>
      <c r="D1054" s="118" t="e">
        <f t="shared" ca="1" si="177"/>
        <v>#REF!</v>
      </c>
      <c r="E1054" s="118" t="e">
        <f t="shared" ca="1" si="178"/>
        <v>#REF!</v>
      </c>
      <c r="F1054" s="118" t="e">
        <f t="shared" ca="1" si="179"/>
        <v>#REF!</v>
      </c>
      <c r="G1054" s="118" t="e">
        <f t="shared" ca="1" si="180"/>
        <v>#REF!</v>
      </c>
      <c r="H1054" s="118" t="e">
        <f t="shared" ca="1" si="181"/>
        <v>#REF!</v>
      </c>
      <c r="I1054" s="118" t="e">
        <f t="shared" ca="1" si="182"/>
        <v>#REF!</v>
      </c>
      <c r="J1054" s="118" t="e">
        <f t="shared" ca="1" si="183"/>
        <v>#REF!</v>
      </c>
      <c r="K1054" s="118" t="e">
        <f t="shared" ca="1" si="184"/>
        <v>#REF!</v>
      </c>
      <c r="L1054" s="118" t="e">
        <f t="shared" ca="1" si="185"/>
        <v>#REF!</v>
      </c>
      <c r="M1054" s="118" t="e">
        <f t="shared" ca="1" si="186"/>
        <v>#REF!</v>
      </c>
    </row>
    <row r="1055" spans="1:13" x14ac:dyDescent="0.25">
      <c r="C1055" s="118" t="e">
        <f t="shared" ca="1" si="176"/>
        <v>#REF!</v>
      </c>
      <c r="D1055" s="118" t="e">
        <f t="shared" ca="1" si="177"/>
        <v>#REF!</v>
      </c>
      <c r="E1055" s="118" t="e">
        <f t="shared" ca="1" si="178"/>
        <v>#REF!</v>
      </c>
      <c r="F1055" s="118" t="e">
        <f t="shared" ca="1" si="179"/>
        <v>#REF!</v>
      </c>
      <c r="G1055" s="118" t="e">
        <f t="shared" ca="1" si="180"/>
        <v>#REF!</v>
      </c>
      <c r="H1055" s="118" t="e">
        <f t="shared" ca="1" si="181"/>
        <v>#REF!</v>
      </c>
      <c r="I1055" s="118" t="e">
        <f t="shared" ca="1" si="182"/>
        <v>#REF!</v>
      </c>
      <c r="J1055" s="118" t="e">
        <f t="shared" ca="1" si="183"/>
        <v>#REF!</v>
      </c>
      <c r="K1055" s="118" t="e">
        <f t="shared" ca="1" si="184"/>
        <v>#REF!</v>
      </c>
      <c r="L1055" s="118" t="e">
        <f t="shared" ca="1" si="185"/>
        <v>#REF!</v>
      </c>
      <c r="M1055" s="118" t="e">
        <f t="shared" ca="1" si="186"/>
        <v>#REF!</v>
      </c>
    </row>
    <row r="1056" spans="1:13" x14ac:dyDescent="0.25">
      <c r="C1056" s="118" t="e">
        <f t="shared" ca="1" si="176"/>
        <v>#REF!</v>
      </c>
      <c r="D1056" s="118" t="e">
        <f t="shared" ca="1" si="177"/>
        <v>#REF!</v>
      </c>
      <c r="E1056" s="118" t="e">
        <f t="shared" ca="1" si="178"/>
        <v>#REF!</v>
      </c>
      <c r="F1056" s="118" t="e">
        <f t="shared" ca="1" si="179"/>
        <v>#REF!</v>
      </c>
      <c r="G1056" s="118" t="e">
        <f t="shared" ca="1" si="180"/>
        <v>#REF!</v>
      </c>
      <c r="H1056" s="118" t="e">
        <f t="shared" ca="1" si="181"/>
        <v>#REF!</v>
      </c>
      <c r="I1056" s="118" t="e">
        <f t="shared" ca="1" si="182"/>
        <v>#REF!</v>
      </c>
      <c r="J1056" s="118" t="e">
        <f t="shared" ca="1" si="183"/>
        <v>#REF!</v>
      </c>
      <c r="K1056" s="118" t="e">
        <f t="shared" ca="1" si="184"/>
        <v>#REF!</v>
      </c>
      <c r="L1056" s="118" t="e">
        <f t="shared" ca="1" si="185"/>
        <v>#REF!</v>
      </c>
      <c r="M1056" s="118" t="e">
        <f t="shared" ca="1" si="186"/>
        <v>#REF!</v>
      </c>
    </row>
    <row r="1057" spans="3:13" x14ac:dyDescent="0.25">
      <c r="C1057" s="118" t="e">
        <f t="shared" ca="1" si="176"/>
        <v>#REF!</v>
      </c>
      <c r="D1057" s="118" t="e">
        <f t="shared" ca="1" si="177"/>
        <v>#REF!</v>
      </c>
      <c r="E1057" s="118" t="e">
        <f t="shared" ca="1" si="178"/>
        <v>#REF!</v>
      </c>
      <c r="F1057" s="118" t="e">
        <f t="shared" ca="1" si="179"/>
        <v>#REF!</v>
      </c>
      <c r="G1057" s="118" t="e">
        <f t="shared" ca="1" si="180"/>
        <v>#REF!</v>
      </c>
      <c r="H1057" s="118" t="e">
        <f t="shared" ca="1" si="181"/>
        <v>#REF!</v>
      </c>
      <c r="I1057" s="118" t="e">
        <f t="shared" ca="1" si="182"/>
        <v>#REF!</v>
      </c>
      <c r="J1057" s="118" t="e">
        <f t="shared" ca="1" si="183"/>
        <v>#REF!</v>
      </c>
      <c r="K1057" s="118" t="e">
        <f t="shared" ca="1" si="184"/>
        <v>#REF!</v>
      </c>
      <c r="L1057" s="118" t="e">
        <f t="shared" ca="1" si="185"/>
        <v>#REF!</v>
      </c>
      <c r="M1057" s="118" t="e">
        <f t="shared" ca="1" si="186"/>
        <v>#REF!</v>
      </c>
    </row>
    <row r="1058" spans="3:13" x14ac:dyDescent="0.25">
      <c r="C1058" s="118" t="e">
        <f t="shared" ca="1" si="176"/>
        <v>#REF!</v>
      </c>
      <c r="D1058" s="118" t="e">
        <f t="shared" ca="1" si="177"/>
        <v>#REF!</v>
      </c>
      <c r="E1058" s="118" t="e">
        <f t="shared" ca="1" si="178"/>
        <v>#REF!</v>
      </c>
      <c r="F1058" s="118" t="e">
        <f t="shared" ca="1" si="179"/>
        <v>#REF!</v>
      </c>
      <c r="G1058" s="118" t="e">
        <f t="shared" ca="1" si="180"/>
        <v>#REF!</v>
      </c>
      <c r="H1058" s="118" t="e">
        <f t="shared" ca="1" si="181"/>
        <v>#REF!</v>
      </c>
      <c r="I1058" s="118" t="e">
        <f t="shared" ca="1" si="182"/>
        <v>#REF!</v>
      </c>
      <c r="J1058" s="118" t="e">
        <f t="shared" ca="1" si="183"/>
        <v>#REF!</v>
      </c>
      <c r="K1058" s="118" t="e">
        <f t="shared" ca="1" si="184"/>
        <v>#REF!</v>
      </c>
      <c r="L1058" s="118" t="e">
        <f t="shared" ca="1" si="185"/>
        <v>#REF!</v>
      </c>
      <c r="M1058" s="118" t="e">
        <f t="shared" ca="1" si="186"/>
        <v>#REF!</v>
      </c>
    </row>
    <row r="1059" spans="3:13" x14ac:dyDescent="0.25">
      <c r="C1059" s="118" t="e">
        <f t="shared" ca="1" si="176"/>
        <v>#REF!</v>
      </c>
      <c r="D1059" s="118" t="e">
        <f t="shared" ca="1" si="177"/>
        <v>#REF!</v>
      </c>
      <c r="E1059" s="118" t="e">
        <f t="shared" ca="1" si="178"/>
        <v>#REF!</v>
      </c>
      <c r="F1059" s="118" t="e">
        <f t="shared" ca="1" si="179"/>
        <v>#REF!</v>
      </c>
      <c r="G1059" s="118" t="e">
        <f t="shared" ca="1" si="180"/>
        <v>#REF!</v>
      </c>
      <c r="H1059" s="118" t="e">
        <f t="shared" ca="1" si="181"/>
        <v>#REF!</v>
      </c>
      <c r="I1059" s="118" t="e">
        <f t="shared" ca="1" si="182"/>
        <v>#REF!</v>
      </c>
      <c r="J1059" s="118" t="e">
        <f t="shared" ca="1" si="183"/>
        <v>#REF!</v>
      </c>
      <c r="K1059" s="118" t="e">
        <f t="shared" ca="1" si="184"/>
        <v>#REF!</v>
      </c>
      <c r="L1059" s="118" t="e">
        <f t="shared" ca="1" si="185"/>
        <v>#REF!</v>
      </c>
      <c r="M1059" s="118" t="e">
        <f t="shared" ca="1" si="186"/>
        <v>#REF!</v>
      </c>
    </row>
    <row r="1060" spans="3:13" x14ac:dyDescent="0.25">
      <c r="C1060" s="118" t="e">
        <f t="shared" ca="1" si="176"/>
        <v>#REF!</v>
      </c>
      <c r="D1060" s="118" t="e">
        <f t="shared" ca="1" si="177"/>
        <v>#REF!</v>
      </c>
      <c r="E1060" s="118" t="e">
        <f t="shared" ca="1" si="178"/>
        <v>#REF!</v>
      </c>
      <c r="F1060" s="118" t="e">
        <f t="shared" ca="1" si="179"/>
        <v>#REF!</v>
      </c>
      <c r="G1060" s="118" t="e">
        <f t="shared" ca="1" si="180"/>
        <v>#REF!</v>
      </c>
      <c r="H1060" s="118" t="e">
        <f t="shared" ca="1" si="181"/>
        <v>#REF!</v>
      </c>
      <c r="I1060" s="118" t="e">
        <f t="shared" ca="1" si="182"/>
        <v>#REF!</v>
      </c>
      <c r="J1060" s="118" t="e">
        <f t="shared" ca="1" si="183"/>
        <v>#REF!</v>
      </c>
      <c r="K1060" s="118" t="e">
        <f t="shared" ca="1" si="184"/>
        <v>#REF!</v>
      </c>
      <c r="L1060" s="118" t="e">
        <f t="shared" ca="1" si="185"/>
        <v>#REF!</v>
      </c>
      <c r="M1060" s="118" t="e">
        <f t="shared" ca="1" si="186"/>
        <v>#REF!</v>
      </c>
    </row>
    <row r="1061" spans="3:13" x14ac:dyDescent="0.25">
      <c r="C1061" s="118" t="e">
        <f t="shared" ca="1" si="176"/>
        <v>#REF!</v>
      </c>
      <c r="D1061" s="118" t="e">
        <f t="shared" ca="1" si="177"/>
        <v>#REF!</v>
      </c>
      <c r="E1061" s="118" t="e">
        <f t="shared" ca="1" si="178"/>
        <v>#REF!</v>
      </c>
      <c r="F1061" s="118" t="e">
        <f t="shared" ca="1" si="179"/>
        <v>#REF!</v>
      </c>
      <c r="G1061" s="118" t="e">
        <f t="shared" ca="1" si="180"/>
        <v>#REF!</v>
      </c>
      <c r="H1061" s="118" t="e">
        <f t="shared" ca="1" si="181"/>
        <v>#REF!</v>
      </c>
      <c r="I1061" s="118" t="e">
        <f t="shared" ca="1" si="182"/>
        <v>#REF!</v>
      </c>
      <c r="J1061" s="118" t="e">
        <f t="shared" ca="1" si="183"/>
        <v>#REF!</v>
      </c>
      <c r="K1061" s="118" t="e">
        <f t="shared" ca="1" si="184"/>
        <v>#REF!</v>
      </c>
      <c r="L1061" s="118" t="e">
        <f t="shared" ca="1" si="185"/>
        <v>#REF!</v>
      </c>
      <c r="M1061" s="118" t="e">
        <f t="shared" ca="1" si="186"/>
        <v>#REF!</v>
      </c>
    </row>
    <row r="1062" spans="3:13" x14ac:dyDescent="0.25">
      <c r="C1062" s="118" t="e">
        <f t="shared" ca="1" si="176"/>
        <v>#REF!</v>
      </c>
      <c r="D1062" s="118" t="e">
        <f t="shared" ca="1" si="177"/>
        <v>#REF!</v>
      </c>
      <c r="E1062" s="118" t="e">
        <f t="shared" ca="1" si="178"/>
        <v>#REF!</v>
      </c>
      <c r="F1062" s="118" t="e">
        <f t="shared" ca="1" si="179"/>
        <v>#REF!</v>
      </c>
      <c r="G1062" s="118" t="e">
        <f t="shared" ca="1" si="180"/>
        <v>#REF!</v>
      </c>
      <c r="H1062" s="118" t="e">
        <f t="shared" ca="1" si="181"/>
        <v>#REF!</v>
      </c>
      <c r="I1062" s="118" t="e">
        <f t="shared" ca="1" si="182"/>
        <v>#REF!</v>
      </c>
      <c r="J1062" s="118" t="e">
        <f t="shared" ca="1" si="183"/>
        <v>#REF!</v>
      </c>
      <c r="K1062" s="118" t="e">
        <f t="shared" ca="1" si="184"/>
        <v>#REF!</v>
      </c>
      <c r="L1062" s="118" t="e">
        <f t="shared" ca="1" si="185"/>
        <v>#REF!</v>
      </c>
      <c r="M1062" s="118" t="e">
        <f t="shared" ca="1" si="186"/>
        <v>#REF!</v>
      </c>
    </row>
    <row r="1063" spans="3:13" x14ac:dyDescent="0.25">
      <c r="C1063" s="118" t="e">
        <f t="shared" ca="1" si="176"/>
        <v>#REF!</v>
      </c>
      <c r="D1063" s="118" t="e">
        <f t="shared" ca="1" si="177"/>
        <v>#REF!</v>
      </c>
      <c r="E1063" s="118" t="e">
        <f t="shared" ca="1" si="178"/>
        <v>#REF!</v>
      </c>
      <c r="F1063" s="118" t="e">
        <f t="shared" ca="1" si="179"/>
        <v>#REF!</v>
      </c>
      <c r="G1063" s="118" t="e">
        <f t="shared" ca="1" si="180"/>
        <v>#REF!</v>
      </c>
      <c r="H1063" s="118" t="e">
        <f t="shared" ca="1" si="181"/>
        <v>#REF!</v>
      </c>
      <c r="I1063" s="118" t="e">
        <f t="shared" ca="1" si="182"/>
        <v>#REF!</v>
      </c>
      <c r="J1063" s="118" t="e">
        <f t="shared" ca="1" si="183"/>
        <v>#REF!</v>
      </c>
      <c r="K1063" s="118" t="e">
        <f t="shared" ca="1" si="184"/>
        <v>#REF!</v>
      </c>
      <c r="L1063" s="118" t="e">
        <f t="shared" ca="1" si="185"/>
        <v>#REF!</v>
      </c>
      <c r="M1063" s="118" t="e">
        <f t="shared" ca="1" si="186"/>
        <v>#REF!</v>
      </c>
    </row>
    <row r="1064" spans="3:13" x14ac:dyDescent="0.25">
      <c r="C1064" s="118" t="e">
        <f t="shared" ca="1" si="176"/>
        <v>#REF!</v>
      </c>
      <c r="D1064" s="118" t="e">
        <f t="shared" ca="1" si="177"/>
        <v>#REF!</v>
      </c>
      <c r="E1064" s="118" t="e">
        <f t="shared" ca="1" si="178"/>
        <v>#REF!</v>
      </c>
      <c r="F1064" s="118" t="e">
        <f t="shared" ca="1" si="179"/>
        <v>#REF!</v>
      </c>
      <c r="G1064" s="118" t="e">
        <f t="shared" ca="1" si="180"/>
        <v>#REF!</v>
      </c>
      <c r="H1064" s="118" t="e">
        <f t="shared" ca="1" si="181"/>
        <v>#REF!</v>
      </c>
      <c r="I1064" s="118" t="e">
        <f t="shared" ca="1" si="182"/>
        <v>#REF!</v>
      </c>
      <c r="J1064" s="118" t="e">
        <f t="shared" ca="1" si="183"/>
        <v>#REF!</v>
      </c>
      <c r="K1064" s="118" t="e">
        <f t="shared" ca="1" si="184"/>
        <v>#REF!</v>
      </c>
      <c r="L1064" s="118" t="e">
        <f t="shared" ca="1" si="185"/>
        <v>#REF!</v>
      </c>
      <c r="M1064" s="118" t="e">
        <f t="shared" ca="1" si="186"/>
        <v>#REF!</v>
      </c>
    </row>
    <row r="1065" spans="3:13" x14ac:dyDescent="0.25">
      <c r="C1065" s="118" t="e">
        <f t="shared" ca="1" si="176"/>
        <v>#REF!</v>
      </c>
      <c r="D1065" s="118" t="e">
        <f t="shared" ca="1" si="177"/>
        <v>#REF!</v>
      </c>
      <c r="E1065" s="118" t="e">
        <f t="shared" ca="1" si="178"/>
        <v>#REF!</v>
      </c>
      <c r="F1065" s="118" t="e">
        <f t="shared" ca="1" si="179"/>
        <v>#REF!</v>
      </c>
      <c r="G1065" s="118" t="e">
        <f t="shared" ca="1" si="180"/>
        <v>#REF!</v>
      </c>
      <c r="H1065" s="118" t="e">
        <f t="shared" ca="1" si="181"/>
        <v>#REF!</v>
      </c>
      <c r="I1065" s="118" t="e">
        <f t="shared" ca="1" si="182"/>
        <v>#REF!</v>
      </c>
      <c r="J1065" s="118" t="e">
        <f t="shared" ca="1" si="183"/>
        <v>#REF!</v>
      </c>
      <c r="K1065" s="118" t="e">
        <f t="shared" ca="1" si="184"/>
        <v>#REF!</v>
      </c>
      <c r="L1065" s="118" t="e">
        <f t="shared" ca="1" si="185"/>
        <v>#REF!</v>
      </c>
      <c r="M1065" s="118" t="e">
        <f t="shared" ca="1" si="186"/>
        <v>#REF!</v>
      </c>
    </row>
    <row r="1066" spans="3:13" x14ac:dyDescent="0.25">
      <c r="C1066" s="118" t="e">
        <f t="shared" ca="1" si="176"/>
        <v>#REF!</v>
      </c>
      <c r="D1066" s="118" t="e">
        <f t="shared" ca="1" si="177"/>
        <v>#REF!</v>
      </c>
      <c r="E1066" s="118" t="e">
        <f t="shared" ca="1" si="178"/>
        <v>#REF!</v>
      </c>
      <c r="F1066" s="118" t="e">
        <f t="shared" ca="1" si="179"/>
        <v>#REF!</v>
      </c>
      <c r="G1066" s="118" t="e">
        <f t="shared" ca="1" si="180"/>
        <v>#REF!</v>
      </c>
      <c r="H1066" s="118" t="e">
        <f t="shared" ca="1" si="181"/>
        <v>#REF!</v>
      </c>
      <c r="I1066" s="118" t="e">
        <f t="shared" ca="1" si="182"/>
        <v>#REF!</v>
      </c>
      <c r="J1066" s="118" t="e">
        <f t="shared" ca="1" si="183"/>
        <v>#REF!</v>
      </c>
      <c r="K1066" s="118" t="e">
        <f t="shared" ca="1" si="184"/>
        <v>#REF!</v>
      </c>
      <c r="L1066" s="118" t="e">
        <f t="shared" ca="1" si="185"/>
        <v>#REF!</v>
      </c>
      <c r="M1066" s="118" t="e">
        <f t="shared" ca="1" si="186"/>
        <v>#REF!</v>
      </c>
    </row>
    <row r="1067" spans="3:13" x14ac:dyDescent="0.25">
      <c r="C1067" s="118" t="e">
        <f t="shared" ca="1" si="176"/>
        <v>#REF!</v>
      </c>
      <c r="D1067" s="118" t="e">
        <f t="shared" ca="1" si="177"/>
        <v>#REF!</v>
      </c>
      <c r="E1067" s="118" t="e">
        <f t="shared" ca="1" si="178"/>
        <v>#REF!</v>
      </c>
      <c r="F1067" s="118" t="e">
        <f t="shared" ca="1" si="179"/>
        <v>#REF!</v>
      </c>
      <c r="G1067" s="118" t="e">
        <f t="shared" ca="1" si="180"/>
        <v>#REF!</v>
      </c>
      <c r="H1067" s="118" t="e">
        <f t="shared" ca="1" si="181"/>
        <v>#REF!</v>
      </c>
      <c r="I1067" s="118" t="e">
        <f t="shared" ca="1" si="182"/>
        <v>#REF!</v>
      </c>
      <c r="J1067" s="118" t="e">
        <f t="shared" ca="1" si="183"/>
        <v>#REF!</v>
      </c>
      <c r="K1067" s="118" t="e">
        <f t="shared" ca="1" si="184"/>
        <v>#REF!</v>
      </c>
      <c r="L1067" s="118" t="e">
        <f t="shared" ca="1" si="185"/>
        <v>#REF!</v>
      </c>
      <c r="M1067" s="118" t="e">
        <f t="shared" ca="1" si="186"/>
        <v>#REF!</v>
      </c>
    </row>
    <row r="1068" spans="3:13" x14ac:dyDescent="0.25">
      <c r="C1068" s="118" t="e">
        <f t="shared" ca="1" si="176"/>
        <v>#REF!</v>
      </c>
      <c r="D1068" s="118" t="e">
        <f t="shared" ca="1" si="177"/>
        <v>#REF!</v>
      </c>
      <c r="E1068" s="118" t="e">
        <f t="shared" ca="1" si="178"/>
        <v>#REF!</v>
      </c>
      <c r="F1068" s="118" t="e">
        <f t="shared" ca="1" si="179"/>
        <v>#REF!</v>
      </c>
      <c r="G1068" s="118" t="e">
        <f t="shared" ca="1" si="180"/>
        <v>#REF!</v>
      </c>
      <c r="H1068" s="118" t="e">
        <f t="shared" ca="1" si="181"/>
        <v>#REF!</v>
      </c>
      <c r="I1068" s="118" t="e">
        <f t="shared" ca="1" si="182"/>
        <v>#REF!</v>
      </c>
      <c r="J1068" s="118" t="e">
        <f t="shared" ca="1" si="183"/>
        <v>#REF!</v>
      </c>
      <c r="K1068" s="118" t="e">
        <f t="shared" ca="1" si="184"/>
        <v>#REF!</v>
      </c>
      <c r="L1068" s="118" t="e">
        <f t="shared" ca="1" si="185"/>
        <v>#REF!</v>
      </c>
      <c r="M1068" s="118" t="e">
        <f t="shared" ca="1" si="186"/>
        <v>#REF!</v>
      </c>
    </row>
    <row r="1069" spans="3:13" x14ac:dyDescent="0.25">
      <c r="C1069" s="118" t="e">
        <f t="shared" ca="1" si="176"/>
        <v>#REF!</v>
      </c>
      <c r="D1069" s="118" t="e">
        <f t="shared" ca="1" si="177"/>
        <v>#REF!</v>
      </c>
      <c r="E1069" s="118" t="e">
        <f t="shared" ca="1" si="178"/>
        <v>#REF!</v>
      </c>
      <c r="F1069" s="118" t="e">
        <f t="shared" ca="1" si="179"/>
        <v>#REF!</v>
      </c>
      <c r="G1069" s="118" t="e">
        <f t="shared" ca="1" si="180"/>
        <v>#REF!</v>
      </c>
      <c r="H1069" s="118" t="e">
        <f t="shared" ca="1" si="181"/>
        <v>#REF!</v>
      </c>
      <c r="I1069" s="118" t="e">
        <f t="shared" ca="1" si="182"/>
        <v>#REF!</v>
      </c>
      <c r="J1069" s="118" t="e">
        <f t="shared" ca="1" si="183"/>
        <v>#REF!</v>
      </c>
      <c r="K1069" s="118" t="e">
        <f t="shared" ca="1" si="184"/>
        <v>#REF!</v>
      </c>
      <c r="L1069" s="118" t="e">
        <f t="shared" ca="1" si="185"/>
        <v>#REF!</v>
      </c>
      <c r="M1069" s="118" t="e">
        <f t="shared" ca="1" si="186"/>
        <v>#REF!</v>
      </c>
    </row>
    <row r="1070" spans="3:13" x14ac:dyDescent="0.25">
      <c r="C1070" s="118" t="e">
        <f t="shared" ca="1" si="176"/>
        <v>#REF!</v>
      </c>
      <c r="D1070" s="118" t="e">
        <f t="shared" ca="1" si="177"/>
        <v>#REF!</v>
      </c>
      <c r="E1070" s="118" t="e">
        <f t="shared" ca="1" si="178"/>
        <v>#REF!</v>
      </c>
      <c r="F1070" s="118" t="e">
        <f t="shared" ca="1" si="179"/>
        <v>#REF!</v>
      </c>
      <c r="G1070" s="118" t="e">
        <f t="shared" ca="1" si="180"/>
        <v>#REF!</v>
      </c>
      <c r="H1070" s="118" t="e">
        <f t="shared" ca="1" si="181"/>
        <v>#REF!</v>
      </c>
      <c r="I1070" s="118" t="e">
        <f t="shared" ca="1" si="182"/>
        <v>#REF!</v>
      </c>
      <c r="J1070" s="118" t="e">
        <f t="shared" ca="1" si="183"/>
        <v>#REF!</v>
      </c>
      <c r="K1070" s="118" t="e">
        <f t="shared" ca="1" si="184"/>
        <v>#REF!</v>
      </c>
      <c r="L1070" s="118" t="e">
        <f t="shared" ca="1" si="185"/>
        <v>#REF!</v>
      </c>
      <c r="M1070" s="118" t="e">
        <f t="shared" ca="1" si="186"/>
        <v>#REF!</v>
      </c>
    </row>
    <row r="1071" spans="3:13" x14ac:dyDescent="0.25">
      <c r="C1071" s="118" t="e">
        <f t="shared" ca="1" si="176"/>
        <v>#REF!</v>
      </c>
      <c r="D1071" s="118" t="e">
        <f t="shared" ca="1" si="177"/>
        <v>#REF!</v>
      </c>
      <c r="E1071" s="118" t="e">
        <f t="shared" ca="1" si="178"/>
        <v>#REF!</v>
      </c>
      <c r="F1071" s="118" t="e">
        <f t="shared" ca="1" si="179"/>
        <v>#REF!</v>
      </c>
      <c r="G1071" s="118" t="e">
        <f t="shared" ca="1" si="180"/>
        <v>#REF!</v>
      </c>
      <c r="H1071" s="118" t="e">
        <f t="shared" ca="1" si="181"/>
        <v>#REF!</v>
      </c>
      <c r="I1071" s="118" t="e">
        <f t="shared" ca="1" si="182"/>
        <v>#REF!</v>
      </c>
      <c r="J1071" s="118" t="e">
        <f t="shared" ca="1" si="183"/>
        <v>#REF!</v>
      </c>
      <c r="K1071" s="118" t="e">
        <f t="shared" ca="1" si="184"/>
        <v>#REF!</v>
      </c>
      <c r="L1071" s="118" t="e">
        <f t="shared" ca="1" si="185"/>
        <v>#REF!</v>
      </c>
      <c r="M1071" s="118" t="e">
        <f t="shared" ca="1" si="186"/>
        <v>#REF!</v>
      </c>
    </row>
    <row r="1072" spans="3:13" x14ac:dyDescent="0.25">
      <c r="C1072" s="118" t="e">
        <f t="shared" ca="1" si="176"/>
        <v>#REF!</v>
      </c>
      <c r="D1072" s="118" t="e">
        <f t="shared" ca="1" si="177"/>
        <v>#REF!</v>
      </c>
      <c r="E1072" s="118" t="e">
        <f t="shared" ca="1" si="178"/>
        <v>#REF!</v>
      </c>
      <c r="F1072" s="118" t="e">
        <f t="shared" ca="1" si="179"/>
        <v>#REF!</v>
      </c>
      <c r="G1072" s="118" t="e">
        <f t="shared" ca="1" si="180"/>
        <v>#REF!</v>
      </c>
      <c r="H1072" s="118" t="e">
        <f t="shared" ca="1" si="181"/>
        <v>#REF!</v>
      </c>
      <c r="I1072" s="118" t="e">
        <f t="shared" ca="1" si="182"/>
        <v>#REF!</v>
      </c>
      <c r="J1072" s="118" t="e">
        <f t="shared" ca="1" si="183"/>
        <v>#REF!</v>
      </c>
      <c r="K1072" s="118" t="e">
        <f t="shared" ca="1" si="184"/>
        <v>#REF!</v>
      </c>
      <c r="L1072" s="118" t="e">
        <f t="shared" ca="1" si="185"/>
        <v>#REF!</v>
      </c>
      <c r="M1072" s="118" t="e">
        <f t="shared" ca="1" si="186"/>
        <v>#REF!</v>
      </c>
    </row>
    <row r="1073" spans="3:13" x14ac:dyDescent="0.25">
      <c r="C1073" s="118" t="e">
        <f t="shared" ca="1" si="176"/>
        <v>#REF!</v>
      </c>
      <c r="D1073" s="118" t="e">
        <f t="shared" ca="1" si="177"/>
        <v>#REF!</v>
      </c>
      <c r="E1073" s="118" t="e">
        <f t="shared" ca="1" si="178"/>
        <v>#REF!</v>
      </c>
      <c r="F1073" s="118" t="e">
        <f t="shared" ca="1" si="179"/>
        <v>#REF!</v>
      </c>
      <c r="G1073" s="118" t="e">
        <f t="shared" ca="1" si="180"/>
        <v>#REF!</v>
      </c>
      <c r="H1073" s="118" t="e">
        <f t="shared" ca="1" si="181"/>
        <v>#REF!</v>
      </c>
      <c r="I1073" s="118" t="e">
        <f t="shared" ca="1" si="182"/>
        <v>#REF!</v>
      </c>
      <c r="J1073" s="118" t="e">
        <f t="shared" ca="1" si="183"/>
        <v>#REF!</v>
      </c>
      <c r="K1073" s="118" t="e">
        <f t="shared" ca="1" si="184"/>
        <v>#REF!</v>
      </c>
      <c r="L1073" s="118" t="e">
        <f t="shared" ca="1" si="185"/>
        <v>#REF!</v>
      </c>
      <c r="M1073" s="118" t="e">
        <f t="shared" ca="1" si="186"/>
        <v>#REF!</v>
      </c>
    </row>
    <row r="1074" spans="3:13" x14ac:dyDescent="0.25">
      <c r="C1074" s="118" t="e">
        <f t="shared" ca="1" si="176"/>
        <v>#REF!</v>
      </c>
      <c r="D1074" s="118" t="e">
        <f t="shared" ca="1" si="177"/>
        <v>#REF!</v>
      </c>
      <c r="E1074" s="118" t="e">
        <f t="shared" ca="1" si="178"/>
        <v>#REF!</v>
      </c>
      <c r="F1074" s="118" t="e">
        <f t="shared" ca="1" si="179"/>
        <v>#REF!</v>
      </c>
      <c r="G1074" s="118" t="e">
        <f t="shared" ca="1" si="180"/>
        <v>#REF!</v>
      </c>
      <c r="H1074" s="118" t="e">
        <f t="shared" ca="1" si="181"/>
        <v>#REF!</v>
      </c>
      <c r="I1074" s="118" t="e">
        <f t="shared" ca="1" si="182"/>
        <v>#REF!</v>
      </c>
      <c r="J1074" s="118" t="e">
        <f t="shared" ca="1" si="183"/>
        <v>#REF!</v>
      </c>
      <c r="K1074" s="118" t="e">
        <f t="shared" ca="1" si="184"/>
        <v>#REF!</v>
      </c>
      <c r="L1074" s="118" t="e">
        <f t="shared" ca="1" si="185"/>
        <v>#REF!</v>
      </c>
      <c r="M1074" s="118" t="e">
        <f t="shared" ca="1" si="186"/>
        <v>#REF!</v>
      </c>
    </row>
    <row r="1075" spans="3:13" x14ac:dyDescent="0.25">
      <c r="C1075" s="118" t="e">
        <f t="shared" ca="1" si="176"/>
        <v>#REF!</v>
      </c>
      <c r="D1075" s="118" t="e">
        <f t="shared" ca="1" si="177"/>
        <v>#REF!</v>
      </c>
      <c r="E1075" s="118" t="e">
        <f t="shared" ca="1" si="178"/>
        <v>#REF!</v>
      </c>
      <c r="F1075" s="118" t="e">
        <f t="shared" ca="1" si="179"/>
        <v>#REF!</v>
      </c>
      <c r="G1075" s="118" t="e">
        <f t="shared" ca="1" si="180"/>
        <v>#REF!</v>
      </c>
      <c r="H1075" s="118" t="e">
        <f t="shared" ca="1" si="181"/>
        <v>#REF!</v>
      </c>
      <c r="I1075" s="118" t="e">
        <f t="shared" ca="1" si="182"/>
        <v>#REF!</v>
      </c>
      <c r="J1075" s="118" t="e">
        <f t="shared" ca="1" si="183"/>
        <v>#REF!</v>
      </c>
      <c r="K1075" s="118" t="e">
        <f t="shared" ca="1" si="184"/>
        <v>#REF!</v>
      </c>
      <c r="L1075" s="118" t="e">
        <f t="shared" ca="1" si="185"/>
        <v>#REF!</v>
      </c>
      <c r="M1075" s="118" t="e">
        <f t="shared" ca="1" si="186"/>
        <v>#REF!</v>
      </c>
    </row>
    <row r="1076" spans="3:13" x14ac:dyDescent="0.25">
      <c r="C1076" s="118" t="e">
        <f t="shared" ca="1" si="176"/>
        <v>#REF!</v>
      </c>
      <c r="D1076" s="118" t="e">
        <f t="shared" ca="1" si="177"/>
        <v>#REF!</v>
      </c>
      <c r="E1076" s="118" t="e">
        <f t="shared" ca="1" si="178"/>
        <v>#REF!</v>
      </c>
      <c r="F1076" s="118" t="e">
        <f t="shared" ca="1" si="179"/>
        <v>#REF!</v>
      </c>
      <c r="G1076" s="118" t="e">
        <f t="shared" ca="1" si="180"/>
        <v>#REF!</v>
      </c>
      <c r="H1076" s="118" t="e">
        <f t="shared" ca="1" si="181"/>
        <v>#REF!</v>
      </c>
      <c r="I1076" s="118" t="e">
        <f t="shared" ca="1" si="182"/>
        <v>#REF!</v>
      </c>
      <c r="J1076" s="118" t="e">
        <f t="shared" ca="1" si="183"/>
        <v>#REF!</v>
      </c>
      <c r="K1076" s="118" t="e">
        <f t="shared" ca="1" si="184"/>
        <v>#REF!</v>
      </c>
      <c r="L1076" s="118" t="e">
        <f t="shared" ca="1" si="185"/>
        <v>#REF!</v>
      </c>
      <c r="M1076" s="118" t="e">
        <f t="shared" ca="1" si="186"/>
        <v>#REF!</v>
      </c>
    </row>
    <row r="1077" spans="3:13" x14ac:dyDescent="0.25">
      <c r="C1077" s="118" t="e">
        <f t="shared" ca="1" si="176"/>
        <v>#REF!</v>
      </c>
      <c r="D1077" s="118" t="e">
        <f t="shared" ca="1" si="177"/>
        <v>#REF!</v>
      </c>
      <c r="E1077" s="118" t="e">
        <f t="shared" ca="1" si="178"/>
        <v>#REF!</v>
      </c>
      <c r="F1077" s="118" t="e">
        <f t="shared" ca="1" si="179"/>
        <v>#REF!</v>
      </c>
      <c r="G1077" s="118" t="e">
        <f t="shared" ca="1" si="180"/>
        <v>#REF!</v>
      </c>
      <c r="H1077" s="118" t="e">
        <f t="shared" ca="1" si="181"/>
        <v>#REF!</v>
      </c>
      <c r="I1077" s="118" t="e">
        <f t="shared" ca="1" si="182"/>
        <v>#REF!</v>
      </c>
      <c r="J1077" s="118" t="e">
        <f t="shared" ca="1" si="183"/>
        <v>#REF!</v>
      </c>
      <c r="K1077" s="118" t="e">
        <f t="shared" ca="1" si="184"/>
        <v>#REF!</v>
      </c>
      <c r="L1077" s="118" t="e">
        <f t="shared" ca="1" si="185"/>
        <v>#REF!</v>
      </c>
      <c r="M1077" s="118" t="e">
        <f t="shared" ca="1" si="186"/>
        <v>#REF!</v>
      </c>
    </row>
    <row r="1078" spans="3:13" x14ac:dyDescent="0.25">
      <c r="C1078" s="118" t="e">
        <f t="shared" ca="1" si="176"/>
        <v>#REF!</v>
      </c>
      <c r="D1078" s="118" t="e">
        <f t="shared" ca="1" si="177"/>
        <v>#REF!</v>
      </c>
      <c r="E1078" s="118" t="e">
        <f t="shared" ca="1" si="178"/>
        <v>#REF!</v>
      </c>
      <c r="F1078" s="118" t="e">
        <f t="shared" ca="1" si="179"/>
        <v>#REF!</v>
      </c>
      <c r="G1078" s="118" t="e">
        <f t="shared" ca="1" si="180"/>
        <v>#REF!</v>
      </c>
      <c r="H1078" s="118" t="e">
        <f t="shared" ca="1" si="181"/>
        <v>#REF!</v>
      </c>
      <c r="I1078" s="118" t="e">
        <f t="shared" ca="1" si="182"/>
        <v>#REF!</v>
      </c>
      <c r="J1078" s="118" t="e">
        <f t="shared" ca="1" si="183"/>
        <v>#REF!</v>
      </c>
      <c r="K1078" s="118" t="e">
        <f t="shared" ca="1" si="184"/>
        <v>#REF!</v>
      </c>
      <c r="L1078" s="118" t="e">
        <f t="shared" ca="1" si="185"/>
        <v>#REF!</v>
      </c>
      <c r="M1078" s="118" t="e">
        <f t="shared" ca="1" si="186"/>
        <v>#REF!</v>
      </c>
    </row>
    <row r="1079" spans="3:13" x14ac:dyDescent="0.25">
      <c r="C1079" s="118" t="e">
        <f t="shared" ca="1" si="176"/>
        <v>#REF!</v>
      </c>
      <c r="D1079" s="118" t="e">
        <f t="shared" ca="1" si="177"/>
        <v>#REF!</v>
      </c>
      <c r="E1079" s="118" t="e">
        <f t="shared" ca="1" si="178"/>
        <v>#REF!</v>
      </c>
      <c r="F1079" s="118" t="e">
        <f t="shared" ca="1" si="179"/>
        <v>#REF!</v>
      </c>
      <c r="G1079" s="118" t="e">
        <f t="shared" ca="1" si="180"/>
        <v>#REF!</v>
      </c>
      <c r="H1079" s="118" t="e">
        <f t="shared" ca="1" si="181"/>
        <v>#REF!</v>
      </c>
      <c r="I1079" s="118" t="e">
        <f t="shared" ca="1" si="182"/>
        <v>#REF!</v>
      </c>
      <c r="J1079" s="118" t="e">
        <f t="shared" ca="1" si="183"/>
        <v>#REF!</v>
      </c>
      <c r="K1079" s="118" t="e">
        <f t="shared" ca="1" si="184"/>
        <v>#REF!</v>
      </c>
      <c r="L1079" s="118" t="e">
        <f t="shared" ca="1" si="185"/>
        <v>#REF!</v>
      </c>
      <c r="M1079" s="118" t="e">
        <f t="shared" ca="1" si="186"/>
        <v>#REF!</v>
      </c>
    </row>
    <row r="1080" spans="3:13" x14ac:dyDescent="0.25">
      <c r="C1080" s="118" t="e">
        <f t="shared" ca="1" si="176"/>
        <v>#REF!</v>
      </c>
      <c r="D1080" s="118" t="e">
        <f t="shared" ca="1" si="177"/>
        <v>#REF!</v>
      </c>
      <c r="E1080" s="118" t="e">
        <f t="shared" ca="1" si="178"/>
        <v>#REF!</v>
      </c>
      <c r="F1080" s="118" t="e">
        <f t="shared" ca="1" si="179"/>
        <v>#REF!</v>
      </c>
      <c r="G1080" s="118" t="e">
        <f t="shared" ca="1" si="180"/>
        <v>#REF!</v>
      </c>
      <c r="H1080" s="118" t="e">
        <f t="shared" ca="1" si="181"/>
        <v>#REF!</v>
      </c>
      <c r="I1080" s="118" t="e">
        <f t="shared" ca="1" si="182"/>
        <v>#REF!</v>
      </c>
      <c r="J1080" s="118" t="e">
        <f t="shared" ca="1" si="183"/>
        <v>#REF!</v>
      </c>
      <c r="K1080" s="118" t="e">
        <f t="shared" ca="1" si="184"/>
        <v>#REF!</v>
      </c>
      <c r="L1080" s="118" t="e">
        <f t="shared" ca="1" si="185"/>
        <v>#REF!</v>
      </c>
      <c r="M1080" s="118" t="e">
        <f t="shared" ca="1" si="186"/>
        <v>#REF!</v>
      </c>
    </row>
    <row r="1081" spans="3:13" x14ac:dyDescent="0.25">
      <c r="C1081" s="118" t="e">
        <f t="shared" ca="1" si="176"/>
        <v>#REF!</v>
      </c>
      <c r="D1081" s="118" t="e">
        <f t="shared" ca="1" si="177"/>
        <v>#REF!</v>
      </c>
      <c r="E1081" s="118" t="e">
        <f t="shared" ca="1" si="178"/>
        <v>#REF!</v>
      </c>
      <c r="F1081" s="118" t="e">
        <f t="shared" ca="1" si="179"/>
        <v>#REF!</v>
      </c>
      <c r="G1081" s="118" t="e">
        <f t="shared" ca="1" si="180"/>
        <v>#REF!</v>
      </c>
      <c r="H1081" s="118" t="e">
        <f t="shared" ca="1" si="181"/>
        <v>#REF!</v>
      </c>
      <c r="I1081" s="118" t="e">
        <f t="shared" ca="1" si="182"/>
        <v>#REF!</v>
      </c>
      <c r="J1081" s="118" t="e">
        <f t="shared" ca="1" si="183"/>
        <v>#REF!</v>
      </c>
      <c r="K1081" s="118" t="e">
        <f t="shared" ca="1" si="184"/>
        <v>#REF!</v>
      </c>
      <c r="L1081" s="118" t="e">
        <f t="shared" ca="1" si="185"/>
        <v>#REF!</v>
      </c>
      <c r="M1081" s="118" t="e">
        <f t="shared" ca="1" si="186"/>
        <v>#REF!</v>
      </c>
    </row>
    <row r="1082" spans="3:13" x14ac:dyDescent="0.25">
      <c r="C1082" s="118" t="e">
        <f t="shared" ca="1" si="176"/>
        <v>#REF!</v>
      </c>
      <c r="D1082" s="118" t="e">
        <f t="shared" ca="1" si="177"/>
        <v>#REF!</v>
      </c>
      <c r="E1082" s="118" t="e">
        <f t="shared" ca="1" si="178"/>
        <v>#REF!</v>
      </c>
      <c r="F1082" s="118" t="e">
        <f t="shared" ca="1" si="179"/>
        <v>#REF!</v>
      </c>
      <c r="G1082" s="118" t="e">
        <f t="shared" ca="1" si="180"/>
        <v>#REF!</v>
      </c>
      <c r="H1082" s="118" t="e">
        <f t="shared" ca="1" si="181"/>
        <v>#REF!</v>
      </c>
      <c r="I1082" s="118" t="e">
        <f t="shared" ca="1" si="182"/>
        <v>#REF!</v>
      </c>
      <c r="J1082" s="118" t="e">
        <f t="shared" ca="1" si="183"/>
        <v>#REF!</v>
      </c>
      <c r="K1082" s="118" t="e">
        <f t="shared" ca="1" si="184"/>
        <v>#REF!</v>
      </c>
      <c r="L1082" s="118" t="e">
        <f t="shared" ca="1" si="185"/>
        <v>#REF!</v>
      </c>
      <c r="M1082" s="118" t="e">
        <f t="shared" ca="1" si="186"/>
        <v>#REF!</v>
      </c>
    </row>
    <row r="1083" spans="3:13" x14ac:dyDescent="0.25">
      <c r="C1083" s="118" t="e">
        <f t="shared" ca="1" si="176"/>
        <v>#REF!</v>
      </c>
      <c r="D1083" s="118" t="e">
        <f t="shared" ca="1" si="177"/>
        <v>#REF!</v>
      </c>
      <c r="E1083" s="118" t="e">
        <f t="shared" ca="1" si="178"/>
        <v>#REF!</v>
      </c>
      <c r="F1083" s="118" t="e">
        <f t="shared" ca="1" si="179"/>
        <v>#REF!</v>
      </c>
      <c r="G1083" s="118" t="e">
        <f t="shared" ca="1" si="180"/>
        <v>#REF!</v>
      </c>
      <c r="H1083" s="118" t="e">
        <f t="shared" ca="1" si="181"/>
        <v>#REF!</v>
      </c>
      <c r="I1083" s="118" t="e">
        <f t="shared" ca="1" si="182"/>
        <v>#REF!</v>
      </c>
      <c r="J1083" s="118" t="e">
        <f t="shared" ca="1" si="183"/>
        <v>#REF!</v>
      </c>
      <c r="K1083" s="118" t="e">
        <f t="shared" ca="1" si="184"/>
        <v>#REF!</v>
      </c>
      <c r="L1083" s="118" t="e">
        <f t="shared" ca="1" si="185"/>
        <v>#REF!</v>
      </c>
      <c r="M1083" s="118" t="e">
        <f t="shared" ca="1" si="186"/>
        <v>#REF!</v>
      </c>
    </row>
    <row r="1084" spans="3:13" x14ac:dyDescent="0.25">
      <c r="C1084" s="118" t="e">
        <f t="shared" ca="1" si="176"/>
        <v>#REF!</v>
      </c>
      <c r="D1084" s="118" t="e">
        <f t="shared" ca="1" si="177"/>
        <v>#REF!</v>
      </c>
      <c r="E1084" s="118" t="e">
        <f t="shared" ca="1" si="178"/>
        <v>#REF!</v>
      </c>
      <c r="F1084" s="118" t="e">
        <f t="shared" ca="1" si="179"/>
        <v>#REF!</v>
      </c>
      <c r="G1084" s="118" t="e">
        <f t="shared" ca="1" si="180"/>
        <v>#REF!</v>
      </c>
      <c r="H1084" s="118" t="e">
        <f t="shared" ca="1" si="181"/>
        <v>#REF!</v>
      </c>
      <c r="I1084" s="118" t="e">
        <f t="shared" ca="1" si="182"/>
        <v>#REF!</v>
      </c>
      <c r="J1084" s="118" t="e">
        <f t="shared" ca="1" si="183"/>
        <v>#REF!</v>
      </c>
      <c r="K1084" s="118" t="e">
        <f t="shared" ca="1" si="184"/>
        <v>#REF!</v>
      </c>
      <c r="L1084" s="118" t="e">
        <f t="shared" ca="1" si="185"/>
        <v>#REF!</v>
      </c>
      <c r="M1084" s="118" t="e">
        <f t="shared" ca="1" si="186"/>
        <v>#REF!</v>
      </c>
    </row>
    <row r="1085" spans="3:13" x14ac:dyDescent="0.25">
      <c r="C1085" s="118" t="e">
        <f t="shared" ca="1" si="176"/>
        <v>#REF!</v>
      </c>
      <c r="D1085" s="118" t="e">
        <f t="shared" ca="1" si="177"/>
        <v>#REF!</v>
      </c>
      <c r="E1085" s="118" t="e">
        <f t="shared" ca="1" si="178"/>
        <v>#REF!</v>
      </c>
      <c r="F1085" s="118" t="e">
        <f t="shared" ca="1" si="179"/>
        <v>#REF!</v>
      </c>
      <c r="G1085" s="118" t="e">
        <f t="shared" ca="1" si="180"/>
        <v>#REF!</v>
      </c>
      <c r="H1085" s="118" t="e">
        <f t="shared" ca="1" si="181"/>
        <v>#REF!</v>
      </c>
      <c r="I1085" s="118" t="e">
        <f t="shared" ca="1" si="182"/>
        <v>#REF!</v>
      </c>
      <c r="J1085" s="118" t="e">
        <f t="shared" ca="1" si="183"/>
        <v>#REF!</v>
      </c>
      <c r="K1085" s="118" t="e">
        <f t="shared" ca="1" si="184"/>
        <v>#REF!</v>
      </c>
      <c r="L1085" s="118" t="e">
        <f t="shared" ca="1" si="185"/>
        <v>#REF!</v>
      </c>
      <c r="M1085" s="118" t="e">
        <f t="shared" ca="1" si="186"/>
        <v>#REF!</v>
      </c>
    </row>
    <row r="1086" spans="3:13" x14ac:dyDescent="0.25">
      <c r="C1086" s="118" t="e">
        <f t="shared" ca="1" si="176"/>
        <v>#REF!</v>
      </c>
      <c r="D1086" s="118" t="e">
        <f t="shared" ca="1" si="177"/>
        <v>#REF!</v>
      </c>
      <c r="E1086" s="118" t="e">
        <f t="shared" ca="1" si="178"/>
        <v>#REF!</v>
      </c>
      <c r="F1086" s="118" t="e">
        <f t="shared" ca="1" si="179"/>
        <v>#REF!</v>
      </c>
      <c r="G1086" s="118" t="e">
        <f t="shared" ca="1" si="180"/>
        <v>#REF!</v>
      </c>
      <c r="H1086" s="118" t="e">
        <f t="shared" ca="1" si="181"/>
        <v>#REF!</v>
      </c>
      <c r="I1086" s="118" t="e">
        <f t="shared" ca="1" si="182"/>
        <v>#REF!</v>
      </c>
      <c r="J1086" s="118" t="e">
        <f t="shared" ca="1" si="183"/>
        <v>#REF!</v>
      </c>
      <c r="K1086" s="118" t="e">
        <f t="shared" ca="1" si="184"/>
        <v>#REF!</v>
      </c>
      <c r="L1086" s="118" t="e">
        <f t="shared" ca="1" si="185"/>
        <v>#REF!</v>
      </c>
      <c r="M1086" s="118" t="e">
        <f t="shared" ca="1" si="186"/>
        <v>#REF!</v>
      </c>
    </row>
    <row r="1087" spans="3:13" x14ac:dyDescent="0.25">
      <c r="C1087" s="118" t="e">
        <f t="shared" ca="1" si="176"/>
        <v>#REF!</v>
      </c>
      <c r="D1087" s="118" t="e">
        <f t="shared" ca="1" si="177"/>
        <v>#REF!</v>
      </c>
      <c r="E1087" s="118" t="e">
        <f t="shared" ca="1" si="178"/>
        <v>#REF!</v>
      </c>
      <c r="F1087" s="118" t="e">
        <f t="shared" ca="1" si="179"/>
        <v>#REF!</v>
      </c>
      <c r="G1087" s="118" t="e">
        <f t="shared" ca="1" si="180"/>
        <v>#REF!</v>
      </c>
      <c r="H1087" s="118" t="e">
        <f t="shared" ca="1" si="181"/>
        <v>#REF!</v>
      </c>
      <c r="I1087" s="118" t="e">
        <f t="shared" ca="1" si="182"/>
        <v>#REF!</v>
      </c>
      <c r="J1087" s="118" t="e">
        <f t="shared" ca="1" si="183"/>
        <v>#REF!</v>
      </c>
      <c r="K1087" s="118" t="e">
        <f t="shared" ca="1" si="184"/>
        <v>#REF!</v>
      </c>
      <c r="L1087" s="118" t="e">
        <f t="shared" ca="1" si="185"/>
        <v>#REF!</v>
      </c>
      <c r="M1087" s="118" t="e">
        <f t="shared" ca="1" si="186"/>
        <v>#REF!</v>
      </c>
    </row>
    <row r="1088" spans="3:13" x14ac:dyDescent="0.25">
      <c r="C1088" s="118" t="e">
        <f t="shared" ca="1" si="176"/>
        <v>#REF!</v>
      </c>
      <c r="D1088" s="118" t="e">
        <f t="shared" ca="1" si="177"/>
        <v>#REF!</v>
      </c>
      <c r="E1088" s="118" t="e">
        <f t="shared" ca="1" si="178"/>
        <v>#REF!</v>
      </c>
      <c r="F1088" s="118" t="e">
        <f t="shared" ca="1" si="179"/>
        <v>#REF!</v>
      </c>
      <c r="G1088" s="118" t="e">
        <f t="shared" ca="1" si="180"/>
        <v>#REF!</v>
      </c>
      <c r="H1088" s="118" t="e">
        <f t="shared" ca="1" si="181"/>
        <v>#REF!</v>
      </c>
      <c r="I1088" s="118" t="e">
        <f t="shared" ca="1" si="182"/>
        <v>#REF!</v>
      </c>
      <c r="J1088" s="118" t="e">
        <f t="shared" ca="1" si="183"/>
        <v>#REF!</v>
      </c>
      <c r="K1088" s="118" t="e">
        <f t="shared" ca="1" si="184"/>
        <v>#REF!</v>
      </c>
      <c r="L1088" s="118" t="e">
        <f t="shared" ca="1" si="185"/>
        <v>#REF!</v>
      </c>
      <c r="M1088" s="118" t="e">
        <f t="shared" ca="1" si="186"/>
        <v>#REF!</v>
      </c>
    </row>
    <row r="1089" spans="3:13" x14ac:dyDescent="0.25">
      <c r="C1089" s="118" t="e">
        <f t="shared" ca="1" si="176"/>
        <v>#REF!</v>
      </c>
      <c r="D1089" s="118" t="e">
        <f t="shared" ca="1" si="177"/>
        <v>#REF!</v>
      </c>
      <c r="E1089" s="118" t="e">
        <f t="shared" ca="1" si="178"/>
        <v>#REF!</v>
      </c>
      <c r="F1089" s="118" t="e">
        <f t="shared" ca="1" si="179"/>
        <v>#REF!</v>
      </c>
      <c r="G1089" s="118" t="e">
        <f t="shared" ca="1" si="180"/>
        <v>#REF!</v>
      </c>
      <c r="H1089" s="118" t="e">
        <f t="shared" ca="1" si="181"/>
        <v>#REF!</v>
      </c>
      <c r="I1089" s="118" t="e">
        <f t="shared" ca="1" si="182"/>
        <v>#REF!</v>
      </c>
      <c r="J1089" s="118" t="e">
        <f t="shared" ca="1" si="183"/>
        <v>#REF!</v>
      </c>
      <c r="K1089" s="118" t="e">
        <f t="shared" ca="1" si="184"/>
        <v>#REF!</v>
      </c>
      <c r="L1089" s="118" t="e">
        <f t="shared" ca="1" si="185"/>
        <v>#REF!</v>
      </c>
      <c r="M1089" s="118" t="e">
        <f t="shared" ca="1" si="186"/>
        <v>#REF!</v>
      </c>
    </row>
    <row r="1090" spans="3:13" x14ac:dyDescent="0.25">
      <c r="C1090" s="118" t="e">
        <f t="shared" ca="1" si="176"/>
        <v>#REF!</v>
      </c>
      <c r="D1090" s="118" t="e">
        <f t="shared" ca="1" si="177"/>
        <v>#REF!</v>
      </c>
      <c r="E1090" s="118" t="e">
        <f t="shared" ca="1" si="178"/>
        <v>#REF!</v>
      </c>
      <c r="F1090" s="118" t="e">
        <f t="shared" ca="1" si="179"/>
        <v>#REF!</v>
      </c>
      <c r="G1090" s="118" t="e">
        <f t="shared" ca="1" si="180"/>
        <v>#REF!</v>
      </c>
      <c r="H1090" s="118" t="e">
        <f t="shared" ca="1" si="181"/>
        <v>#REF!</v>
      </c>
      <c r="I1090" s="118" t="e">
        <f t="shared" ca="1" si="182"/>
        <v>#REF!</v>
      </c>
      <c r="J1090" s="118" t="e">
        <f t="shared" ca="1" si="183"/>
        <v>#REF!</v>
      </c>
      <c r="K1090" s="118" t="e">
        <f t="shared" ca="1" si="184"/>
        <v>#REF!</v>
      </c>
      <c r="L1090" s="118" t="e">
        <f t="shared" ca="1" si="185"/>
        <v>#REF!</v>
      </c>
      <c r="M1090" s="118" t="e">
        <f t="shared" ca="1" si="186"/>
        <v>#REF!</v>
      </c>
    </row>
    <row r="1091" spans="3:13" x14ac:dyDescent="0.25">
      <c r="C1091" s="118" t="e">
        <f t="shared" ref="C1091:C1154" ca="1" si="187">INDIRECT(CONCATENATE("",$A1091,"!H10"))</f>
        <v>#REF!</v>
      </c>
      <c r="D1091" s="118" t="e">
        <f t="shared" ref="D1091:D1154" ca="1" si="188">INDIRECT(CONCATENATE("",$A1091,"!H11"))</f>
        <v>#REF!</v>
      </c>
      <c r="E1091" s="118" t="e">
        <f t="shared" ref="E1091:E1154" ca="1" si="189">INDIRECT(CONCATENATE("",$A1091,"!H12"))</f>
        <v>#REF!</v>
      </c>
      <c r="F1091" s="118" t="e">
        <f t="shared" ref="F1091:F1154" ca="1" si="190">INDIRECT(CONCATENATE("",$A1091,"!H13"))</f>
        <v>#REF!</v>
      </c>
      <c r="G1091" s="118" t="e">
        <f t="shared" ref="G1091:G1154" ca="1" si="191">INDIRECT(CONCATENATE("",$A1091,"!H14"))</f>
        <v>#REF!</v>
      </c>
      <c r="H1091" s="118" t="e">
        <f t="shared" ref="H1091:H1154" ca="1" si="192">INDIRECT(CONCATENATE("",$A1091,"!i12"))</f>
        <v>#REF!</v>
      </c>
      <c r="I1091" s="118" t="e">
        <f t="shared" ref="I1091:I1154" ca="1" si="193">INDIRECT(CONCATENATE("",$A1091,"!i13"))</f>
        <v>#REF!</v>
      </c>
      <c r="J1091" s="118" t="e">
        <f t="shared" ref="J1091:J1154" ca="1" si="194">INDIRECT(CONCATENATE("",$A1091,"!i14"))</f>
        <v>#REF!</v>
      </c>
      <c r="K1091" s="118" t="e">
        <f t="shared" ref="K1091:K1154" ca="1" si="195">INDIRECT(CONCATENATE("",$A1091,"!J12"))</f>
        <v>#REF!</v>
      </c>
      <c r="L1091" s="118" t="e">
        <f t="shared" ref="L1091:L1154" ca="1" si="196">INDIRECT(CONCATENATE("",$A1091,"!J13"))</f>
        <v>#REF!</v>
      </c>
      <c r="M1091" s="118" t="e">
        <f t="shared" ref="M1091:M1154" ca="1" si="197">INDIRECT(CONCATENATE("",$A1091,"!J14"))</f>
        <v>#REF!</v>
      </c>
    </row>
    <row r="1092" spans="3:13" x14ac:dyDescent="0.25">
      <c r="C1092" s="118" t="e">
        <f t="shared" ca="1" si="187"/>
        <v>#REF!</v>
      </c>
      <c r="D1092" s="118" t="e">
        <f t="shared" ca="1" si="188"/>
        <v>#REF!</v>
      </c>
      <c r="E1092" s="118" t="e">
        <f t="shared" ca="1" si="189"/>
        <v>#REF!</v>
      </c>
      <c r="F1092" s="118" t="e">
        <f t="shared" ca="1" si="190"/>
        <v>#REF!</v>
      </c>
      <c r="G1092" s="118" t="e">
        <f t="shared" ca="1" si="191"/>
        <v>#REF!</v>
      </c>
      <c r="H1092" s="118" t="e">
        <f t="shared" ca="1" si="192"/>
        <v>#REF!</v>
      </c>
      <c r="I1092" s="118" t="e">
        <f t="shared" ca="1" si="193"/>
        <v>#REF!</v>
      </c>
      <c r="J1092" s="118" t="e">
        <f t="shared" ca="1" si="194"/>
        <v>#REF!</v>
      </c>
      <c r="K1092" s="118" t="e">
        <f t="shared" ca="1" si="195"/>
        <v>#REF!</v>
      </c>
      <c r="L1092" s="118" t="e">
        <f t="shared" ca="1" si="196"/>
        <v>#REF!</v>
      </c>
      <c r="M1092" s="118" t="e">
        <f t="shared" ca="1" si="197"/>
        <v>#REF!</v>
      </c>
    </row>
    <row r="1093" spans="3:13" x14ac:dyDescent="0.25">
      <c r="C1093" s="118" t="e">
        <f t="shared" ca="1" si="187"/>
        <v>#REF!</v>
      </c>
      <c r="D1093" s="118" t="e">
        <f t="shared" ca="1" si="188"/>
        <v>#REF!</v>
      </c>
      <c r="E1093" s="118" t="e">
        <f t="shared" ca="1" si="189"/>
        <v>#REF!</v>
      </c>
      <c r="F1093" s="118" t="e">
        <f t="shared" ca="1" si="190"/>
        <v>#REF!</v>
      </c>
      <c r="G1093" s="118" t="e">
        <f t="shared" ca="1" si="191"/>
        <v>#REF!</v>
      </c>
      <c r="H1093" s="118" t="e">
        <f t="shared" ca="1" si="192"/>
        <v>#REF!</v>
      </c>
      <c r="I1093" s="118" t="e">
        <f t="shared" ca="1" si="193"/>
        <v>#REF!</v>
      </c>
      <c r="J1093" s="118" t="e">
        <f t="shared" ca="1" si="194"/>
        <v>#REF!</v>
      </c>
      <c r="K1093" s="118" t="e">
        <f t="shared" ca="1" si="195"/>
        <v>#REF!</v>
      </c>
      <c r="L1093" s="118" t="e">
        <f t="shared" ca="1" si="196"/>
        <v>#REF!</v>
      </c>
      <c r="M1093" s="118" t="e">
        <f t="shared" ca="1" si="197"/>
        <v>#REF!</v>
      </c>
    </row>
    <row r="1094" spans="3:13" x14ac:dyDescent="0.25">
      <c r="C1094" s="118" t="e">
        <f t="shared" ca="1" si="187"/>
        <v>#REF!</v>
      </c>
      <c r="D1094" s="118" t="e">
        <f t="shared" ca="1" si="188"/>
        <v>#REF!</v>
      </c>
      <c r="E1094" s="118" t="e">
        <f t="shared" ca="1" si="189"/>
        <v>#REF!</v>
      </c>
      <c r="F1094" s="118" t="e">
        <f t="shared" ca="1" si="190"/>
        <v>#REF!</v>
      </c>
      <c r="G1094" s="118" t="e">
        <f t="shared" ca="1" si="191"/>
        <v>#REF!</v>
      </c>
      <c r="H1094" s="118" t="e">
        <f t="shared" ca="1" si="192"/>
        <v>#REF!</v>
      </c>
      <c r="I1094" s="118" t="e">
        <f t="shared" ca="1" si="193"/>
        <v>#REF!</v>
      </c>
      <c r="J1094" s="118" t="e">
        <f t="shared" ca="1" si="194"/>
        <v>#REF!</v>
      </c>
      <c r="K1094" s="118" t="e">
        <f t="shared" ca="1" si="195"/>
        <v>#REF!</v>
      </c>
      <c r="L1094" s="118" t="e">
        <f t="shared" ca="1" si="196"/>
        <v>#REF!</v>
      </c>
      <c r="M1094" s="118" t="e">
        <f t="shared" ca="1" si="197"/>
        <v>#REF!</v>
      </c>
    </row>
    <row r="1095" spans="3:13" x14ac:dyDescent="0.25">
      <c r="C1095" s="118" t="e">
        <f t="shared" ca="1" si="187"/>
        <v>#REF!</v>
      </c>
      <c r="D1095" s="118" t="e">
        <f t="shared" ca="1" si="188"/>
        <v>#REF!</v>
      </c>
      <c r="E1095" s="118" t="e">
        <f t="shared" ca="1" si="189"/>
        <v>#REF!</v>
      </c>
      <c r="F1095" s="118" t="e">
        <f t="shared" ca="1" si="190"/>
        <v>#REF!</v>
      </c>
      <c r="G1095" s="118" t="e">
        <f t="shared" ca="1" si="191"/>
        <v>#REF!</v>
      </c>
      <c r="H1095" s="118" t="e">
        <f t="shared" ca="1" si="192"/>
        <v>#REF!</v>
      </c>
      <c r="I1095" s="118" t="e">
        <f t="shared" ca="1" si="193"/>
        <v>#REF!</v>
      </c>
      <c r="J1095" s="118" t="e">
        <f t="shared" ca="1" si="194"/>
        <v>#REF!</v>
      </c>
      <c r="K1095" s="118" t="e">
        <f t="shared" ca="1" si="195"/>
        <v>#REF!</v>
      </c>
      <c r="L1095" s="118" t="e">
        <f t="shared" ca="1" si="196"/>
        <v>#REF!</v>
      </c>
      <c r="M1095" s="118" t="e">
        <f t="shared" ca="1" si="197"/>
        <v>#REF!</v>
      </c>
    </row>
    <row r="1096" spans="3:13" x14ac:dyDescent="0.25">
      <c r="C1096" s="118" t="e">
        <f t="shared" ca="1" si="187"/>
        <v>#REF!</v>
      </c>
      <c r="D1096" s="118" t="e">
        <f t="shared" ca="1" si="188"/>
        <v>#REF!</v>
      </c>
      <c r="E1096" s="118" t="e">
        <f t="shared" ca="1" si="189"/>
        <v>#REF!</v>
      </c>
      <c r="F1096" s="118" t="e">
        <f t="shared" ca="1" si="190"/>
        <v>#REF!</v>
      </c>
      <c r="G1096" s="118" t="e">
        <f t="shared" ca="1" si="191"/>
        <v>#REF!</v>
      </c>
      <c r="H1096" s="118" t="e">
        <f t="shared" ca="1" si="192"/>
        <v>#REF!</v>
      </c>
      <c r="I1096" s="118" t="e">
        <f t="shared" ca="1" si="193"/>
        <v>#REF!</v>
      </c>
      <c r="J1096" s="118" t="e">
        <f t="shared" ca="1" si="194"/>
        <v>#REF!</v>
      </c>
      <c r="K1096" s="118" t="e">
        <f t="shared" ca="1" si="195"/>
        <v>#REF!</v>
      </c>
      <c r="L1096" s="118" t="e">
        <f t="shared" ca="1" si="196"/>
        <v>#REF!</v>
      </c>
      <c r="M1096" s="118" t="e">
        <f t="shared" ca="1" si="197"/>
        <v>#REF!</v>
      </c>
    </row>
    <row r="1097" spans="3:13" x14ac:dyDescent="0.25">
      <c r="C1097" s="118" t="e">
        <f t="shared" ca="1" si="187"/>
        <v>#REF!</v>
      </c>
      <c r="D1097" s="118" t="e">
        <f t="shared" ca="1" si="188"/>
        <v>#REF!</v>
      </c>
      <c r="E1097" s="118" t="e">
        <f t="shared" ca="1" si="189"/>
        <v>#REF!</v>
      </c>
      <c r="F1097" s="118" t="e">
        <f t="shared" ca="1" si="190"/>
        <v>#REF!</v>
      </c>
      <c r="G1097" s="118" t="e">
        <f t="shared" ca="1" si="191"/>
        <v>#REF!</v>
      </c>
      <c r="H1097" s="118" t="e">
        <f t="shared" ca="1" si="192"/>
        <v>#REF!</v>
      </c>
      <c r="I1097" s="118" t="e">
        <f t="shared" ca="1" si="193"/>
        <v>#REF!</v>
      </c>
      <c r="J1097" s="118" t="e">
        <f t="shared" ca="1" si="194"/>
        <v>#REF!</v>
      </c>
      <c r="K1097" s="118" t="e">
        <f t="shared" ca="1" si="195"/>
        <v>#REF!</v>
      </c>
      <c r="L1097" s="118" t="e">
        <f t="shared" ca="1" si="196"/>
        <v>#REF!</v>
      </c>
      <c r="M1097" s="118" t="e">
        <f t="shared" ca="1" si="197"/>
        <v>#REF!</v>
      </c>
    </row>
    <row r="1098" spans="3:13" x14ac:dyDescent="0.25">
      <c r="C1098" s="118" t="e">
        <f t="shared" ca="1" si="187"/>
        <v>#REF!</v>
      </c>
      <c r="D1098" s="118" t="e">
        <f t="shared" ca="1" si="188"/>
        <v>#REF!</v>
      </c>
      <c r="E1098" s="118" t="e">
        <f t="shared" ca="1" si="189"/>
        <v>#REF!</v>
      </c>
      <c r="F1098" s="118" t="e">
        <f t="shared" ca="1" si="190"/>
        <v>#REF!</v>
      </c>
      <c r="G1098" s="118" t="e">
        <f t="shared" ca="1" si="191"/>
        <v>#REF!</v>
      </c>
      <c r="H1098" s="118" t="e">
        <f t="shared" ca="1" si="192"/>
        <v>#REF!</v>
      </c>
      <c r="I1098" s="118" t="e">
        <f t="shared" ca="1" si="193"/>
        <v>#REF!</v>
      </c>
      <c r="J1098" s="118" t="e">
        <f t="shared" ca="1" si="194"/>
        <v>#REF!</v>
      </c>
      <c r="K1098" s="118" t="e">
        <f t="shared" ca="1" si="195"/>
        <v>#REF!</v>
      </c>
      <c r="L1098" s="118" t="e">
        <f t="shared" ca="1" si="196"/>
        <v>#REF!</v>
      </c>
      <c r="M1098" s="118" t="e">
        <f t="shared" ca="1" si="197"/>
        <v>#REF!</v>
      </c>
    </row>
    <row r="1099" spans="3:13" x14ac:dyDescent="0.25">
      <c r="C1099" s="118" t="e">
        <f t="shared" ca="1" si="187"/>
        <v>#REF!</v>
      </c>
      <c r="D1099" s="118" t="e">
        <f t="shared" ca="1" si="188"/>
        <v>#REF!</v>
      </c>
      <c r="E1099" s="118" t="e">
        <f t="shared" ca="1" si="189"/>
        <v>#REF!</v>
      </c>
      <c r="F1099" s="118" t="e">
        <f t="shared" ca="1" si="190"/>
        <v>#REF!</v>
      </c>
      <c r="G1099" s="118" t="e">
        <f t="shared" ca="1" si="191"/>
        <v>#REF!</v>
      </c>
      <c r="H1099" s="118" t="e">
        <f t="shared" ca="1" si="192"/>
        <v>#REF!</v>
      </c>
      <c r="I1099" s="118" t="e">
        <f t="shared" ca="1" si="193"/>
        <v>#REF!</v>
      </c>
      <c r="J1099" s="118" t="e">
        <f t="shared" ca="1" si="194"/>
        <v>#REF!</v>
      </c>
      <c r="K1099" s="118" t="e">
        <f t="shared" ca="1" si="195"/>
        <v>#REF!</v>
      </c>
      <c r="L1099" s="118" t="e">
        <f t="shared" ca="1" si="196"/>
        <v>#REF!</v>
      </c>
      <c r="M1099" s="118" t="e">
        <f t="shared" ca="1" si="197"/>
        <v>#REF!</v>
      </c>
    </row>
    <row r="1100" spans="3:13" x14ac:dyDescent="0.25">
      <c r="C1100" s="118" t="e">
        <f t="shared" ca="1" si="187"/>
        <v>#REF!</v>
      </c>
      <c r="D1100" s="118" t="e">
        <f t="shared" ca="1" si="188"/>
        <v>#REF!</v>
      </c>
      <c r="E1100" s="118" t="e">
        <f t="shared" ca="1" si="189"/>
        <v>#REF!</v>
      </c>
      <c r="F1100" s="118" t="e">
        <f t="shared" ca="1" si="190"/>
        <v>#REF!</v>
      </c>
      <c r="G1100" s="118" t="e">
        <f t="shared" ca="1" si="191"/>
        <v>#REF!</v>
      </c>
      <c r="H1100" s="118" t="e">
        <f t="shared" ca="1" si="192"/>
        <v>#REF!</v>
      </c>
      <c r="I1100" s="118" t="e">
        <f t="shared" ca="1" si="193"/>
        <v>#REF!</v>
      </c>
      <c r="J1100" s="118" t="e">
        <f t="shared" ca="1" si="194"/>
        <v>#REF!</v>
      </c>
      <c r="K1100" s="118" t="e">
        <f t="shared" ca="1" si="195"/>
        <v>#REF!</v>
      </c>
      <c r="L1100" s="118" t="e">
        <f t="shared" ca="1" si="196"/>
        <v>#REF!</v>
      </c>
      <c r="M1100" s="118" t="e">
        <f t="shared" ca="1" si="197"/>
        <v>#REF!</v>
      </c>
    </row>
    <row r="1101" spans="3:13" x14ac:dyDescent="0.25">
      <c r="C1101" s="118" t="e">
        <f t="shared" ca="1" si="187"/>
        <v>#REF!</v>
      </c>
      <c r="D1101" s="118" t="e">
        <f t="shared" ca="1" si="188"/>
        <v>#REF!</v>
      </c>
      <c r="E1101" s="118" t="e">
        <f t="shared" ca="1" si="189"/>
        <v>#REF!</v>
      </c>
      <c r="F1101" s="118" t="e">
        <f t="shared" ca="1" si="190"/>
        <v>#REF!</v>
      </c>
      <c r="G1101" s="118" t="e">
        <f t="shared" ca="1" si="191"/>
        <v>#REF!</v>
      </c>
      <c r="H1101" s="118" t="e">
        <f t="shared" ca="1" si="192"/>
        <v>#REF!</v>
      </c>
      <c r="I1101" s="118" t="e">
        <f t="shared" ca="1" si="193"/>
        <v>#REF!</v>
      </c>
      <c r="J1101" s="118" t="e">
        <f t="shared" ca="1" si="194"/>
        <v>#REF!</v>
      </c>
      <c r="K1101" s="118" t="e">
        <f t="shared" ca="1" si="195"/>
        <v>#REF!</v>
      </c>
      <c r="L1101" s="118" t="e">
        <f t="shared" ca="1" si="196"/>
        <v>#REF!</v>
      </c>
      <c r="M1101" s="118" t="e">
        <f t="shared" ca="1" si="197"/>
        <v>#REF!</v>
      </c>
    </row>
    <row r="1102" spans="3:13" x14ac:dyDescent="0.25">
      <c r="C1102" s="118" t="e">
        <f t="shared" ca="1" si="187"/>
        <v>#REF!</v>
      </c>
      <c r="D1102" s="118" t="e">
        <f t="shared" ca="1" si="188"/>
        <v>#REF!</v>
      </c>
      <c r="E1102" s="118" t="e">
        <f t="shared" ca="1" si="189"/>
        <v>#REF!</v>
      </c>
      <c r="F1102" s="118" t="e">
        <f t="shared" ca="1" si="190"/>
        <v>#REF!</v>
      </c>
      <c r="G1102" s="118" t="e">
        <f t="shared" ca="1" si="191"/>
        <v>#REF!</v>
      </c>
      <c r="H1102" s="118" t="e">
        <f t="shared" ca="1" si="192"/>
        <v>#REF!</v>
      </c>
      <c r="I1102" s="118" t="e">
        <f t="shared" ca="1" si="193"/>
        <v>#REF!</v>
      </c>
      <c r="J1102" s="118" t="e">
        <f t="shared" ca="1" si="194"/>
        <v>#REF!</v>
      </c>
      <c r="K1102" s="118" t="e">
        <f t="shared" ca="1" si="195"/>
        <v>#REF!</v>
      </c>
      <c r="L1102" s="118" t="e">
        <f t="shared" ca="1" si="196"/>
        <v>#REF!</v>
      </c>
      <c r="M1102" s="118" t="e">
        <f t="shared" ca="1" si="197"/>
        <v>#REF!</v>
      </c>
    </row>
    <row r="1103" spans="3:13" x14ac:dyDescent="0.25">
      <c r="C1103" s="118" t="e">
        <f t="shared" ca="1" si="187"/>
        <v>#REF!</v>
      </c>
      <c r="D1103" s="118" t="e">
        <f t="shared" ca="1" si="188"/>
        <v>#REF!</v>
      </c>
      <c r="E1103" s="118" t="e">
        <f t="shared" ca="1" si="189"/>
        <v>#REF!</v>
      </c>
      <c r="F1103" s="118" t="e">
        <f t="shared" ca="1" si="190"/>
        <v>#REF!</v>
      </c>
      <c r="G1103" s="118" t="e">
        <f t="shared" ca="1" si="191"/>
        <v>#REF!</v>
      </c>
      <c r="H1103" s="118" t="e">
        <f t="shared" ca="1" si="192"/>
        <v>#REF!</v>
      </c>
      <c r="I1103" s="118" t="e">
        <f t="shared" ca="1" si="193"/>
        <v>#REF!</v>
      </c>
      <c r="J1103" s="118" t="e">
        <f t="shared" ca="1" si="194"/>
        <v>#REF!</v>
      </c>
      <c r="K1103" s="118" t="e">
        <f t="shared" ca="1" si="195"/>
        <v>#REF!</v>
      </c>
      <c r="L1103" s="118" t="e">
        <f t="shared" ca="1" si="196"/>
        <v>#REF!</v>
      </c>
      <c r="M1103" s="118" t="e">
        <f t="shared" ca="1" si="197"/>
        <v>#REF!</v>
      </c>
    </row>
    <row r="1104" spans="3:13" x14ac:dyDescent="0.25">
      <c r="C1104" s="118" t="e">
        <f t="shared" ca="1" si="187"/>
        <v>#REF!</v>
      </c>
      <c r="D1104" s="118" t="e">
        <f t="shared" ca="1" si="188"/>
        <v>#REF!</v>
      </c>
      <c r="E1104" s="118" t="e">
        <f t="shared" ca="1" si="189"/>
        <v>#REF!</v>
      </c>
      <c r="F1104" s="118" t="e">
        <f t="shared" ca="1" si="190"/>
        <v>#REF!</v>
      </c>
      <c r="G1104" s="118" t="e">
        <f t="shared" ca="1" si="191"/>
        <v>#REF!</v>
      </c>
      <c r="H1104" s="118" t="e">
        <f t="shared" ca="1" si="192"/>
        <v>#REF!</v>
      </c>
      <c r="I1104" s="118" t="e">
        <f t="shared" ca="1" si="193"/>
        <v>#REF!</v>
      </c>
      <c r="J1104" s="118" t="e">
        <f t="shared" ca="1" si="194"/>
        <v>#REF!</v>
      </c>
      <c r="K1104" s="118" t="e">
        <f t="shared" ca="1" si="195"/>
        <v>#REF!</v>
      </c>
      <c r="L1104" s="118" t="e">
        <f t="shared" ca="1" si="196"/>
        <v>#REF!</v>
      </c>
      <c r="M1104" s="118" t="e">
        <f t="shared" ca="1" si="197"/>
        <v>#REF!</v>
      </c>
    </row>
    <row r="1105" spans="3:13" x14ac:dyDescent="0.25">
      <c r="C1105" s="118" t="e">
        <f t="shared" ca="1" si="187"/>
        <v>#REF!</v>
      </c>
      <c r="D1105" s="118" t="e">
        <f t="shared" ca="1" si="188"/>
        <v>#REF!</v>
      </c>
      <c r="E1105" s="118" t="e">
        <f t="shared" ca="1" si="189"/>
        <v>#REF!</v>
      </c>
      <c r="F1105" s="118" t="e">
        <f t="shared" ca="1" si="190"/>
        <v>#REF!</v>
      </c>
      <c r="G1105" s="118" t="e">
        <f t="shared" ca="1" si="191"/>
        <v>#REF!</v>
      </c>
      <c r="H1105" s="118" t="e">
        <f t="shared" ca="1" si="192"/>
        <v>#REF!</v>
      </c>
      <c r="I1105" s="118" t="e">
        <f t="shared" ca="1" si="193"/>
        <v>#REF!</v>
      </c>
      <c r="J1105" s="118" t="e">
        <f t="shared" ca="1" si="194"/>
        <v>#REF!</v>
      </c>
      <c r="K1105" s="118" t="e">
        <f t="shared" ca="1" si="195"/>
        <v>#REF!</v>
      </c>
      <c r="L1105" s="118" t="e">
        <f t="shared" ca="1" si="196"/>
        <v>#REF!</v>
      </c>
      <c r="M1105" s="118" t="e">
        <f t="shared" ca="1" si="197"/>
        <v>#REF!</v>
      </c>
    </row>
    <row r="1106" spans="3:13" x14ac:dyDescent="0.25">
      <c r="C1106" s="118" t="e">
        <f t="shared" ca="1" si="187"/>
        <v>#REF!</v>
      </c>
      <c r="D1106" s="118" t="e">
        <f t="shared" ca="1" si="188"/>
        <v>#REF!</v>
      </c>
      <c r="E1106" s="118" t="e">
        <f t="shared" ca="1" si="189"/>
        <v>#REF!</v>
      </c>
      <c r="F1106" s="118" t="e">
        <f t="shared" ca="1" si="190"/>
        <v>#REF!</v>
      </c>
      <c r="G1106" s="118" t="e">
        <f t="shared" ca="1" si="191"/>
        <v>#REF!</v>
      </c>
      <c r="H1106" s="118" t="e">
        <f t="shared" ca="1" si="192"/>
        <v>#REF!</v>
      </c>
      <c r="I1106" s="118" t="e">
        <f t="shared" ca="1" si="193"/>
        <v>#REF!</v>
      </c>
      <c r="J1106" s="118" t="e">
        <f t="shared" ca="1" si="194"/>
        <v>#REF!</v>
      </c>
      <c r="K1106" s="118" t="e">
        <f t="shared" ca="1" si="195"/>
        <v>#REF!</v>
      </c>
      <c r="L1106" s="118" t="e">
        <f t="shared" ca="1" si="196"/>
        <v>#REF!</v>
      </c>
      <c r="M1106" s="118" t="e">
        <f t="shared" ca="1" si="197"/>
        <v>#REF!</v>
      </c>
    </row>
    <row r="1107" spans="3:13" x14ac:dyDescent="0.25">
      <c r="C1107" s="118" t="e">
        <f t="shared" ca="1" si="187"/>
        <v>#REF!</v>
      </c>
      <c r="D1107" s="118" t="e">
        <f t="shared" ca="1" si="188"/>
        <v>#REF!</v>
      </c>
      <c r="E1107" s="118" t="e">
        <f t="shared" ca="1" si="189"/>
        <v>#REF!</v>
      </c>
      <c r="F1107" s="118" t="e">
        <f t="shared" ca="1" si="190"/>
        <v>#REF!</v>
      </c>
      <c r="G1107" s="118" t="e">
        <f t="shared" ca="1" si="191"/>
        <v>#REF!</v>
      </c>
      <c r="H1107" s="118" t="e">
        <f t="shared" ca="1" si="192"/>
        <v>#REF!</v>
      </c>
      <c r="I1107" s="118" t="e">
        <f t="shared" ca="1" si="193"/>
        <v>#REF!</v>
      </c>
      <c r="J1107" s="118" t="e">
        <f t="shared" ca="1" si="194"/>
        <v>#REF!</v>
      </c>
      <c r="K1107" s="118" t="e">
        <f t="shared" ca="1" si="195"/>
        <v>#REF!</v>
      </c>
      <c r="L1107" s="118" t="e">
        <f t="shared" ca="1" si="196"/>
        <v>#REF!</v>
      </c>
      <c r="M1107" s="118" t="e">
        <f t="shared" ca="1" si="197"/>
        <v>#REF!</v>
      </c>
    </row>
    <row r="1108" spans="3:13" x14ac:dyDescent="0.25">
      <c r="C1108" s="118" t="e">
        <f t="shared" ca="1" si="187"/>
        <v>#REF!</v>
      </c>
      <c r="D1108" s="118" t="e">
        <f t="shared" ca="1" si="188"/>
        <v>#REF!</v>
      </c>
      <c r="E1108" s="118" t="e">
        <f t="shared" ca="1" si="189"/>
        <v>#REF!</v>
      </c>
      <c r="F1108" s="118" t="e">
        <f t="shared" ca="1" si="190"/>
        <v>#REF!</v>
      </c>
      <c r="G1108" s="118" t="e">
        <f t="shared" ca="1" si="191"/>
        <v>#REF!</v>
      </c>
      <c r="H1108" s="118" t="e">
        <f t="shared" ca="1" si="192"/>
        <v>#REF!</v>
      </c>
      <c r="I1108" s="118" t="e">
        <f t="shared" ca="1" si="193"/>
        <v>#REF!</v>
      </c>
      <c r="J1108" s="118" t="e">
        <f t="shared" ca="1" si="194"/>
        <v>#REF!</v>
      </c>
      <c r="K1108" s="118" t="e">
        <f t="shared" ca="1" si="195"/>
        <v>#REF!</v>
      </c>
      <c r="L1108" s="118" t="e">
        <f t="shared" ca="1" si="196"/>
        <v>#REF!</v>
      </c>
      <c r="M1108" s="118" t="e">
        <f t="shared" ca="1" si="197"/>
        <v>#REF!</v>
      </c>
    </row>
    <row r="1109" spans="3:13" x14ac:dyDescent="0.25">
      <c r="C1109" s="118" t="e">
        <f t="shared" ca="1" si="187"/>
        <v>#REF!</v>
      </c>
      <c r="D1109" s="118" t="e">
        <f t="shared" ca="1" si="188"/>
        <v>#REF!</v>
      </c>
      <c r="E1109" s="118" t="e">
        <f t="shared" ca="1" si="189"/>
        <v>#REF!</v>
      </c>
      <c r="F1109" s="118" t="e">
        <f t="shared" ca="1" si="190"/>
        <v>#REF!</v>
      </c>
      <c r="G1109" s="118" t="e">
        <f t="shared" ca="1" si="191"/>
        <v>#REF!</v>
      </c>
      <c r="H1109" s="118" t="e">
        <f t="shared" ca="1" si="192"/>
        <v>#REF!</v>
      </c>
      <c r="I1109" s="118" t="e">
        <f t="shared" ca="1" si="193"/>
        <v>#REF!</v>
      </c>
      <c r="J1109" s="118" t="e">
        <f t="shared" ca="1" si="194"/>
        <v>#REF!</v>
      </c>
      <c r="K1109" s="118" t="e">
        <f t="shared" ca="1" si="195"/>
        <v>#REF!</v>
      </c>
      <c r="L1109" s="118" t="e">
        <f t="shared" ca="1" si="196"/>
        <v>#REF!</v>
      </c>
      <c r="M1109" s="118" t="e">
        <f t="shared" ca="1" si="197"/>
        <v>#REF!</v>
      </c>
    </row>
    <row r="1110" spans="3:13" x14ac:dyDescent="0.25">
      <c r="C1110" s="118" t="e">
        <f t="shared" ca="1" si="187"/>
        <v>#REF!</v>
      </c>
      <c r="D1110" s="118" t="e">
        <f t="shared" ca="1" si="188"/>
        <v>#REF!</v>
      </c>
      <c r="E1110" s="118" t="e">
        <f t="shared" ca="1" si="189"/>
        <v>#REF!</v>
      </c>
      <c r="F1110" s="118" t="e">
        <f t="shared" ca="1" si="190"/>
        <v>#REF!</v>
      </c>
      <c r="G1110" s="118" t="e">
        <f t="shared" ca="1" si="191"/>
        <v>#REF!</v>
      </c>
      <c r="H1110" s="118" t="e">
        <f t="shared" ca="1" si="192"/>
        <v>#REF!</v>
      </c>
      <c r="I1110" s="118" t="e">
        <f t="shared" ca="1" si="193"/>
        <v>#REF!</v>
      </c>
      <c r="J1110" s="118" t="e">
        <f t="shared" ca="1" si="194"/>
        <v>#REF!</v>
      </c>
      <c r="K1110" s="118" t="e">
        <f t="shared" ca="1" si="195"/>
        <v>#REF!</v>
      </c>
      <c r="L1110" s="118" t="e">
        <f t="shared" ca="1" si="196"/>
        <v>#REF!</v>
      </c>
      <c r="M1110" s="118" t="e">
        <f t="shared" ca="1" si="197"/>
        <v>#REF!</v>
      </c>
    </row>
    <row r="1111" spans="3:13" x14ac:dyDescent="0.25">
      <c r="C1111" s="118" t="e">
        <f t="shared" ca="1" si="187"/>
        <v>#REF!</v>
      </c>
      <c r="D1111" s="118" t="e">
        <f t="shared" ca="1" si="188"/>
        <v>#REF!</v>
      </c>
      <c r="E1111" s="118" t="e">
        <f t="shared" ca="1" si="189"/>
        <v>#REF!</v>
      </c>
      <c r="F1111" s="118" t="e">
        <f t="shared" ca="1" si="190"/>
        <v>#REF!</v>
      </c>
      <c r="G1111" s="118" t="e">
        <f t="shared" ca="1" si="191"/>
        <v>#REF!</v>
      </c>
      <c r="H1111" s="118" t="e">
        <f t="shared" ca="1" si="192"/>
        <v>#REF!</v>
      </c>
      <c r="I1111" s="118" t="e">
        <f t="shared" ca="1" si="193"/>
        <v>#REF!</v>
      </c>
      <c r="J1111" s="118" t="e">
        <f t="shared" ca="1" si="194"/>
        <v>#REF!</v>
      </c>
      <c r="K1111" s="118" t="e">
        <f t="shared" ca="1" si="195"/>
        <v>#REF!</v>
      </c>
      <c r="L1111" s="118" t="e">
        <f t="shared" ca="1" si="196"/>
        <v>#REF!</v>
      </c>
      <c r="M1111" s="118" t="e">
        <f t="shared" ca="1" si="197"/>
        <v>#REF!</v>
      </c>
    </row>
    <row r="1112" spans="3:13" x14ac:dyDescent="0.25">
      <c r="C1112" s="118" t="e">
        <f t="shared" ca="1" si="187"/>
        <v>#REF!</v>
      </c>
      <c r="D1112" s="118" t="e">
        <f t="shared" ca="1" si="188"/>
        <v>#REF!</v>
      </c>
      <c r="E1112" s="118" t="e">
        <f t="shared" ca="1" si="189"/>
        <v>#REF!</v>
      </c>
      <c r="F1112" s="118" t="e">
        <f t="shared" ca="1" si="190"/>
        <v>#REF!</v>
      </c>
      <c r="G1112" s="118" t="e">
        <f t="shared" ca="1" si="191"/>
        <v>#REF!</v>
      </c>
      <c r="H1112" s="118" t="e">
        <f t="shared" ca="1" si="192"/>
        <v>#REF!</v>
      </c>
      <c r="I1112" s="118" t="e">
        <f t="shared" ca="1" si="193"/>
        <v>#REF!</v>
      </c>
      <c r="J1112" s="118" t="e">
        <f t="shared" ca="1" si="194"/>
        <v>#REF!</v>
      </c>
      <c r="K1112" s="118" t="e">
        <f t="shared" ca="1" si="195"/>
        <v>#REF!</v>
      </c>
      <c r="L1112" s="118" t="e">
        <f t="shared" ca="1" si="196"/>
        <v>#REF!</v>
      </c>
      <c r="M1112" s="118" t="e">
        <f t="shared" ca="1" si="197"/>
        <v>#REF!</v>
      </c>
    </row>
    <row r="1113" spans="3:13" x14ac:dyDescent="0.25">
      <c r="C1113" s="118" t="e">
        <f t="shared" ca="1" si="187"/>
        <v>#REF!</v>
      </c>
      <c r="D1113" s="118" t="e">
        <f t="shared" ca="1" si="188"/>
        <v>#REF!</v>
      </c>
      <c r="E1113" s="118" t="e">
        <f t="shared" ca="1" si="189"/>
        <v>#REF!</v>
      </c>
      <c r="F1113" s="118" t="e">
        <f t="shared" ca="1" si="190"/>
        <v>#REF!</v>
      </c>
      <c r="G1113" s="118" t="e">
        <f t="shared" ca="1" si="191"/>
        <v>#REF!</v>
      </c>
      <c r="H1113" s="118" t="e">
        <f t="shared" ca="1" si="192"/>
        <v>#REF!</v>
      </c>
      <c r="I1113" s="118" t="e">
        <f t="shared" ca="1" si="193"/>
        <v>#REF!</v>
      </c>
      <c r="J1113" s="118" t="e">
        <f t="shared" ca="1" si="194"/>
        <v>#REF!</v>
      </c>
      <c r="K1113" s="118" t="e">
        <f t="shared" ca="1" si="195"/>
        <v>#REF!</v>
      </c>
      <c r="L1113" s="118" t="e">
        <f t="shared" ca="1" si="196"/>
        <v>#REF!</v>
      </c>
      <c r="M1113" s="118" t="e">
        <f t="shared" ca="1" si="197"/>
        <v>#REF!</v>
      </c>
    </row>
    <row r="1114" spans="3:13" x14ac:dyDescent="0.25">
      <c r="C1114" s="118" t="e">
        <f t="shared" ca="1" si="187"/>
        <v>#REF!</v>
      </c>
      <c r="D1114" s="118" t="e">
        <f t="shared" ca="1" si="188"/>
        <v>#REF!</v>
      </c>
      <c r="E1114" s="118" t="e">
        <f t="shared" ca="1" si="189"/>
        <v>#REF!</v>
      </c>
      <c r="F1114" s="118" t="e">
        <f t="shared" ca="1" si="190"/>
        <v>#REF!</v>
      </c>
      <c r="G1114" s="118" t="e">
        <f t="shared" ca="1" si="191"/>
        <v>#REF!</v>
      </c>
      <c r="H1114" s="118" t="e">
        <f t="shared" ca="1" si="192"/>
        <v>#REF!</v>
      </c>
      <c r="I1114" s="118" t="e">
        <f t="shared" ca="1" si="193"/>
        <v>#REF!</v>
      </c>
      <c r="J1114" s="118" t="e">
        <f t="shared" ca="1" si="194"/>
        <v>#REF!</v>
      </c>
      <c r="K1114" s="118" t="e">
        <f t="shared" ca="1" si="195"/>
        <v>#REF!</v>
      </c>
      <c r="L1114" s="118" t="e">
        <f t="shared" ca="1" si="196"/>
        <v>#REF!</v>
      </c>
      <c r="M1114" s="118" t="e">
        <f t="shared" ca="1" si="197"/>
        <v>#REF!</v>
      </c>
    </row>
    <row r="1115" spans="3:13" x14ac:dyDescent="0.25">
      <c r="C1115" s="118" t="e">
        <f t="shared" ca="1" si="187"/>
        <v>#REF!</v>
      </c>
      <c r="D1115" s="118" t="e">
        <f t="shared" ca="1" si="188"/>
        <v>#REF!</v>
      </c>
      <c r="E1115" s="118" t="e">
        <f t="shared" ca="1" si="189"/>
        <v>#REF!</v>
      </c>
      <c r="F1115" s="118" t="e">
        <f t="shared" ca="1" si="190"/>
        <v>#REF!</v>
      </c>
      <c r="G1115" s="118" t="e">
        <f t="shared" ca="1" si="191"/>
        <v>#REF!</v>
      </c>
      <c r="H1115" s="118" t="e">
        <f t="shared" ca="1" si="192"/>
        <v>#REF!</v>
      </c>
      <c r="I1115" s="118" t="e">
        <f t="shared" ca="1" si="193"/>
        <v>#REF!</v>
      </c>
      <c r="J1115" s="118" t="e">
        <f t="shared" ca="1" si="194"/>
        <v>#REF!</v>
      </c>
      <c r="K1115" s="118" t="e">
        <f t="shared" ca="1" si="195"/>
        <v>#REF!</v>
      </c>
      <c r="L1115" s="118" t="e">
        <f t="shared" ca="1" si="196"/>
        <v>#REF!</v>
      </c>
      <c r="M1115" s="118" t="e">
        <f t="shared" ca="1" si="197"/>
        <v>#REF!</v>
      </c>
    </row>
    <row r="1116" spans="3:13" x14ac:dyDescent="0.25">
      <c r="C1116" s="118" t="e">
        <f t="shared" ca="1" si="187"/>
        <v>#REF!</v>
      </c>
      <c r="D1116" s="118" t="e">
        <f t="shared" ca="1" si="188"/>
        <v>#REF!</v>
      </c>
      <c r="E1116" s="118" t="e">
        <f t="shared" ca="1" si="189"/>
        <v>#REF!</v>
      </c>
      <c r="F1116" s="118" t="e">
        <f t="shared" ca="1" si="190"/>
        <v>#REF!</v>
      </c>
      <c r="G1116" s="118" t="e">
        <f t="shared" ca="1" si="191"/>
        <v>#REF!</v>
      </c>
      <c r="H1116" s="118" t="e">
        <f t="shared" ca="1" si="192"/>
        <v>#REF!</v>
      </c>
      <c r="I1116" s="118" t="e">
        <f t="shared" ca="1" si="193"/>
        <v>#REF!</v>
      </c>
      <c r="J1116" s="118" t="e">
        <f t="shared" ca="1" si="194"/>
        <v>#REF!</v>
      </c>
      <c r="K1116" s="118" t="e">
        <f t="shared" ca="1" si="195"/>
        <v>#REF!</v>
      </c>
      <c r="L1116" s="118" t="e">
        <f t="shared" ca="1" si="196"/>
        <v>#REF!</v>
      </c>
      <c r="M1116" s="118" t="e">
        <f t="shared" ca="1" si="197"/>
        <v>#REF!</v>
      </c>
    </row>
    <row r="1117" spans="3:13" x14ac:dyDescent="0.25">
      <c r="C1117" s="118" t="e">
        <f t="shared" ca="1" si="187"/>
        <v>#REF!</v>
      </c>
      <c r="D1117" s="118" t="e">
        <f t="shared" ca="1" si="188"/>
        <v>#REF!</v>
      </c>
      <c r="E1117" s="118" t="e">
        <f t="shared" ca="1" si="189"/>
        <v>#REF!</v>
      </c>
      <c r="F1117" s="118" t="e">
        <f t="shared" ca="1" si="190"/>
        <v>#REF!</v>
      </c>
      <c r="G1117" s="118" t="e">
        <f t="shared" ca="1" si="191"/>
        <v>#REF!</v>
      </c>
      <c r="H1117" s="118" t="e">
        <f t="shared" ca="1" si="192"/>
        <v>#REF!</v>
      </c>
      <c r="I1117" s="118" t="e">
        <f t="shared" ca="1" si="193"/>
        <v>#REF!</v>
      </c>
      <c r="J1117" s="118" t="e">
        <f t="shared" ca="1" si="194"/>
        <v>#REF!</v>
      </c>
      <c r="K1117" s="118" t="e">
        <f t="shared" ca="1" si="195"/>
        <v>#REF!</v>
      </c>
      <c r="L1117" s="118" t="e">
        <f t="shared" ca="1" si="196"/>
        <v>#REF!</v>
      </c>
      <c r="M1117" s="118" t="e">
        <f t="shared" ca="1" si="197"/>
        <v>#REF!</v>
      </c>
    </row>
    <row r="1118" spans="3:13" x14ac:dyDescent="0.25">
      <c r="C1118" s="118" t="e">
        <f t="shared" ca="1" si="187"/>
        <v>#REF!</v>
      </c>
      <c r="D1118" s="118" t="e">
        <f t="shared" ca="1" si="188"/>
        <v>#REF!</v>
      </c>
      <c r="E1118" s="118" t="e">
        <f t="shared" ca="1" si="189"/>
        <v>#REF!</v>
      </c>
      <c r="F1118" s="118" t="e">
        <f t="shared" ca="1" si="190"/>
        <v>#REF!</v>
      </c>
      <c r="G1118" s="118" t="e">
        <f t="shared" ca="1" si="191"/>
        <v>#REF!</v>
      </c>
      <c r="H1118" s="118" t="e">
        <f t="shared" ca="1" si="192"/>
        <v>#REF!</v>
      </c>
      <c r="I1118" s="118" t="e">
        <f t="shared" ca="1" si="193"/>
        <v>#REF!</v>
      </c>
      <c r="J1118" s="118" t="e">
        <f t="shared" ca="1" si="194"/>
        <v>#REF!</v>
      </c>
      <c r="K1118" s="118" t="e">
        <f t="shared" ca="1" si="195"/>
        <v>#REF!</v>
      </c>
      <c r="L1118" s="118" t="e">
        <f t="shared" ca="1" si="196"/>
        <v>#REF!</v>
      </c>
      <c r="M1118" s="118" t="e">
        <f t="shared" ca="1" si="197"/>
        <v>#REF!</v>
      </c>
    </row>
    <row r="1119" spans="3:13" x14ac:dyDescent="0.25">
      <c r="C1119" s="118" t="e">
        <f t="shared" ca="1" si="187"/>
        <v>#REF!</v>
      </c>
      <c r="D1119" s="118" t="e">
        <f t="shared" ca="1" si="188"/>
        <v>#REF!</v>
      </c>
      <c r="E1119" s="118" t="e">
        <f t="shared" ca="1" si="189"/>
        <v>#REF!</v>
      </c>
      <c r="F1119" s="118" t="e">
        <f t="shared" ca="1" si="190"/>
        <v>#REF!</v>
      </c>
      <c r="G1119" s="118" t="e">
        <f t="shared" ca="1" si="191"/>
        <v>#REF!</v>
      </c>
      <c r="H1119" s="118" t="e">
        <f t="shared" ca="1" si="192"/>
        <v>#REF!</v>
      </c>
      <c r="I1119" s="118" t="e">
        <f t="shared" ca="1" si="193"/>
        <v>#REF!</v>
      </c>
      <c r="J1119" s="118" t="e">
        <f t="shared" ca="1" si="194"/>
        <v>#REF!</v>
      </c>
      <c r="K1119" s="118" t="e">
        <f t="shared" ca="1" si="195"/>
        <v>#REF!</v>
      </c>
      <c r="L1119" s="118" t="e">
        <f t="shared" ca="1" si="196"/>
        <v>#REF!</v>
      </c>
      <c r="M1119" s="118" t="e">
        <f t="shared" ca="1" si="197"/>
        <v>#REF!</v>
      </c>
    </row>
    <row r="1120" spans="3:13" x14ac:dyDescent="0.25">
      <c r="C1120" s="118" t="e">
        <f t="shared" ca="1" si="187"/>
        <v>#REF!</v>
      </c>
      <c r="D1120" s="118" t="e">
        <f t="shared" ca="1" si="188"/>
        <v>#REF!</v>
      </c>
      <c r="E1120" s="118" t="e">
        <f t="shared" ca="1" si="189"/>
        <v>#REF!</v>
      </c>
      <c r="F1120" s="118" t="e">
        <f t="shared" ca="1" si="190"/>
        <v>#REF!</v>
      </c>
      <c r="G1120" s="118" t="e">
        <f t="shared" ca="1" si="191"/>
        <v>#REF!</v>
      </c>
      <c r="H1120" s="118" t="e">
        <f t="shared" ca="1" si="192"/>
        <v>#REF!</v>
      </c>
      <c r="I1120" s="118" t="e">
        <f t="shared" ca="1" si="193"/>
        <v>#REF!</v>
      </c>
      <c r="J1120" s="118" t="e">
        <f t="shared" ca="1" si="194"/>
        <v>#REF!</v>
      </c>
      <c r="K1120" s="118" t="e">
        <f t="shared" ca="1" si="195"/>
        <v>#REF!</v>
      </c>
      <c r="L1120" s="118" t="e">
        <f t="shared" ca="1" si="196"/>
        <v>#REF!</v>
      </c>
      <c r="M1120" s="118" t="e">
        <f t="shared" ca="1" si="197"/>
        <v>#REF!</v>
      </c>
    </row>
    <row r="1121" spans="3:13" x14ac:dyDescent="0.25">
      <c r="C1121" s="118" t="e">
        <f t="shared" ca="1" si="187"/>
        <v>#REF!</v>
      </c>
      <c r="D1121" s="118" t="e">
        <f t="shared" ca="1" si="188"/>
        <v>#REF!</v>
      </c>
      <c r="E1121" s="118" t="e">
        <f t="shared" ca="1" si="189"/>
        <v>#REF!</v>
      </c>
      <c r="F1121" s="118" t="e">
        <f t="shared" ca="1" si="190"/>
        <v>#REF!</v>
      </c>
      <c r="G1121" s="118" t="e">
        <f t="shared" ca="1" si="191"/>
        <v>#REF!</v>
      </c>
      <c r="H1121" s="118" t="e">
        <f t="shared" ca="1" si="192"/>
        <v>#REF!</v>
      </c>
      <c r="I1121" s="118" t="e">
        <f t="shared" ca="1" si="193"/>
        <v>#REF!</v>
      </c>
      <c r="J1121" s="118" t="e">
        <f t="shared" ca="1" si="194"/>
        <v>#REF!</v>
      </c>
      <c r="K1121" s="118" t="e">
        <f t="shared" ca="1" si="195"/>
        <v>#REF!</v>
      </c>
      <c r="L1121" s="118" t="e">
        <f t="shared" ca="1" si="196"/>
        <v>#REF!</v>
      </c>
      <c r="M1121" s="118" t="e">
        <f t="shared" ca="1" si="197"/>
        <v>#REF!</v>
      </c>
    </row>
    <row r="1122" spans="3:13" x14ac:dyDescent="0.25">
      <c r="C1122" s="118" t="e">
        <f t="shared" ca="1" si="187"/>
        <v>#REF!</v>
      </c>
      <c r="D1122" s="118" t="e">
        <f t="shared" ca="1" si="188"/>
        <v>#REF!</v>
      </c>
      <c r="E1122" s="118" t="e">
        <f t="shared" ca="1" si="189"/>
        <v>#REF!</v>
      </c>
      <c r="F1122" s="118" t="e">
        <f t="shared" ca="1" si="190"/>
        <v>#REF!</v>
      </c>
      <c r="G1122" s="118" t="e">
        <f t="shared" ca="1" si="191"/>
        <v>#REF!</v>
      </c>
      <c r="H1122" s="118" t="e">
        <f t="shared" ca="1" si="192"/>
        <v>#REF!</v>
      </c>
      <c r="I1122" s="118" t="e">
        <f t="shared" ca="1" si="193"/>
        <v>#REF!</v>
      </c>
      <c r="J1122" s="118" t="e">
        <f t="shared" ca="1" si="194"/>
        <v>#REF!</v>
      </c>
      <c r="K1122" s="118" t="e">
        <f t="shared" ca="1" si="195"/>
        <v>#REF!</v>
      </c>
      <c r="L1122" s="118" t="e">
        <f t="shared" ca="1" si="196"/>
        <v>#REF!</v>
      </c>
      <c r="M1122" s="118" t="e">
        <f t="shared" ca="1" si="197"/>
        <v>#REF!</v>
      </c>
    </row>
    <row r="1123" spans="3:13" x14ac:dyDescent="0.25">
      <c r="C1123" s="118" t="e">
        <f t="shared" ca="1" si="187"/>
        <v>#REF!</v>
      </c>
      <c r="D1123" s="118" t="e">
        <f t="shared" ca="1" si="188"/>
        <v>#REF!</v>
      </c>
      <c r="E1123" s="118" t="e">
        <f t="shared" ca="1" si="189"/>
        <v>#REF!</v>
      </c>
      <c r="F1123" s="118" t="e">
        <f t="shared" ca="1" si="190"/>
        <v>#REF!</v>
      </c>
      <c r="G1123" s="118" t="e">
        <f t="shared" ca="1" si="191"/>
        <v>#REF!</v>
      </c>
      <c r="H1123" s="118" t="e">
        <f t="shared" ca="1" si="192"/>
        <v>#REF!</v>
      </c>
      <c r="I1123" s="118" t="e">
        <f t="shared" ca="1" si="193"/>
        <v>#REF!</v>
      </c>
      <c r="J1123" s="118" t="e">
        <f t="shared" ca="1" si="194"/>
        <v>#REF!</v>
      </c>
      <c r="K1123" s="118" t="e">
        <f t="shared" ca="1" si="195"/>
        <v>#REF!</v>
      </c>
      <c r="L1123" s="118" t="e">
        <f t="shared" ca="1" si="196"/>
        <v>#REF!</v>
      </c>
      <c r="M1123" s="118" t="e">
        <f t="shared" ca="1" si="197"/>
        <v>#REF!</v>
      </c>
    </row>
    <row r="1124" spans="3:13" x14ac:dyDescent="0.25">
      <c r="C1124" s="118" t="e">
        <f t="shared" ca="1" si="187"/>
        <v>#REF!</v>
      </c>
      <c r="D1124" s="118" t="e">
        <f t="shared" ca="1" si="188"/>
        <v>#REF!</v>
      </c>
      <c r="E1124" s="118" t="e">
        <f t="shared" ca="1" si="189"/>
        <v>#REF!</v>
      </c>
      <c r="F1124" s="118" t="e">
        <f t="shared" ca="1" si="190"/>
        <v>#REF!</v>
      </c>
      <c r="G1124" s="118" t="e">
        <f t="shared" ca="1" si="191"/>
        <v>#REF!</v>
      </c>
      <c r="H1124" s="118" t="e">
        <f t="shared" ca="1" si="192"/>
        <v>#REF!</v>
      </c>
      <c r="I1124" s="118" t="e">
        <f t="shared" ca="1" si="193"/>
        <v>#REF!</v>
      </c>
      <c r="J1124" s="118" t="e">
        <f t="shared" ca="1" si="194"/>
        <v>#REF!</v>
      </c>
      <c r="K1124" s="118" t="e">
        <f t="shared" ca="1" si="195"/>
        <v>#REF!</v>
      </c>
      <c r="L1124" s="118" t="e">
        <f t="shared" ca="1" si="196"/>
        <v>#REF!</v>
      </c>
      <c r="M1124" s="118" t="e">
        <f t="shared" ca="1" si="197"/>
        <v>#REF!</v>
      </c>
    </row>
    <row r="1125" spans="3:13" x14ac:dyDescent="0.25">
      <c r="C1125" s="118" t="e">
        <f t="shared" ca="1" si="187"/>
        <v>#REF!</v>
      </c>
      <c r="D1125" s="118" t="e">
        <f t="shared" ca="1" si="188"/>
        <v>#REF!</v>
      </c>
      <c r="E1125" s="118" t="e">
        <f t="shared" ca="1" si="189"/>
        <v>#REF!</v>
      </c>
      <c r="F1125" s="118" t="e">
        <f t="shared" ca="1" si="190"/>
        <v>#REF!</v>
      </c>
      <c r="G1125" s="118" t="e">
        <f t="shared" ca="1" si="191"/>
        <v>#REF!</v>
      </c>
      <c r="H1125" s="118" t="e">
        <f t="shared" ca="1" si="192"/>
        <v>#REF!</v>
      </c>
      <c r="I1125" s="118" t="e">
        <f t="shared" ca="1" si="193"/>
        <v>#REF!</v>
      </c>
      <c r="J1125" s="118" t="e">
        <f t="shared" ca="1" si="194"/>
        <v>#REF!</v>
      </c>
      <c r="K1125" s="118" t="e">
        <f t="shared" ca="1" si="195"/>
        <v>#REF!</v>
      </c>
      <c r="L1125" s="118" t="e">
        <f t="shared" ca="1" si="196"/>
        <v>#REF!</v>
      </c>
      <c r="M1125" s="118" t="e">
        <f t="shared" ca="1" si="197"/>
        <v>#REF!</v>
      </c>
    </row>
    <row r="1126" spans="3:13" x14ac:dyDescent="0.25">
      <c r="C1126" s="118" t="e">
        <f t="shared" ca="1" si="187"/>
        <v>#REF!</v>
      </c>
      <c r="D1126" s="118" t="e">
        <f t="shared" ca="1" si="188"/>
        <v>#REF!</v>
      </c>
      <c r="E1126" s="118" t="e">
        <f t="shared" ca="1" si="189"/>
        <v>#REF!</v>
      </c>
      <c r="F1126" s="118" t="e">
        <f t="shared" ca="1" si="190"/>
        <v>#REF!</v>
      </c>
      <c r="G1126" s="118" t="e">
        <f t="shared" ca="1" si="191"/>
        <v>#REF!</v>
      </c>
      <c r="H1126" s="118" t="e">
        <f t="shared" ca="1" si="192"/>
        <v>#REF!</v>
      </c>
      <c r="I1126" s="118" t="e">
        <f t="shared" ca="1" si="193"/>
        <v>#REF!</v>
      </c>
      <c r="J1126" s="118" t="e">
        <f t="shared" ca="1" si="194"/>
        <v>#REF!</v>
      </c>
      <c r="K1126" s="118" t="e">
        <f t="shared" ca="1" si="195"/>
        <v>#REF!</v>
      </c>
      <c r="L1126" s="118" t="e">
        <f t="shared" ca="1" si="196"/>
        <v>#REF!</v>
      </c>
      <c r="M1126" s="118" t="e">
        <f t="shared" ca="1" si="197"/>
        <v>#REF!</v>
      </c>
    </row>
    <row r="1127" spans="3:13" x14ac:dyDescent="0.25">
      <c r="C1127" s="118" t="e">
        <f t="shared" ca="1" si="187"/>
        <v>#REF!</v>
      </c>
      <c r="D1127" s="118" t="e">
        <f t="shared" ca="1" si="188"/>
        <v>#REF!</v>
      </c>
      <c r="E1127" s="118" t="e">
        <f t="shared" ca="1" si="189"/>
        <v>#REF!</v>
      </c>
      <c r="F1127" s="118" t="e">
        <f t="shared" ca="1" si="190"/>
        <v>#REF!</v>
      </c>
      <c r="G1127" s="118" t="e">
        <f t="shared" ca="1" si="191"/>
        <v>#REF!</v>
      </c>
      <c r="H1127" s="118" t="e">
        <f t="shared" ca="1" si="192"/>
        <v>#REF!</v>
      </c>
      <c r="I1127" s="118" t="e">
        <f t="shared" ca="1" si="193"/>
        <v>#REF!</v>
      </c>
      <c r="J1127" s="118" t="e">
        <f t="shared" ca="1" si="194"/>
        <v>#REF!</v>
      </c>
      <c r="K1127" s="118" t="e">
        <f t="shared" ca="1" si="195"/>
        <v>#REF!</v>
      </c>
      <c r="L1127" s="118" t="e">
        <f t="shared" ca="1" si="196"/>
        <v>#REF!</v>
      </c>
      <c r="M1127" s="118" t="e">
        <f t="shared" ca="1" si="197"/>
        <v>#REF!</v>
      </c>
    </row>
    <row r="1128" spans="3:13" x14ac:dyDescent="0.25">
      <c r="C1128" s="118" t="e">
        <f t="shared" ca="1" si="187"/>
        <v>#REF!</v>
      </c>
      <c r="D1128" s="118" t="e">
        <f t="shared" ca="1" si="188"/>
        <v>#REF!</v>
      </c>
      <c r="E1128" s="118" t="e">
        <f t="shared" ca="1" si="189"/>
        <v>#REF!</v>
      </c>
      <c r="F1128" s="118" t="e">
        <f t="shared" ca="1" si="190"/>
        <v>#REF!</v>
      </c>
      <c r="G1128" s="118" t="e">
        <f t="shared" ca="1" si="191"/>
        <v>#REF!</v>
      </c>
      <c r="H1128" s="118" t="e">
        <f t="shared" ca="1" si="192"/>
        <v>#REF!</v>
      </c>
      <c r="I1128" s="118" t="e">
        <f t="shared" ca="1" si="193"/>
        <v>#REF!</v>
      </c>
      <c r="J1128" s="118" t="e">
        <f t="shared" ca="1" si="194"/>
        <v>#REF!</v>
      </c>
      <c r="K1128" s="118" t="e">
        <f t="shared" ca="1" si="195"/>
        <v>#REF!</v>
      </c>
      <c r="L1128" s="118" t="e">
        <f t="shared" ca="1" si="196"/>
        <v>#REF!</v>
      </c>
      <c r="M1128" s="118" t="e">
        <f t="shared" ca="1" si="197"/>
        <v>#REF!</v>
      </c>
    </row>
    <row r="1129" spans="3:13" x14ac:dyDescent="0.25">
      <c r="C1129" s="118" t="e">
        <f t="shared" ca="1" si="187"/>
        <v>#REF!</v>
      </c>
      <c r="D1129" s="118" t="e">
        <f t="shared" ca="1" si="188"/>
        <v>#REF!</v>
      </c>
      <c r="E1129" s="118" t="e">
        <f t="shared" ca="1" si="189"/>
        <v>#REF!</v>
      </c>
      <c r="F1129" s="118" t="e">
        <f t="shared" ca="1" si="190"/>
        <v>#REF!</v>
      </c>
      <c r="G1129" s="118" t="e">
        <f t="shared" ca="1" si="191"/>
        <v>#REF!</v>
      </c>
      <c r="H1129" s="118" t="e">
        <f t="shared" ca="1" si="192"/>
        <v>#REF!</v>
      </c>
      <c r="I1129" s="118" t="e">
        <f t="shared" ca="1" si="193"/>
        <v>#REF!</v>
      </c>
      <c r="J1129" s="118" t="e">
        <f t="shared" ca="1" si="194"/>
        <v>#REF!</v>
      </c>
      <c r="K1129" s="118" t="e">
        <f t="shared" ca="1" si="195"/>
        <v>#REF!</v>
      </c>
      <c r="L1129" s="118" t="e">
        <f t="shared" ca="1" si="196"/>
        <v>#REF!</v>
      </c>
      <c r="M1129" s="118" t="e">
        <f t="shared" ca="1" si="197"/>
        <v>#REF!</v>
      </c>
    </row>
    <row r="1130" spans="3:13" x14ac:dyDescent="0.25">
      <c r="C1130" s="118" t="e">
        <f t="shared" ca="1" si="187"/>
        <v>#REF!</v>
      </c>
      <c r="D1130" s="118" t="e">
        <f t="shared" ca="1" si="188"/>
        <v>#REF!</v>
      </c>
      <c r="E1130" s="118" t="e">
        <f t="shared" ca="1" si="189"/>
        <v>#REF!</v>
      </c>
      <c r="F1130" s="118" t="e">
        <f t="shared" ca="1" si="190"/>
        <v>#REF!</v>
      </c>
      <c r="G1130" s="118" t="e">
        <f t="shared" ca="1" si="191"/>
        <v>#REF!</v>
      </c>
      <c r="H1130" s="118" t="e">
        <f t="shared" ca="1" si="192"/>
        <v>#REF!</v>
      </c>
      <c r="I1130" s="118" t="e">
        <f t="shared" ca="1" si="193"/>
        <v>#REF!</v>
      </c>
      <c r="J1130" s="118" t="e">
        <f t="shared" ca="1" si="194"/>
        <v>#REF!</v>
      </c>
      <c r="K1130" s="118" t="e">
        <f t="shared" ca="1" si="195"/>
        <v>#REF!</v>
      </c>
      <c r="L1130" s="118" t="e">
        <f t="shared" ca="1" si="196"/>
        <v>#REF!</v>
      </c>
      <c r="M1130" s="118" t="e">
        <f t="shared" ca="1" si="197"/>
        <v>#REF!</v>
      </c>
    </row>
    <row r="1131" spans="3:13" x14ac:dyDescent="0.25">
      <c r="C1131" s="118" t="e">
        <f t="shared" ca="1" si="187"/>
        <v>#REF!</v>
      </c>
      <c r="D1131" s="118" t="e">
        <f t="shared" ca="1" si="188"/>
        <v>#REF!</v>
      </c>
      <c r="E1131" s="118" t="e">
        <f t="shared" ca="1" si="189"/>
        <v>#REF!</v>
      </c>
      <c r="F1131" s="118" t="e">
        <f t="shared" ca="1" si="190"/>
        <v>#REF!</v>
      </c>
      <c r="G1131" s="118" t="e">
        <f t="shared" ca="1" si="191"/>
        <v>#REF!</v>
      </c>
      <c r="H1131" s="118" t="e">
        <f t="shared" ca="1" si="192"/>
        <v>#REF!</v>
      </c>
      <c r="I1131" s="118" t="e">
        <f t="shared" ca="1" si="193"/>
        <v>#REF!</v>
      </c>
      <c r="J1131" s="118" t="e">
        <f t="shared" ca="1" si="194"/>
        <v>#REF!</v>
      </c>
      <c r="K1131" s="118" t="e">
        <f t="shared" ca="1" si="195"/>
        <v>#REF!</v>
      </c>
      <c r="L1131" s="118" t="e">
        <f t="shared" ca="1" si="196"/>
        <v>#REF!</v>
      </c>
      <c r="M1131" s="118" t="e">
        <f t="shared" ca="1" si="197"/>
        <v>#REF!</v>
      </c>
    </row>
    <row r="1132" spans="3:13" x14ac:dyDescent="0.25">
      <c r="C1132" s="118" t="e">
        <f t="shared" ca="1" si="187"/>
        <v>#REF!</v>
      </c>
      <c r="D1132" s="118" t="e">
        <f t="shared" ca="1" si="188"/>
        <v>#REF!</v>
      </c>
      <c r="E1132" s="118" t="e">
        <f t="shared" ca="1" si="189"/>
        <v>#REF!</v>
      </c>
      <c r="F1132" s="118" t="e">
        <f t="shared" ca="1" si="190"/>
        <v>#REF!</v>
      </c>
      <c r="G1132" s="118" t="e">
        <f t="shared" ca="1" si="191"/>
        <v>#REF!</v>
      </c>
      <c r="H1132" s="118" t="e">
        <f t="shared" ca="1" si="192"/>
        <v>#REF!</v>
      </c>
      <c r="I1132" s="118" t="e">
        <f t="shared" ca="1" si="193"/>
        <v>#REF!</v>
      </c>
      <c r="J1132" s="118" t="e">
        <f t="shared" ca="1" si="194"/>
        <v>#REF!</v>
      </c>
      <c r="K1132" s="118" t="e">
        <f t="shared" ca="1" si="195"/>
        <v>#REF!</v>
      </c>
      <c r="L1132" s="118" t="e">
        <f t="shared" ca="1" si="196"/>
        <v>#REF!</v>
      </c>
      <c r="M1132" s="118" t="e">
        <f t="shared" ca="1" si="197"/>
        <v>#REF!</v>
      </c>
    </row>
    <row r="1133" spans="3:13" x14ac:dyDescent="0.25">
      <c r="C1133" s="118" t="e">
        <f t="shared" ca="1" si="187"/>
        <v>#REF!</v>
      </c>
      <c r="D1133" s="118" t="e">
        <f t="shared" ca="1" si="188"/>
        <v>#REF!</v>
      </c>
      <c r="E1133" s="118" t="e">
        <f t="shared" ca="1" si="189"/>
        <v>#REF!</v>
      </c>
      <c r="F1133" s="118" t="e">
        <f t="shared" ca="1" si="190"/>
        <v>#REF!</v>
      </c>
      <c r="G1133" s="118" t="e">
        <f t="shared" ca="1" si="191"/>
        <v>#REF!</v>
      </c>
      <c r="H1133" s="118" t="e">
        <f t="shared" ca="1" si="192"/>
        <v>#REF!</v>
      </c>
      <c r="I1133" s="118" t="e">
        <f t="shared" ca="1" si="193"/>
        <v>#REF!</v>
      </c>
      <c r="J1133" s="118" t="e">
        <f t="shared" ca="1" si="194"/>
        <v>#REF!</v>
      </c>
      <c r="K1133" s="118" t="e">
        <f t="shared" ca="1" si="195"/>
        <v>#REF!</v>
      </c>
      <c r="L1133" s="118" t="e">
        <f t="shared" ca="1" si="196"/>
        <v>#REF!</v>
      </c>
      <c r="M1133" s="118" t="e">
        <f t="shared" ca="1" si="197"/>
        <v>#REF!</v>
      </c>
    </row>
    <row r="1134" spans="3:13" x14ac:dyDescent="0.25">
      <c r="C1134" s="118" t="e">
        <f t="shared" ca="1" si="187"/>
        <v>#REF!</v>
      </c>
      <c r="D1134" s="118" t="e">
        <f t="shared" ca="1" si="188"/>
        <v>#REF!</v>
      </c>
      <c r="E1134" s="118" t="e">
        <f t="shared" ca="1" si="189"/>
        <v>#REF!</v>
      </c>
      <c r="F1134" s="118" t="e">
        <f t="shared" ca="1" si="190"/>
        <v>#REF!</v>
      </c>
      <c r="G1134" s="118" t="e">
        <f t="shared" ca="1" si="191"/>
        <v>#REF!</v>
      </c>
      <c r="H1134" s="118" t="e">
        <f t="shared" ca="1" si="192"/>
        <v>#REF!</v>
      </c>
      <c r="I1134" s="118" t="e">
        <f t="shared" ca="1" si="193"/>
        <v>#REF!</v>
      </c>
      <c r="J1134" s="118" t="e">
        <f t="shared" ca="1" si="194"/>
        <v>#REF!</v>
      </c>
      <c r="K1134" s="118" t="e">
        <f t="shared" ca="1" si="195"/>
        <v>#REF!</v>
      </c>
      <c r="L1134" s="118" t="e">
        <f t="shared" ca="1" si="196"/>
        <v>#REF!</v>
      </c>
      <c r="M1134" s="118" t="e">
        <f t="shared" ca="1" si="197"/>
        <v>#REF!</v>
      </c>
    </row>
    <row r="1135" spans="3:13" x14ac:dyDescent="0.25">
      <c r="C1135" s="118" t="e">
        <f t="shared" ca="1" si="187"/>
        <v>#REF!</v>
      </c>
      <c r="D1135" s="118" t="e">
        <f t="shared" ca="1" si="188"/>
        <v>#REF!</v>
      </c>
      <c r="E1135" s="118" t="e">
        <f t="shared" ca="1" si="189"/>
        <v>#REF!</v>
      </c>
      <c r="F1135" s="118" t="e">
        <f t="shared" ca="1" si="190"/>
        <v>#REF!</v>
      </c>
      <c r="G1135" s="118" t="e">
        <f t="shared" ca="1" si="191"/>
        <v>#REF!</v>
      </c>
      <c r="H1135" s="118" t="e">
        <f t="shared" ca="1" si="192"/>
        <v>#REF!</v>
      </c>
      <c r="I1135" s="118" t="e">
        <f t="shared" ca="1" si="193"/>
        <v>#REF!</v>
      </c>
      <c r="J1135" s="118" t="e">
        <f t="shared" ca="1" si="194"/>
        <v>#REF!</v>
      </c>
      <c r="K1135" s="118" t="e">
        <f t="shared" ca="1" si="195"/>
        <v>#REF!</v>
      </c>
      <c r="L1135" s="118" t="e">
        <f t="shared" ca="1" si="196"/>
        <v>#REF!</v>
      </c>
      <c r="M1135" s="118" t="e">
        <f t="shared" ca="1" si="197"/>
        <v>#REF!</v>
      </c>
    </row>
    <row r="1136" spans="3:13" x14ac:dyDescent="0.25">
      <c r="C1136" s="118" t="e">
        <f t="shared" ca="1" si="187"/>
        <v>#REF!</v>
      </c>
      <c r="D1136" s="118" t="e">
        <f t="shared" ca="1" si="188"/>
        <v>#REF!</v>
      </c>
      <c r="E1136" s="118" t="e">
        <f t="shared" ca="1" si="189"/>
        <v>#REF!</v>
      </c>
      <c r="F1136" s="118" t="e">
        <f t="shared" ca="1" si="190"/>
        <v>#REF!</v>
      </c>
      <c r="G1136" s="118" t="e">
        <f t="shared" ca="1" si="191"/>
        <v>#REF!</v>
      </c>
      <c r="H1136" s="118" t="e">
        <f t="shared" ca="1" si="192"/>
        <v>#REF!</v>
      </c>
      <c r="I1136" s="118" t="e">
        <f t="shared" ca="1" si="193"/>
        <v>#REF!</v>
      </c>
      <c r="J1136" s="118" t="e">
        <f t="shared" ca="1" si="194"/>
        <v>#REF!</v>
      </c>
      <c r="K1136" s="118" t="e">
        <f t="shared" ca="1" si="195"/>
        <v>#REF!</v>
      </c>
      <c r="L1136" s="118" t="e">
        <f t="shared" ca="1" si="196"/>
        <v>#REF!</v>
      </c>
      <c r="M1136" s="118" t="e">
        <f t="shared" ca="1" si="197"/>
        <v>#REF!</v>
      </c>
    </row>
    <row r="1137" spans="3:13" x14ac:dyDescent="0.25">
      <c r="C1137" s="118" t="e">
        <f t="shared" ca="1" si="187"/>
        <v>#REF!</v>
      </c>
      <c r="D1137" s="118" t="e">
        <f t="shared" ca="1" si="188"/>
        <v>#REF!</v>
      </c>
      <c r="E1137" s="118" t="e">
        <f t="shared" ca="1" si="189"/>
        <v>#REF!</v>
      </c>
      <c r="F1137" s="118" t="e">
        <f t="shared" ca="1" si="190"/>
        <v>#REF!</v>
      </c>
      <c r="G1137" s="118" t="e">
        <f t="shared" ca="1" si="191"/>
        <v>#REF!</v>
      </c>
      <c r="H1137" s="118" t="e">
        <f t="shared" ca="1" si="192"/>
        <v>#REF!</v>
      </c>
      <c r="I1137" s="118" t="e">
        <f t="shared" ca="1" si="193"/>
        <v>#REF!</v>
      </c>
      <c r="J1137" s="118" t="e">
        <f t="shared" ca="1" si="194"/>
        <v>#REF!</v>
      </c>
      <c r="K1137" s="118" t="e">
        <f t="shared" ca="1" si="195"/>
        <v>#REF!</v>
      </c>
      <c r="L1137" s="118" t="e">
        <f t="shared" ca="1" si="196"/>
        <v>#REF!</v>
      </c>
      <c r="M1137" s="118" t="e">
        <f t="shared" ca="1" si="197"/>
        <v>#REF!</v>
      </c>
    </row>
    <row r="1138" spans="3:13" x14ac:dyDescent="0.25">
      <c r="C1138" s="118" t="e">
        <f t="shared" ca="1" si="187"/>
        <v>#REF!</v>
      </c>
      <c r="D1138" s="118" t="e">
        <f t="shared" ca="1" si="188"/>
        <v>#REF!</v>
      </c>
      <c r="E1138" s="118" t="e">
        <f t="shared" ca="1" si="189"/>
        <v>#REF!</v>
      </c>
      <c r="F1138" s="118" t="e">
        <f t="shared" ca="1" si="190"/>
        <v>#REF!</v>
      </c>
      <c r="G1138" s="118" t="e">
        <f t="shared" ca="1" si="191"/>
        <v>#REF!</v>
      </c>
      <c r="H1138" s="118" t="e">
        <f t="shared" ca="1" si="192"/>
        <v>#REF!</v>
      </c>
      <c r="I1138" s="118" t="e">
        <f t="shared" ca="1" si="193"/>
        <v>#REF!</v>
      </c>
      <c r="J1138" s="118" t="e">
        <f t="shared" ca="1" si="194"/>
        <v>#REF!</v>
      </c>
      <c r="K1138" s="118" t="e">
        <f t="shared" ca="1" si="195"/>
        <v>#REF!</v>
      </c>
      <c r="L1138" s="118" t="e">
        <f t="shared" ca="1" si="196"/>
        <v>#REF!</v>
      </c>
      <c r="M1138" s="118" t="e">
        <f t="shared" ca="1" si="197"/>
        <v>#REF!</v>
      </c>
    </row>
    <row r="1139" spans="3:13" x14ac:dyDescent="0.25">
      <c r="C1139" s="118" t="e">
        <f t="shared" ca="1" si="187"/>
        <v>#REF!</v>
      </c>
      <c r="D1139" s="118" t="e">
        <f t="shared" ca="1" si="188"/>
        <v>#REF!</v>
      </c>
      <c r="E1139" s="118" t="e">
        <f t="shared" ca="1" si="189"/>
        <v>#REF!</v>
      </c>
      <c r="F1139" s="118" t="e">
        <f t="shared" ca="1" si="190"/>
        <v>#REF!</v>
      </c>
      <c r="G1139" s="118" t="e">
        <f t="shared" ca="1" si="191"/>
        <v>#REF!</v>
      </c>
      <c r="H1139" s="118" t="e">
        <f t="shared" ca="1" si="192"/>
        <v>#REF!</v>
      </c>
      <c r="I1139" s="118" t="e">
        <f t="shared" ca="1" si="193"/>
        <v>#REF!</v>
      </c>
      <c r="J1139" s="118" t="e">
        <f t="shared" ca="1" si="194"/>
        <v>#REF!</v>
      </c>
      <c r="K1139" s="118" t="e">
        <f t="shared" ca="1" si="195"/>
        <v>#REF!</v>
      </c>
      <c r="L1139" s="118" t="e">
        <f t="shared" ca="1" si="196"/>
        <v>#REF!</v>
      </c>
      <c r="M1139" s="118" t="e">
        <f t="shared" ca="1" si="197"/>
        <v>#REF!</v>
      </c>
    </row>
    <row r="1140" spans="3:13" x14ac:dyDescent="0.25">
      <c r="C1140" s="118" t="e">
        <f t="shared" ca="1" si="187"/>
        <v>#REF!</v>
      </c>
      <c r="D1140" s="118" t="e">
        <f t="shared" ca="1" si="188"/>
        <v>#REF!</v>
      </c>
      <c r="E1140" s="118" t="e">
        <f t="shared" ca="1" si="189"/>
        <v>#REF!</v>
      </c>
      <c r="F1140" s="118" t="e">
        <f t="shared" ca="1" si="190"/>
        <v>#REF!</v>
      </c>
      <c r="G1140" s="118" t="e">
        <f t="shared" ca="1" si="191"/>
        <v>#REF!</v>
      </c>
      <c r="H1140" s="118" t="e">
        <f t="shared" ca="1" si="192"/>
        <v>#REF!</v>
      </c>
      <c r="I1140" s="118" t="e">
        <f t="shared" ca="1" si="193"/>
        <v>#REF!</v>
      </c>
      <c r="J1140" s="118" t="e">
        <f t="shared" ca="1" si="194"/>
        <v>#REF!</v>
      </c>
      <c r="K1140" s="118" t="e">
        <f t="shared" ca="1" si="195"/>
        <v>#REF!</v>
      </c>
      <c r="L1140" s="118" t="e">
        <f t="shared" ca="1" si="196"/>
        <v>#REF!</v>
      </c>
      <c r="M1140" s="118" t="e">
        <f t="shared" ca="1" si="197"/>
        <v>#REF!</v>
      </c>
    </row>
    <row r="1141" spans="3:13" x14ac:dyDescent="0.25">
      <c r="C1141" s="118" t="e">
        <f t="shared" ca="1" si="187"/>
        <v>#REF!</v>
      </c>
      <c r="D1141" s="118" t="e">
        <f t="shared" ca="1" si="188"/>
        <v>#REF!</v>
      </c>
      <c r="E1141" s="118" t="e">
        <f t="shared" ca="1" si="189"/>
        <v>#REF!</v>
      </c>
      <c r="F1141" s="118" t="e">
        <f t="shared" ca="1" si="190"/>
        <v>#REF!</v>
      </c>
      <c r="G1141" s="118" t="e">
        <f t="shared" ca="1" si="191"/>
        <v>#REF!</v>
      </c>
      <c r="H1141" s="118" t="e">
        <f t="shared" ca="1" si="192"/>
        <v>#REF!</v>
      </c>
      <c r="I1141" s="118" t="e">
        <f t="shared" ca="1" si="193"/>
        <v>#REF!</v>
      </c>
      <c r="J1141" s="118" t="e">
        <f t="shared" ca="1" si="194"/>
        <v>#REF!</v>
      </c>
      <c r="K1141" s="118" t="e">
        <f t="shared" ca="1" si="195"/>
        <v>#REF!</v>
      </c>
      <c r="L1141" s="118" t="e">
        <f t="shared" ca="1" si="196"/>
        <v>#REF!</v>
      </c>
      <c r="M1141" s="118" t="e">
        <f t="shared" ca="1" si="197"/>
        <v>#REF!</v>
      </c>
    </row>
    <row r="1142" spans="3:13" x14ac:dyDescent="0.25">
      <c r="C1142" s="118" t="e">
        <f t="shared" ca="1" si="187"/>
        <v>#REF!</v>
      </c>
      <c r="D1142" s="118" t="e">
        <f t="shared" ca="1" si="188"/>
        <v>#REF!</v>
      </c>
      <c r="E1142" s="118" t="e">
        <f t="shared" ca="1" si="189"/>
        <v>#REF!</v>
      </c>
      <c r="F1142" s="118" t="e">
        <f t="shared" ca="1" si="190"/>
        <v>#REF!</v>
      </c>
      <c r="G1142" s="118" t="e">
        <f t="shared" ca="1" si="191"/>
        <v>#REF!</v>
      </c>
      <c r="H1142" s="118" t="e">
        <f t="shared" ca="1" si="192"/>
        <v>#REF!</v>
      </c>
      <c r="I1142" s="118" t="e">
        <f t="shared" ca="1" si="193"/>
        <v>#REF!</v>
      </c>
      <c r="J1142" s="118" t="e">
        <f t="shared" ca="1" si="194"/>
        <v>#REF!</v>
      </c>
      <c r="K1142" s="118" t="e">
        <f t="shared" ca="1" si="195"/>
        <v>#REF!</v>
      </c>
      <c r="L1142" s="118" t="e">
        <f t="shared" ca="1" si="196"/>
        <v>#REF!</v>
      </c>
      <c r="M1142" s="118" t="e">
        <f t="shared" ca="1" si="197"/>
        <v>#REF!</v>
      </c>
    </row>
    <row r="1143" spans="3:13" x14ac:dyDescent="0.25">
      <c r="C1143" s="118" t="e">
        <f t="shared" ca="1" si="187"/>
        <v>#REF!</v>
      </c>
      <c r="D1143" s="118" t="e">
        <f t="shared" ca="1" si="188"/>
        <v>#REF!</v>
      </c>
      <c r="E1143" s="118" t="e">
        <f t="shared" ca="1" si="189"/>
        <v>#REF!</v>
      </c>
      <c r="F1143" s="118" t="e">
        <f t="shared" ca="1" si="190"/>
        <v>#REF!</v>
      </c>
      <c r="G1143" s="118" t="e">
        <f t="shared" ca="1" si="191"/>
        <v>#REF!</v>
      </c>
      <c r="H1143" s="118" t="e">
        <f t="shared" ca="1" si="192"/>
        <v>#REF!</v>
      </c>
      <c r="I1143" s="118" t="e">
        <f t="shared" ca="1" si="193"/>
        <v>#REF!</v>
      </c>
      <c r="J1143" s="118" t="e">
        <f t="shared" ca="1" si="194"/>
        <v>#REF!</v>
      </c>
      <c r="K1143" s="118" t="e">
        <f t="shared" ca="1" si="195"/>
        <v>#REF!</v>
      </c>
      <c r="L1143" s="118" t="e">
        <f t="shared" ca="1" si="196"/>
        <v>#REF!</v>
      </c>
      <c r="M1143" s="118" t="e">
        <f t="shared" ca="1" si="197"/>
        <v>#REF!</v>
      </c>
    </row>
    <row r="1144" spans="3:13" x14ac:dyDescent="0.25">
      <c r="C1144" s="118" t="e">
        <f t="shared" ca="1" si="187"/>
        <v>#REF!</v>
      </c>
      <c r="D1144" s="118" t="e">
        <f t="shared" ca="1" si="188"/>
        <v>#REF!</v>
      </c>
      <c r="E1144" s="118" t="e">
        <f t="shared" ca="1" si="189"/>
        <v>#REF!</v>
      </c>
      <c r="F1144" s="118" t="e">
        <f t="shared" ca="1" si="190"/>
        <v>#REF!</v>
      </c>
      <c r="G1144" s="118" t="e">
        <f t="shared" ca="1" si="191"/>
        <v>#REF!</v>
      </c>
      <c r="H1144" s="118" t="e">
        <f t="shared" ca="1" si="192"/>
        <v>#REF!</v>
      </c>
      <c r="I1144" s="118" t="e">
        <f t="shared" ca="1" si="193"/>
        <v>#REF!</v>
      </c>
      <c r="J1144" s="118" t="e">
        <f t="shared" ca="1" si="194"/>
        <v>#REF!</v>
      </c>
      <c r="K1144" s="118" t="e">
        <f t="shared" ca="1" si="195"/>
        <v>#REF!</v>
      </c>
      <c r="L1144" s="118" t="e">
        <f t="shared" ca="1" si="196"/>
        <v>#REF!</v>
      </c>
      <c r="M1144" s="118" t="e">
        <f t="shared" ca="1" si="197"/>
        <v>#REF!</v>
      </c>
    </row>
    <row r="1145" spans="3:13" x14ac:dyDescent="0.25">
      <c r="C1145" s="118" t="e">
        <f t="shared" ca="1" si="187"/>
        <v>#REF!</v>
      </c>
      <c r="D1145" s="118" t="e">
        <f t="shared" ca="1" si="188"/>
        <v>#REF!</v>
      </c>
      <c r="E1145" s="118" t="e">
        <f t="shared" ca="1" si="189"/>
        <v>#REF!</v>
      </c>
      <c r="F1145" s="118" t="e">
        <f t="shared" ca="1" si="190"/>
        <v>#REF!</v>
      </c>
      <c r="G1145" s="118" t="e">
        <f t="shared" ca="1" si="191"/>
        <v>#REF!</v>
      </c>
      <c r="H1145" s="118" t="e">
        <f t="shared" ca="1" si="192"/>
        <v>#REF!</v>
      </c>
      <c r="I1145" s="118" t="e">
        <f t="shared" ca="1" si="193"/>
        <v>#REF!</v>
      </c>
      <c r="J1145" s="118" t="e">
        <f t="shared" ca="1" si="194"/>
        <v>#REF!</v>
      </c>
      <c r="K1145" s="118" t="e">
        <f t="shared" ca="1" si="195"/>
        <v>#REF!</v>
      </c>
      <c r="L1145" s="118" t="e">
        <f t="shared" ca="1" si="196"/>
        <v>#REF!</v>
      </c>
      <c r="M1145" s="118" t="e">
        <f t="shared" ca="1" si="197"/>
        <v>#REF!</v>
      </c>
    </row>
    <row r="1146" spans="3:13" x14ac:dyDescent="0.25">
      <c r="C1146" s="118" t="e">
        <f t="shared" ca="1" si="187"/>
        <v>#REF!</v>
      </c>
      <c r="D1146" s="118" t="e">
        <f t="shared" ca="1" si="188"/>
        <v>#REF!</v>
      </c>
      <c r="E1146" s="118" t="e">
        <f t="shared" ca="1" si="189"/>
        <v>#REF!</v>
      </c>
      <c r="F1146" s="118" t="e">
        <f t="shared" ca="1" si="190"/>
        <v>#REF!</v>
      </c>
      <c r="G1146" s="118" t="e">
        <f t="shared" ca="1" si="191"/>
        <v>#REF!</v>
      </c>
      <c r="H1146" s="118" t="e">
        <f t="shared" ca="1" si="192"/>
        <v>#REF!</v>
      </c>
      <c r="I1146" s="118" t="e">
        <f t="shared" ca="1" si="193"/>
        <v>#REF!</v>
      </c>
      <c r="J1146" s="118" t="e">
        <f t="shared" ca="1" si="194"/>
        <v>#REF!</v>
      </c>
      <c r="K1146" s="118" t="e">
        <f t="shared" ca="1" si="195"/>
        <v>#REF!</v>
      </c>
      <c r="L1146" s="118" t="e">
        <f t="shared" ca="1" si="196"/>
        <v>#REF!</v>
      </c>
      <c r="M1146" s="118" t="e">
        <f t="shared" ca="1" si="197"/>
        <v>#REF!</v>
      </c>
    </row>
    <row r="1147" spans="3:13" x14ac:dyDescent="0.25">
      <c r="C1147" s="118" t="e">
        <f t="shared" ca="1" si="187"/>
        <v>#REF!</v>
      </c>
      <c r="D1147" s="118" t="e">
        <f t="shared" ca="1" si="188"/>
        <v>#REF!</v>
      </c>
      <c r="E1147" s="118" t="e">
        <f t="shared" ca="1" si="189"/>
        <v>#REF!</v>
      </c>
      <c r="F1147" s="118" t="e">
        <f t="shared" ca="1" si="190"/>
        <v>#REF!</v>
      </c>
      <c r="G1147" s="118" t="e">
        <f t="shared" ca="1" si="191"/>
        <v>#REF!</v>
      </c>
      <c r="H1147" s="118" t="e">
        <f t="shared" ca="1" si="192"/>
        <v>#REF!</v>
      </c>
      <c r="I1147" s="118" t="e">
        <f t="shared" ca="1" si="193"/>
        <v>#REF!</v>
      </c>
      <c r="J1147" s="118" t="e">
        <f t="shared" ca="1" si="194"/>
        <v>#REF!</v>
      </c>
      <c r="K1147" s="118" t="e">
        <f t="shared" ca="1" si="195"/>
        <v>#REF!</v>
      </c>
      <c r="L1147" s="118" t="e">
        <f t="shared" ca="1" si="196"/>
        <v>#REF!</v>
      </c>
      <c r="M1147" s="118" t="e">
        <f t="shared" ca="1" si="197"/>
        <v>#REF!</v>
      </c>
    </row>
    <row r="1148" spans="3:13" x14ac:dyDescent="0.25">
      <c r="C1148" s="118" t="e">
        <f t="shared" ca="1" si="187"/>
        <v>#REF!</v>
      </c>
      <c r="D1148" s="118" t="e">
        <f t="shared" ca="1" si="188"/>
        <v>#REF!</v>
      </c>
      <c r="E1148" s="118" t="e">
        <f t="shared" ca="1" si="189"/>
        <v>#REF!</v>
      </c>
      <c r="F1148" s="118" t="e">
        <f t="shared" ca="1" si="190"/>
        <v>#REF!</v>
      </c>
      <c r="G1148" s="118" t="e">
        <f t="shared" ca="1" si="191"/>
        <v>#REF!</v>
      </c>
      <c r="H1148" s="118" t="e">
        <f t="shared" ca="1" si="192"/>
        <v>#REF!</v>
      </c>
      <c r="I1148" s="118" t="e">
        <f t="shared" ca="1" si="193"/>
        <v>#REF!</v>
      </c>
      <c r="J1148" s="118" t="e">
        <f t="shared" ca="1" si="194"/>
        <v>#REF!</v>
      </c>
      <c r="K1148" s="118" t="e">
        <f t="shared" ca="1" si="195"/>
        <v>#REF!</v>
      </c>
      <c r="L1148" s="118" t="e">
        <f t="shared" ca="1" si="196"/>
        <v>#REF!</v>
      </c>
      <c r="M1148" s="118" t="e">
        <f t="shared" ca="1" si="197"/>
        <v>#REF!</v>
      </c>
    </row>
    <row r="1149" spans="3:13" x14ac:dyDescent="0.25">
      <c r="C1149" s="118" t="e">
        <f t="shared" ca="1" si="187"/>
        <v>#REF!</v>
      </c>
      <c r="D1149" s="118" t="e">
        <f t="shared" ca="1" si="188"/>
        <v>#REF!</v>
      </c>
      <c r="E1149" s="118" t="e">
        <f t="shared" ca="1" si="189"/>
        <v>#REF!</v>
      </c>
      <c r="F1149" s="118" t="e">
        <f t="shared" ca="1" si="190"/>
        <v>#REF!</v>
      </c>
      <c r="G1149" s="118" t="e">
        <f t="shared" ca="1" si="191"/>
        <v>#REF!</v>
      </c>
      <c r="H1149" s="118" t="e">
        <f t="shared" ca="1" si="192"/>
        <v>#REF!</v>
      </c>
      <c r="I1149" s="118" t="e">
        <f t="shared" ca="1" si="193"/>
        <v>#REF!</v>
      </c>
      <c r="J1149" s="118" t="e">
        <f t="shared" ca="1" si="194"/>
        <v>#REF!</v>
      </c>
      <c r="K1149" s="118" t="e">
        <f t="shared" ca="1" si="195"/>
        <v>#REF!</v>
      </c>
      <c r="L1149" s="118" t="e">
        <f t="shared" ca="1" si="196"/>
        <v>#REF!</v>
      </c>
      <c r="M1149" s="118" t="e">
        <f t="shared" ca="1" si="197"/>
        <v>#REF!</v>
      </c>
    </row>
    <row r="1150" spans="3:13" x14ac:dyDescent="0.25">
      <c r="C1150" s="118" t="e">
        <f t="shared" ca="1" si="187"/>
        <v>#REF!</v>
      </c>
      <c r="D1150" s="118" t="e">
        <f t="shared" ca="1" si="188"/>
        <v>#REF!</v>
      </c>
      <c r="E1150" s="118" t="e">
        <f t="shared" ca="1" si="189"/>
        <v>#REF!</v>
      </c>
      <c r="F1150" s="118" t="e">
        <f t="shared" ca="1" si="190"/>
        <v>#REF!</v>
      </c>
      <c r="G1150" s="118" t="e">
        <f t="shared" ca="1" si="191"/>
        <v>#REF!</v>
      </c>
      <c r="H1150" s="118" t="e">
        <f t="shared" ca="1" si="192"/>
        <v>#REF!</v>
      </c>
      <c r="I1150" s="118" t="e">
        <f t="shared" ca="1" si="193"/>
        <v>#REF!</v>
      </c>
      <c r="J1150" s="118" t="e">
        <f t="shared" ca="1" si="194"/>
        <v>#REF!</v>
      </c>
      <c r="K1150" s="118" t="e">
        <f t="shared" ca="1" si="195"/>
        <v>#REF!</v>
      </c>
      <c r="L1150" s="118" t="e">
        <f t="shared" ca="1" si="196"/>
        <v>#REF!</v>
      </c>
      <c r="M1150" s="118" t="e">
        <f t="shared" ca="1" si="197"/>
        <v>#REF!</v>
      </c>
    </row>
    <row r="1151" spans="3:13" x14ac:dyDescent="0.25">
      <c r="C1151" s="118" t="e">
        <f t="shared" ca="1" si="187"/>
        <v>#REF!</v>
      </c>
      <c r="D1151" s="118" t="e">
        <f t="shared" ca="1" si="188"/>
        <v>#REF!</v>
      </c>
      <c r="E1151" s="118" t="e">
        <f t="shared" ca="1" si="189"/>
        <v>#REF!</v>
      </c>
      <c r="F1151" s="118" t="e">
        <f t="shared" ca="1" si="190"/>
        <v>#REF!</v>
      </c>
      <c r="G1151" s="118" t="e">
        <f t="shared" ca="1" si="191"/>
        <v>#REF!</v>
      </c>
      <c r="H1151" s="118" t="e">
        <f t="shared" ca="1" si="192"/>
        <v>#REF!</v>
      </c>
      <c r="I1151" s="118" t="e">
        <f t="shared" ca="1" si="193"/>
        <v>#REF!</v>
      </c>
      <c r="J1151" s="118" t="e">
        <f t="shared" ca="1" si="194"/>
        <v>#REF!</v>
      </c>
      <c r="K1151" s="118" t="e">
        <f t="shared" ca="1" si="195"/>
        <v>#REF!</v>
      </c>
      <c r="L1151" s="118" t="e">
        <f t="shared" ca="1" si="196"/>
        <v>#REF!</v>
      </c>
      <c r="M1151" s="118" t="e">
        <f t="shared" ca="1" si="197"/>
        <v>#REF!</v>
      </c>
    </row>
    <row r="1152" spans="3:13" x14ac:dyDescent="0.25">
      <c r="C1152" s="118" t="e">
        <f t="shared" ca="1" si="187"/>
        <v>#REF!</v>
      </c>
      <c r="D1152" s="118" t="e">
        <f t="shared" ca="1" si="188"/>
        <v>#REF!</v>
      </c>
      <c r="E1152" s="118" t="e">
        <f t="shared" ca="1" si="189"/>
        <v>#REF!</v>
      </c>
      <c r="F1152" s="118" t="e">
        <f t="shared" ca="1" si="190"/>
        <v>#REF!</v>
      </c>
      <c r="G1152" s="118" t="e">
        <f t="shared" ca="1" si="191"/>
        <v>#REF!</v>
      </c>
      <c r="H1152" s="118" t="e">
        <f t="shared" ca="1" si="192"/>
        <v>#REF!</v>
      </c>
      <c r="I1152" s="118" t="e">
        <f t="shared" ca="1" si="193"/>
        <v>#REF!</v>
      </c>
      <c r="J1152" s="118" t="e">
        <f t="shared" ca="1" si="194"/>
        <v>#REF!</v>
      </c>
      <c r="K1152" s="118" t="e">
        <f t="shared" ca="1" si="195"/>
        <v>#REF!</v>
      </c>
      <c r="L1152" s="118" t="e">
        <f t="shared" ca="1" si="196"/>
        <v>#REF!</v>
      </c>
      <c r="M1152" s="118" t="e">
        <f t="shared" ca="1" si="197"/>
        <v>#REF!</v>
      </c>
    </row>
    <row r="1153" spans="3:13" x14ac:dyDescent="0.25">
      <c r="C1153" s="118" t="e">
        <f t="shared" ca="1" si="187"/>
        <v>#REF!</v>
      </c>
      <c r="D1153" s="118" t="e">
        <f t="shared" ca="1" si="188"/>
        <v>#REF!</v>
      </c>
      <c r="E1153" s="118" t="e">
        <f t="shared" ca="1" si="189"/>
        <v>#REF!</v>
      </c>
      <c r="F1153" s="118" t="e">
        <f t="shared" ca="1" si="190"/>
        <v>#REF!</v>
      </c>
      <c r="G1153" s="118" t="e">
        <f t="shared" ca="1" si="191"/>
        <v>#REF!</v>
      </c>
      <c r="H1153" s="118" t="e">
        <f t="shared" ca="1" si="192"/>
        <v>#REF!</v>
      </c>
      <c r="I1153" s="118" t="e">
        <f t="shared" ca="1" si="193"/>
        <v>#REF!</v>
      </c>
      <c r="J1153" s="118" t="e">
        <f t="shared" ca="1" si="194"/>
        <v>#REF!</v>
      </c>
      <c r="K1153" s="118" t="e">
        <f t="shared" ca="1" si="195"/>
        <v>#REF!</v>
      </c>
      <c r="L1153" s="118" t="e">
        <f t="shared" ca="1" si="196"/>
        <v>#REF!</v>
      </c>
      <c r="M1153" s="118" t="e">
        <f t="shared" ca="1" si="197"/>
        <v>#REF!</v>
      </c>
    </row>
    <row r="1154" spans="3:13" x14ac:dyDescent="0.25">
      <c r="C1154" s="118" t="e">
        <f t="shared" ca="1" si="187"/>
        <v>#REF!</v>
      </c>
      <c r="D1154" s="118" t="e">
        <f t="shared" ca="1" si="188"/>
        <v>#REF!</v>
      </c>
      <c r="E1154" s="118" t="e">
        <f t="shared" ca="1" si="189"/>
        <v>#REF!</v>
      </c>
      <c r="F1154" s="118" t="e">
        <f t="shared" ca="1" si="190"/>
        <v>#REF!</v>
      </c>
      <c r="G1154" s="118" t="e">
        <f t="shared" ca="1" si="191"/>
        <v>#REF!</v>
      </c>
      <c r="H1154" s="118" t="e">
        <f t="shared" ca="1" si="192"/>
        <v>#REF!</v>
      </c>
      <c r="I1154" s="118" t="e">
        <f t="shared" ca="1" si="193"/>
        <v>#REF!</v>
      </c>
      <c r="J1154" s="118" t="e">
        <f t="shared" ca="1" si="194"/>
        <v>#REF!</v>
      </c>
      <c r="K1154" s="118" t="e">
        <f t="shared" ca="1" si="195"/>
        <v>#REF!</v>
      </c>
      <c r="L1154" s="118" t="e">
        <f t="shared" ca="1" si="196"/>
        <v>#REF!</v>
      </c>
      <c r="M1154" s="118" t="e">
        <f t="shared" ca="1" si="197"/>
        <v>#REF!</v>
      </c>
    </row>
    <row r="1155" spans="3:13" x14ac:dyDescent="0.25">
      <c r="C1155" s="118" t="e">
        <f t="shared" ref="C1155:C1167" ca="1" si="198">INDIRECT(CONCATENATE("",$A1155,"!H10"))</f>
        <v>#REF!</v>
      </c>
      <c r="D1155" s="118" t="e">
        <f t="shared" ref="D1155:D1167" ca="1" si="199">INDIRECT(CONCATENATE("",$A1155,"!H11"))</f>
        <v>#REF!</v>
      </c>
      <c r="E1155" s="118" t="e">
        <f t="shared" ref="E1155:E1167" ca="1" si="200">INDIRECT(CONCATENATE("",$A1155,"!H12"))</f>
        <v>#REF!</v>
      </c>
      <c r="F1155" s="118" t="e">
        <f t="shared" ref="F1155:F1167" ca="1" si="201">INDIRECT(CONCATENATE("",$A1155,"!H13"))</f>
        <v>#REF!</v>
      </c>
      <c r="G1155" s="118" t="e">
        <f t="shared" ref="G1155:G1167" ca="1" si="202">INDIRECT(CONCATENATE("",$A1155,"!H14"))</f>
        <v>#REF!</v>
      </c>
      <c r="H1155" s="118" t="e">
        <f t="shared" ref="H1155:H1167" ca="1" si="203">INDIRECT(CONCATENATE("",$A1155,"!i12"))</f>
        <v>#REF!</v>
      </c>
      <c r="I1155" s="118" t="e">
        <f t="shared" ref="I1155:I1167" ca="1" si="204">INDIRECT(CONCATENATE("",$A1155,"!i13"))</f>
        <v>#REF!</v>
      </c>
      <c r="J1155" s="118" t="e">
        <f t="shared" ref="J1155:J1167" ca="1" si="205">INDIRECT(CONCATENATE("",$A1155,"!i14"))</f>
        <v>#REF!</v>
      </c>
      <c r="K1155" s="118" t="e">
        <f t="shared" ref="K1155:K1167" ca="1" si="206">INDIRECT(CONCATENATE("",$A1155,"!J12"))</f>
        <v>#REF!</v>
      </c>
      <c r="L1155" s="118" t="e">
        <f t="shared" ref="L1155:L1167" ca="1" si="207">INDIRECT(CONCATENATE("",$A1155,"!J13"))</f>
        <v>#REF!</v>
      </c>
      <c r="M1155" s="118" t="e">
        <f t="shared" ref="M1155:M1167" ca="1" si="208">INDIRECT(CONCATENATE("",$A1155,"!J14"))</f>
        <v>#REF!</v>
      </c>
    </row>
    <row r="1156" spans="3:13" x14ac:dyDescent="0.25">
      <c r="C1156" s="118" t="e">
        <f t="shared" ca="1" si="198"/>
        <v>#REF!</v>
      </c>
      <c r="D1156" s="118" t="e">
        <f t="shared" ca="1" si="199"/>
        <v>#REF!</v>
      </c>
      <c r="E1156" s="118" t="e">
        <f t="shared" ca="1" si="200"/>
        <v>#REF!</v>
      </c>
      <c r="F1156" s="118" t="e">
        <f t="shared" ca="1" si="201"/>
        <v>#REF!</v>
      </c>
      <c r="G1156" s="118" t="e">
        <f t="shared" ca="1" si="202"/>
        <v>#REF!</v>
      </c>
      <c r="H1156" s="118" t="e">
        <f t="shared" ca="1" si="203"/>
        <v>#REF!</v>
      </c>
      <c r="I1156" s="118" t="e">
        <f t="shared" ca="1" si="204"/>
        <v>#REF!</v>
      </c>
      <c r="J1156" s="118" t="e">
        <f t="shared" ca="1" si="205"/>
        <v>#REF!</v>
      </c>
      <c r="K1156" s="118" t="e">
        <f t="shared" ca="1" si="206"/>
        <v>#REF!</v>
      </c>
      <c r="L1156" s="118" t="e">
        <f t="shared" ca="1" si="207"/>
        <v>#REF!</v>
      </c>
      <c r="M1156" s="118" t="e">
        <f t="shared" ca="1" si="208"/>
        <v>#REF!</v>
      </c>
    </row>
    <row r="1157" spans="3:13" x14ac:dyDescent="0.25">
      <c r="C1157" s="118" t="e">
        <f t="shared" ca="1" si="198"/>
        <v>#REF!</v>
      </c>
      <c r="D1157" s="118" t="e">
        <f t="shared" ca="1" si="199"/>
        <v>#REF!</v>
      </c>
      <c r="E1157" s="118" t="e">
        <f t="shared" ca="1" si="200"/>
        <v>#REF!</v>
      </c>
      <c r="F1157" s="118" t="e">
        <f t="shared" ca="1" si="201"/>
        <v>#REF!</v>
      </c>
      <c r="G1157" s="118" t="e">
        <f t="shared" ca="1" si="202"/>
        <v>#REF!</v>
      </c>
      <c r="H1157" s="118" t="e">
        <f t="shared" ca="1" si="203"/>
        <v>#REF!</v>
      </c>
      <c r="I1157" s="118" t="e">
        <f t="shared" ca="1" si="204"/>
        <v>#REF!</v>
      </c>
      <c r="J1157" s="118" t="e">
        <f t="shared" ca="1" si="205"/>
        <v>#REF!</v>
      </c>
      <c r="K1157" s="118" t="e">
        <f t="shared" ca="1" si="206"/>
        <v>#REF!</v>
      </c>
      <c r="L1157" s="118" t="e">
        <f t="shared" ca="1" si="207"/>
        <v>#REF!</v>
      </c>
      <c r="M1157" s="118" t="e">
        <f t="shared" ca="1" si="208"/>
        <v>#REF!</v>
      </c>
    </row>
    <row r="1158" spans="3:13" x14ac:dyDescent="0.25">
      <c r="C1158" s="118" t="e">
        <f t="shared" ca="1" si="198"/>
        <v>#REF!</v>
      </c>
      <c r="D1158" s="118" t="e">
        <f t="shared" ca="1" si="199"/>
        <v>#REF!</v>
      </c>
      <c r="E1158" s="118" t="e">
        <f t="shared" ca="1" si="200"/>
        <v>#REF!</v>
      </c>
      <c r="F1158" s="118" t="e">
        <f t="shared" ca="1" si="201"/>
        <v>#REF!</v>
      </c>
      <c r="G1158" s="118" t="e">
        <f t="shared" ca="1" si="202"/>
        <v>#REF!</v>
      </c>
      <c r="H1158" s="118" t="e">
        <f t="shared" ca="1" si="203"/>
        <v>#REF!</v>
      </c>
      <c r="I1158" s="118" t="e">
        <f t="shared" ca="1" si="204"/>
        <v>#REF!</v>
      </c>
      <c r="J1158" s="118" t="e">
        <f t="shared" ca="1" si="205"/>
        <v>#REF!</v>
      </c>
      <c r="K1158" s="118" t="e">
        <f t="shared" ca="1" si="206"/>
        <v>#REF!</v>
      </c>
      <c r="L1158" s="118" t="e">
        <f t="shared" ca="1" si="207"/>
        <v>#REF!</v>
      </c>
      <c r="M1158" s="118" t="e">
        <f t="shared" ca="1" si="208"/>
        <v>#REF!</v>
      </c>
    </row>
    <row r="1159" spans="3:13" x14ac:dyDescent="0.25">
      <c r="C1159" s="118" t="e">
        <f t="shared" ca="1" si="198"/>
        <v>#REF!</v>
      </c>
      <c r="D1159" s="118" t="e">
        <f t="shared" ca="1" si="199"/>
        <v>#REF!</v>
      </c>
      <c r="E1159" s="118" t="e">
        <f t="shared" ca="1" si="200"/>
        <v>#REF!</v>
      </c>
      <c r="F1159" s="118" t="e">
        <f t="shared" ca="1" si="201"/>
        <v>#REF!</v>
      </c>
      <c r="G1159" s="118" t="e">
        <f t="shared" ca="1" si="202"/>
        <v>#REF!</v>
      </c>
      <c r="H1159" s="118" t="e">
        <f t="shared" ca="1" si="203"/>
        <v>#REF!</v>
      </c>
      <c r="I1159" s="118" t="e">
        <f t="shared" ca="1" si="204"/>
        <v>#REF!</v>
      </c>
      <c r="J1159" s="118" t="e">
        <f t="shared" ca="1" si="205"/>
        <v>#REF!</v>
      </c>
      <c r="K1159" s="118" t="e">
        <f t="shared" ca="1" si="206"/>
        <v>#REF!</v>
      </c>
      <c r="L1159" s="118" t="e">
        <f t="shared" ca="1" si="207"/>
        <v>#REF!</v>
      </c>
      <c r="M1159" s="118" t="e">
        <f t="shared" ca="1" si="208"/>
        <v>#REF!</v>
      </c>
    </row>
    <row r="1160" spans="3:13" x14ac:dyDescent="0.25">
      <c r="C1160" s="118" t="e">
        <f t="shared" ca="1" si="198"/>
        <v>#REF!</v>
      </c>
      <c r="D1160" s="118" t="e">
        <f t="shared" ca="1" si="199"/>
        <v>#REF!</v>
      </c>
      <c r="E1160" s="118" t="e">
        <f t="shared" ca="1" si="200"/>
        <v>#REF!</v>
      </c>
      <c r="F1160" s="118" t="e">
        <f t="shared" ca="1" si="201"/>
        <v>#REF!</v>
      </c>
      <c r="G1160" s="118" t="e">
        <f t="shared" ca="1" si="202"/>
        <v>#REF!</v>
      </c>
      <c r="H1160" s="118" t="e">
        <f t="shared" ca="1" si="203"/>
        <v>#REF!</v>
      </c>
      <c r="I1160" s="118" t="e">
        <f t="shared" ca="1" si="204"/>
        <v>#REF!</v>
      </c>
      <c r="J1160" s="118" t="e">
        <f t="shared" ca="1" si="205"/>
        <v>#REF!</v>
      </c>
      <c r="K1160" s="118" t="e">
        <f t="shared" ca="1" si="206"/>
        <v>#REF!</v>
      </c>
      <c r="L1160" s="118" t="e">
        <f t="shared" ca="1" si="207"/>
        <v>#REF!</v>
      </c>
      <c r="M1160" s="118" t="e">
        <f t="shared" ca="1" si="208"/>
        <v>#REF!</v>
      </c>
    </row>
    <row r="1161" spans="3:13" x14ac:dyDescent="0.25">
      <c r="C1161" s="118" t="e">
        <f t="shared" ca="1" si="198"/>
        <v>#REF!</v>
      </c>
      <c r="D1161" s="118" t="e">
        <f t="shared" ca="1" si="199"/>
        <v>#REF!</v>
      </c>
      <c r="E1161" s="118" t="e">
        <f t="shared" ca="1" si="200"/>
        <v>#REF!</v>
      </c>
      <c r="F1161" s="118" t="e">
        <f t="shared" ca="1" si="201"/>
        <v>#REF!</v>
      </c>
      <c r="G1161" s="118" t="e">
        <f t="shared" ca="1" si="202"/>
        <v>#REF!</v>
      </c>
      <c r="H1161" s="118" t="e">
        <f t="shared" ca="1" si="203"/>
        <v>#REF!</v>
      </c>
      <c r="I1161" s="118" t="e">
        <f t="shared" ca="1" si="204"/>
        <v>#REF!</v>
      </c>
      <c r="J1161" s="118" t="e">
        <f t="shared" ca="1" si="205"/>
        <v>#REF!</v>
      </c>
      <c r="K1161" s="118" t="e">
        <f t="shared" ca="1" si="206"/>
        <v>#REF!</v>
      </c>
      <c r="L1161" s="118" t="e">
        <f t="shared" ca="1" si="207"/>
        <v>#REF!</v>
      </c>
      <c r="M1161" s="118" t="e">
        <f t="shared" ca="1" si="208"/>
        <v>#REF!</v>
      </c>
    </row>
    <row r="1162" spans="3:13" x14ac:dyDescent="0.25">
      <c r="C1162" s="118" t="e">
        <f t="shared" ca="1" si="198"/>
        <v>#REF!</v>
      </c>
      <c r="D1162" s="118" t="e">
        <f t="shared" ca="1" si="199"/>
        <v>#REF!</v>
      </c>
      <c r="E1162" s="118" t="e">
        <f t="shared" ca="1" si="200"/>
        <v>#REF!</v>
      </c>
      <c r="F1162" s="118" t="e">
        <f t="shared" ca="1" si="201"/>
        <v>#REF!</v>
      </c>
      <c r="G1162" s="118" t="e">
        <f t="shared" ca="1" si="202"/>
        <v>#REF!</v>
      </c>
      <c r="H1162" s="118" t="e">
        <f t="shared" ca="1" si="203"/>
        <v>#REF!</v>
      </c>
      <c r="I1162" s="118" t="e">
        <f t="shared" ca="1" si="204"/>
        <v>#REF!</v>
      </c>
      <c r="J1162" s="118" t="e">
        <f t="shared" ca="1" si="205"/>
        <v>#REF!</v>
      </c>
      <c r="K1162" s="118" t="e">
        <f t="shared" ca="1" si="206"/>
        <v>#REF!</v>
      </c>
      <c r="L1162" s="118" t="e">
        <f t="shared" ca="1" si="207"/>
        <v>#REF!</v>
      </c>
      <c r="M1162" s="118" t="e">
        <f t="shared" ca="1" si="208"/>
        <v>#REF!</v>
      </c>
    </row>
    <row r="1163" spans="3:13" x14ac:dyDescent="0.25">
      <c r="C1163" s="118" t="e">
        <f t="shared" ca="1" si="198"/>
        <v>#REF!</v>
      </c>
      <c r="D1163" s="118" t="e">
        <f t="shared" ca="1" si="199"/>
        <v>#REF!</v>
      </c>
      <c r="E1163" s="118" t="e">
        <f t="shared" ca="1" si="200"/>
        <v>#REF!</v>
      </c>
      <c r="F1163" s="118" t="e">
        <f t="shared" ca="1" si="201"/>
        <v>#REF!</v>
      </c>
      <c r="G1163" s="118" t="e">
        <f t="shared" ca="1" si="202"/>
        <v>#REF!</v>
      </c>
      <c r="H1163" s="118" t="e">
        <f t="shared" ca="1" si="203"/>
        <v>#REF!</v>
      </c>
      <c r="I1163" s="118" t="e">
        <f t="shared" ca="1" si="204"/>
        <v>#REF!</v>
      </c>
      <c r="J1163" s="118" t="e">
        <f t="shared" ca="1" si="205"/>
        <v>#REF!</v>
      </c>
      <c r="K1163" s="118" t="e">
        <f t="shared" ca="1" si="206"/>
        <v>#REF!</v>
      </c>
      <c r="L1163" s="118" t="e">
        <f t="shared" ca="1" si="207"/>
        <v>#REF!</v>
      </c>
      <c r="M1163" s="118" t="e">
        <f t="shared" ca="1" si="208"/>
        <v>#REF!</v>
      </c>
    </row>
    <row r="1164" spans="3:13" x14ac:dyDescent="0.25">
      <c r="C1164" s="118" t="e">
        <f t="shared" ca="1" si="198"/>
        <v>#REF!</v>
      </c>
      <c r="D1164" s="118" t="e">
        <f t="shared" ca="1" si="199"/>
        <v>#REF!</v>
      </c>
      <c r="E1164" s="118" t="e">
        <f t="shared" ca="1" si="200"/>
        <v>#REF!</v>
      </c>
      <c r="F1164" s="118" t="e">
        <f t="shared" ca="1" si="201"/>
        <v>#REF!</v>
      </c>
      <c r="G1164" s="118" t="e">
        <f t="shared" ca="1" si="202"/>
        <v>#REF!</v>
      </c>
      <c r="H1164" s="118" t="e">
        <f t="shared" ca="1" si="203"/>
        <v>#REF!</v>
      </c>
      <c r="I1164" s="118" t="e">
        <f t="shared" ca="1" si="204"/>
        <v>#REF!</v>
      </c>
      <c r="J1164" s="118" t="e">
        <f t="shared" ca="1" si="205"/>
        <v>#REF!</v>
      </c>
      <c r="K1164" s="118" t="e">
        <f t="shared" ca="1" si="206"/>
        <v>#REF!</v>
      </c>
      <c r="L1164" s="118" t="e">
        <f t="shared" ca="1" si="207"/>
        <v>#REF!</v>
      </c>
      <c r="M1164" s="118" t="e">
        <f t="shared" ca="1" si="208"/>
        <v>#REF!</v>
      </c>
    </row>
    <row r="1165" spans="3:13" x14ac:dyDescent="0.25">
      <c r="C1165" s="118" t="e">
        <f t="shared" ca="1" si="198"/>
        <v>#REF!</v>
      </c>
      <c r="D1165" s="118" t="e">
        <f t="shared" ca="1" si="199"/>
        <v>#REF!</v>
      </c>
      <c r="E1165" s="118" t="e">
        <f t="shared" ca="1" si="200"/>
        <v>#REF!</v>
      </c>
      <c r="F1165" s="118" t="e">
        <f t="shared" ca="1" si="201"/>
        <v>#REF!</v>
      </c>
      <c r="G1165" s="118" t="e">
        <f t="shared" ca="1" si="202"/>
        <v>#REF!</v>
      </c>
      <c r="H1165" s="118" t="e">
        <f t="shared" ca="1" si="203"/>
        <v>#REF!</v>
      </c>
      <c r="I1165" s="118" t="e">
        <f t="shared" ca="1" si="204"/>
        <v>#REF!</v>
      </c>
      <c r="J1165" s="118" t="e">
        <f t="shared" ca="1" si="205"/>
        <v>#REF!</v>
      </c>
      <c r="K1165" s="118" t="e">
        <f t="shared" ca="1" si="206"/>
        <v>#REF!</v>
      </c>
      <c r="L1165" s="118" t="e">
        <f t="shared" ca="1" si="207"/>
        <v>#REF!</v>
      </c>
      <c r="M1165" s="118" t="e">
        <f t="shared" ca="1" si="208"/>
        <v>#REF!</v>
      </c>
    </row>
    <row r="1166" spans="3:13" x14ac:dyDescent="0.25">
      <c r="C1166" s="118" t="e">
        <f t="shared" ca="1" si="198"/>
        <v>#REF!</v>
      </c>
      <c r="D1166" s="118" t="e">
        <f t="shared" ca="1" si="199"/>
        <v>#REF!</v>
      </c>
      <c r="E1166" s="118" t="e">
        <f t="shared" ca="1" si="200"/>
        <v>#REF!</v>
      </c>
      <c r="F1166" s="118" t="e">
        <f t="shared" ca="1" si="201"/>
        <v>#REF!</v>
      </c>
      <c r="G1166" s="118" t="e">
        <f t="shared" ca="1" si="202"/>
        <v>#REF!</v>
      </c>
      <c r="H1166" s="118" t="e">
        <f t="shared" ca="1" si="203"/>
        <v>#REF!</v>
      </c>
      <c r="I1166" s="118" t="e">
        <f t="shared" ca="1" si="204"/>
        <v>#REF!</v>
      </c>
      <c r="J1166" s="118" t="e">
        <f t="shared" ca="1" si="205"/>
        <v>#REF!</v>
      </c>
      <c r="K1166" s="118" t="e">
        <f t="shared" ca="1" si="206"/>
        <v>#REF!</v>
      </c>
      <c r="L1166" s="118" t="e">
        <f t="shared" ca="1" si="207"/>
        <v>#REF!</v>
      </c>
      <c r="M1166" s="118" t="e">
        <f t="shared" ca="1" si="208"/>
        <v>#REF!</v>
      </c>
    </row>
    <row r="1167" spans="3:13" x14ac:dyDescent="0.25">
      <c r="C1167" s="118" t="e">
        <f t="shared" ca="1" si="198"/>
        <v>#REF!</v>
      </c>
      <c r="D1167" s="118" t="e">
        <f t="shared" ca="1" si="199"/>
        <v>#REF!</v>
      </c>
      <c r="E1167" s="118" t="e">
        <f t="shared" ca="1" si="200"/>
        <v>#REF!</v>
      </c>
      <c r="F1167" s="118" t="e">
        <f t="shared" ca="1" si="201"/>
        <v>#REF!</v>
      </c>
      <c r="G1167" s="118" t="e">
        <f t="shared" ca="1" si="202"/>
        <v>#REF!</v>
      </c>
      <c r="H1167" s="118" t="e">
        <f t="shared" ca="1" si="203"/>
        <v>#REF!</v>
      </c>
      <c r="I1167" s="118" t="e">
        <f t="shared" ca="1" si="204"/>
        <v>#REF!</v>
      </c>
      <c r="J1167" s="118" t="e">
        <f t="shared" ca="1" si="205"/>
        <v>#REF!</v>
      </c>
      <c r="K1167" s="118" t="e">
        <f t="shared" ca="1" si="206"/>
        <v>#REF!</v>
      </c>
      <c r="L1167" s="118" t="e">
        <f t="shared" ca="1" si="207"/>
        <v>#REF!</v>
      </c>
      <c r="M1167" s="118" t="e">
        <f t="shared" ca="1" si="208"/>
        <v>#REF!</v>
      </c>
    </row>
  </sheetData>
  <mergeCells count="1">
    <mergeCell ref="A1:M1"/>
  </mergeCells>
  <phoneticPr fontId="26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3F8C8-4952-4DC5-ADB8-D9588F18C32D}">
  <sheetPr codeName="Sheet122">
    <tabColor rgb="FFFFC000"/>
  </sheetPr>
  <dimension ref="AA65"/>
  <sheetViews>
    <sheetView workbookViewId="0"/>
  </sheetViews>
  <sheetFormatPr defaultColWidth="8.7109375" defaultRowHeight="15" x14ac:dyDescent="0.25"/>
  <cols>
    <col min="1" max="1" width="16.28515625" customWidth="1"/>
  </cols>
  <sheetData>
    <row r="65" spans="27:27" x14ac:dyDescent="0.25">
      <c r="AA65" t="s">
        <v>289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8FE7-AAC1-41F5-A7DD-EAF32006DD11}">
  <sheetPr codeName="Sheet121"/>
  <dimension ref="A1"/>
  <sheetViews>
    <sheetView workbookViewId="0"/>
  </sheetViews>
  <sheetFormatPr defaultColWidth="8.7109375" defaultRowHeight="1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8C92-D46B-4B75-AE25-63E1FD8C17D7}">
  <sheetPr codeName="Sheet153">
    <pageSetUpPr fitToPage="1"/>
  </sheetPr>
  <dimension ref="A1:BM108"/>
  <sheetViews>
    <sheetView zoomScale="52" zoomScaleNormal="100" workbookViewId="0">
      <selection activeCell="B19" sqref="B19"/>
    </sheetView>
  </sheetViews>
  <sheetFormatPr defaultColWidth="8.7109375" defaultRowHeight="15.75" outlineLevelRow="2" x14ac:dyDescent="0.25"/>
  <cols>
    <col min="1" max="1" width="39.42578125" style="182" customWidth="1"/>
    <col min="2" max="2" width="26.28515625" style="182" customWidth="1"/>
    <col min="3" max="3" width="32.28515625" style="182" customWidth="1"/>
    <col min="4" max="4" width="22.28515625" style="182" bestFit="1" customWidth="1"/>
    <col min="5" max="5" width="23.28515625" style="182" bestFit="1" customWidth="1"/>
    <col min="6" max="6" width="25.85546875" style="182" bestFit="1" customWidth="1"/>
    <col min="7" max="8" width="16.85546875" style="182" bestFit="1" customWidth="1"/>
    <col min="9" max="9" width="18.42578125" style="182" customWidth="1"/>
    <col min="10" max="10" width="15.85546875" style="182" bestFit="1" customWidth="1"/>
    <col min="11" max="11" width="16.5703125" style="182" bestFit="1" customWidth="1"/>
    <col min="12" max="12" width="16.85546875" style="182" bestFit="1" customWidth="1"/>
    <col min="13" max="13" width="17.28515625" style="182" bestFit="1" customWidth="1"/>
    <col min="14" max="14" width="10.7109375" style="182" bestFit="1" customWidth="1"/>
    <col min="15" max="15" width="11.140625" style="182" bestFit="1" customWidth="1"/>
    <col min="16" max="16" width="18.85546875" style="182" bestFit="1" customWidth="1"/>
    <col min="17" max="17" width="11.140625" style="182" bestFit="1" customWidth="1"/>
    <col min="18" max="18" width="11.85546875" style="182" bestFit="1" customWidth="1"/>
    <col min="19" max="21" width="11.7109375" style="182" customWidth="1"/>
    <col min="22" max="22" width="27.28515625" style="182" bestFit="1" customWidth="1"/>
    <col min="23" max="25" width="11.7109375" style="182" customWidth="1"/>
    <col min="26" max="26" width="21.28515625" style="182" customWidth="1"/>
    <col min="27" max="33" width="11.7109375" style="182" customWidth="1"/>
    <col min="34" max="34" width="17.7109375" style="182" bestFit="1" customWidth="1"/>
    <col min="35" max="35" width="11.7109375" style="182" customWidth="1"/>
    <col min="36" max="36" width="13.28515625" style="182" bestFit="1" customWidth="1"/>
    <col min="37" max="37" width="14.7109375" style="182" bestFit="1" customWidth="1"/>
    <col min="38" max="38" width="11.7109375" style="182" customWidth="1"/>
    <col min="39" max="39" width="9.42578125" style="182" customWidth="1"/>
    <col min="40" max="40" width="8.28515625" style="182" bestFit="1" customWidth="1"/>
    <col min="41" max="41" width="7.42578125" style="182" bestFit="1" customWidth="1"/>
    <col min="42" max="43" width="9.28515625" style="182" bestFit="1" customWidth="1"/>
    <col min="44" max="44" width="8.42578125" style="182" bestFit="1" customWidth="1"/>
    <col min="45" max="64" width="9.28515625" style="182" bestFit="1" customWidth="1"/>
    <col min="65" max="65" width="8.7109375" style="182" customWidth="1"/>
    <col min="66" max="16384" width="8.7109375" style="182"/>
  </cols>
  <sheetData>
    <row r="1" spans="1:58" x14ac:dyDescent="0.25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25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25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25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25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322" t="s">
        <v>300</v>
      </c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324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ht="15.6" customHeight="1" x14ac:dyDescent="0.25">
      <c r="A6" s="328" t="s">
        <v>6</v>
      </c>
      <c r="B6" s="329"/>
      <c r="C6" s="329"/>
      <c r="D6" s="330"/>
      <c r="E6" s="163"/>
      <c r="F6" s="331" t="s">
        <v>7</v>
      </c>
      <c r="G6" s="332"/>
      <c r="H6" s="332"/>
      <c r="I6" s="332"/>
      <c r="J6" s="332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325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6"/>
      <c r="AL6" s="327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ht="15.6" customHeight="1" x14ac:dyDescent="0.25">
      <c r="A7" s="2" t="s">
        <v>8</v>
      </c>
      <c r="B7" s="161">
        <v>0.3611111111111111</v>
      </c>
      <c r="C7" s="166"/>
      <c r="D7" s="167"/>
      <c r="E7" s="163"/>
      <c r="F7" s="62"/>
      <c r="G7" s="63"/>
      <c r="H7" s="63"/>
      <c r="I7" s="68" t="s">
        <v>9</v>
      </c>
      <c r="J7" s="69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25"/>
      <c r="V7" s="326"/>
      <c r="W7" s="326"/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6"/>
      <c r="AI7" s="326"/>
      <c r="AJ7" s="326"/>
      <c r="AK7" s="326"/>
      <c r="AL7" s="327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x14ac:dyDescent="0.25">
      <c r="A8" s="168" t="s">
        <v>10</v>
      </c>
      <c r="B8" s="26" t="s">
        <v>301</v>
      </c>
      <c r="C8" s="166" t="s">
        <v>11</v>
      </c>
      <c r="D8" s="167">
        <f>D10*B11*8.34*10000</f>
        <v>3795.3938880000001</v>
      </c>
      <c r="E8" s="163"/>
      <c r="F8" s="64" t="s">
        <v>8</v>
      </c>
      <c r="G8" s="281">
        <f>B7</f>
        <v>0.3611111111111111</v>
      </c>
      <c r="H8" s="64"/>
      <c r="I8" s="64"/>
      <c r="J8" s="64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x14ac:dyDescent="0.25">
      <c r="A9" s="2" t="s">
        <v>12</v>
      </c>
      <c r="B9" s="26">
        <v>0.187</v>
      </c>
      <c r="C9" s="170" t="s">
        <v>13</v>
      </c>
      <c r="D9" s="171">
        <f>B9*B10</f>
        <v>126.41200000000001</v>
      </c>
      <c r="E9" s="163"/>
      <c r="F9" s="64"/>
      <c r="G9" s="159" t="s">
        <v>14</v>
      </c>
      <c r="H9" s="159" t="s">
        <v>15</v>
      </c>
      <c r="I9" s="159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ht="19.5" customHeight="1" x14ac:dyDescent="0.25">
      <c r="A10" s="2" t="s">
        <v>18</v>
      </c>
      <c r="B10" s="27">
        <v>676</v>
      </c>
      <c r="C10" s="170" t="s">
        <v>19</v>
      </c>
      <c r="D10" s="171">
        <f>D9*1440/1000000</f>
        <v>0.18203327999999999</v>
      </c>
      <c r="E10" s="163"/>
      <c r="F10" s="64" t="s">
        <v>20</v>
      </c>
      <c r="G10" s="65" t="s">
        <v>21</v>
      </c>
      <c r="H10" s="71">
        <f>B13</f>
        <v>3.84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9"/>
      <c r="V10" s="333" t="s">
        <v>22</v>
      </c>
      <c r="W10" s="334"/>
      <c r="X10" s="335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338" t="s">
        <v>23</v>
      </c>
      <c r="AJ10" s="339"/>
      <c r="AK10" s="340"/>
      <c r="AL10" s="169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ht="15.6" customHeight="1" x14ac:dyDescent="0.25">
      <c r="A11" s="2" t="s">
        <v>24</v>
      </c>
      <c r="B11" s="43">
        <v>0.25</v>
      </c>
      <c r="C11" s="170" t="s">
        <v>25</v>
      </c>
      <c r="D11" s="171">
        <f>B10*1440/1000000</f>
        <v>0.97343999999999997</v>
      </c>
      <c r="E11" s="163"/>
      <c r="F11" s="64" t="s">
        <v>26</v>
      </c>
      <c r="G11" s="65" t="s">
        <v>27</v>
      </c>
      <c r="H11" s="73">
        <f>B9</f>
        <v>0.187</v>
      </c>
      <c r="I11" s="73">
        <f>B9</f>
        <v>0.187</v>
      </c>
      <c r="J11" s="73">
        <f>B9</f>
        <v>0.187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9"/>
      <c r="V11" s="336"/>
      <c r="W11" s="300"/>
      <c r="X11" s="337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341"/>
      <c r="AJ11" s="342"/>
      <c r="AK11" s="343"/>
      <c r="AL11" s="169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ht="18.75" x14ac:dyDescent="0.3">
      <c r="A12" s="2" t="s">
        <v>28</v>
      </c>
      <c r="B12" s="44">
        <v>6.1</v>
      </c>
      <c r="C12" s="170" t="s">
        <v>29</v>
      </c>
      <c r="D12" s="171">
        <f>(B12/(1+(B15/B14)))</f>
        <v>3.8102373887240355</v>
      </c>
      <c r="E12" s="163"/>
      <c r="F12" s="64" t="s">
        <v>30</v>
      </c>
      <c r="G12" s="65" t="s">
        <v>31</v>
      </c>
      <c r="H12" s="172">
        <f>D15</f>
        <v>24.348958333333332</v>
      </c>
      <c r="I12" s="70">
        <f>Y97</f>
        <v>22.308272429910605</v>
      </c>
      <c r="J12" s="70">
        <f>AN97</f>
        <v>20.461092512461455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9"/>
      <c r="V12" s="158"/>
      <c r="W12" s="157"/>
      <c r="X12" s="156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55"/>
      <c r="AJ12" s="154" t="s">
        <v>20</v>
      </c>
      <c r="AK12" s="153" t="s">
        <v>32</v>
      </c>
      <c r="AL12" s="169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ht="18" customHeight="1" x14ac:dyDescent="0.3">
      <c r="A13" s="2" t="s">
        <v>33</v>
      </c>
      <c r="B13" s="280">
        <v>3.84</v>
      </c>
      <c r="C13" s="170" t="s">
        <v>34</v>
      </c>
      <c r="D13" s="171">
        <f>D11*D12*8.34*(10000/2000)</f>
        <v>154.66686306943618</v>
      </c>
      <c r="E13" s="163"/>
      <c r="F13" s="64" t="s">
        <v>35</v>
      </c>
      <c r="G13" s="65" t="s">
        <v>21</v>
      </c>
      <c r="H13" s="71">
        <f>AT97</f>
        <v>30.552190583380355</v>
      </c>
      <c r="I13" s="70">
        <f>Z97</f>
        <v>29.738162187277691</v>
      </c>
      <c r="J13" s="70">
        <f>AO97</f>
        <v>28.385703727185955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9"/>
      <c r="V13" s="320" t="s">
        <v>36</v>
      </c>
      <c r="W13" s="321"/>
      <c r="X13" s="152">
        <f>B7</f>
        <v>0.3611111111111111</v>
      </c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51" t="s">
        <v>37</v>
      </c>
      <c r="AJ13" s="150" t="s">
        <v>38</v>
      </c>
      <c r="AK13" s="149" t="s">
        <v>39</v>
      </c>
      <c r="AL13" s="169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55.9" customHeight="1" x14ac:dyDescent="0.3">
      <c r="A14" s="2" t="s">
        <v>40</v>
      </c>
      <c r="B14" s="28">
        <v>421</v>
      </c>
      <c r="C14" s="170" t="s">
        <v>41</v>
      </c>
      <c r="D14" s="171">
        <f>D8/D13</f>
        <v>24.539153459756246</v>
      </c>
      <c r="E14" s="163"/>
      <c r="F14" s="64" t="s">
        <v>42</v>
      </c>
      <c r="G14" s="65" t="s">
        <v>39</v>
      </c>
      <c r="H14" s="71">
        <f>AU97</f>
        <v>1010.0000000000109</v>
      </c>
      <c r="I14" s="70">
        <f>AA97</f>
        <v>860.00000000001626</v>
      </c>
      <c r="J14" s="70">
        <f>AP97</f>
        <v>945.00000000000693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27"/>
      <c r="V14" s="298" t="s">
        <v>43</v>
      </c>
      <c r="W14" s="299"/>
      <c r="X14" s="148" t="s">
        <v>291</v>
      </c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47"/>
      <c r="AJ14" s="146" t="s">
        <v>44</v>
      </c>
      <c r="AK14" s="145" t="s">
        <v>45</v>
      </c>
      <c r="AL14" s="169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60" customHeight="1" x14ac:dyDescent="0.4">
      <c r="A15" s="3" t="s">
        <v>46</v>
      </c>
      <c r="B15" s="29">
        <v>253</v>
      </c>
      <c r="C15" s="173" t="s">
        <v>47</v>
      </c>
      <c r="D15" s="112">
        <f>((B9*B11)/B13)*2000</f>
        <v>24.348958333333332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9"/>
      <c r="V15" s="169"/>
      <c r="W15" s="169"/>
      <c r="X15" s="127"/>
      <c r="Y15" s="127"/>
      <c r="Z15" s="127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ht="18" customHeight="1" x14ac:dyDescent="0.3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9"/>
      <c r="V16" s="169"/>
      <c r="W16" s="169"/>
      <c r="X16" s="127"/>
      <c r="Y16" s="127"/>
      <c r="Z16" s="169"/>
      <c r="AA16" s="169"/>
      <c r="AB16" s="169"/>
      <c r="AC16" s="169"/>
      <c r="AD16" s="169"/>
      <c r="AE16" s="169"/>
      <c r="AF16" s="300" t="s">
        <v>7</v>
      </c>
      <c r="AG16" s="300"/>
      <c r="AH16" s="300"/>
      <c r="AI16" s="300"/>
      <c r="AJ16" s="300"/>
      <c r="AK16" s="300"/>
      <c r="AL16" s="169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350000000000001" customHeight="1" outlineLevel="2" x14ac:dyDescent="0.3">
      <c r="A17" s="302" t="s">
        <v>48</v>
      </c>
      <c r="B17" s="303"/>
      <c r="C17" s="304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9"/>
      <c r="V17" s="169"/>
      <c r="W17" s="169"/>
      <c r="X17" s="127"/>
      <c r="Y17" s="127"/>
      <c r="Z17" s="169"/>
      <c r="AA17" s="169"/>
      <c r="AB17" s="169"/>
      <c r="AC17" s="169"/>
      <c r="AD17" s="169"/>
      <c r="AE17" s="169"/>
      <c r="AF17" s="301"/>
      <c r="AG17" s="301"/>
      <c r="AH17" s="301"/>
      <c r="AI17" s="301"/>
      <c r="AJ17" s="301"/>
      <c r="AK17" s="301"/>
      <c r="AL17" s="169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ht="18.75" outlineLevel="2" x14ac:dyDescent="0.3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9"/>
      <c r="V18" s="169"/>
      <c r="W18" s="169"/>
      <c r="X18" s="127"/>
      <c r="Y18" s="127"/>
      <c r="Z18" s="169"/>
      <c r="AA18" s="169"/>
      <c r="AB18" s="169"/>
      <c r="AC18" s="169"/>
      <c r="AD18" s="169"/>
      <c r="AE18" s="169"/>
      <c r="AF18" s="305" t="s">
        <v>49</v>
      </c>
      <c r="AG18" s="306"/>
      <c r="AH18" s="144"/>
      <c r="AI18" s="143"/>
      <c r="AJ18" s="142" t="s">
        <v>9</v>
      </c>
      <c r="AK18" s="141"/>
      <c r="AL18" s="169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ht="18.75" outlineLevel="2" x14ac:dyDescent="0.3">
      <c r="A19" s="177" t="s">
        <v>50</v>
      </c>
      <c r="B19" s="178"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27"/>
      <c r="V19" s="127"/>
      <c r="W19" s="127"/>
      <c r="X19" s="127"/>
      <c r="Y19" s="127"/>
      <c r="Z19" s="169"/>
      <c r="AA19" s="169"/>
      <c r="AB19" s="169"/>
      <c r="AC19" s="169"/>
      <c r="AD19" s="169"/>
      <c r="AE19" s="169"/>
      <c r="AF19" s="307"/>
      <c r="AG19" s="308"/>
      <c r="AH19" s="140" t="s">
        <v>14</v>
      </c>
      <c r="AI19" s="139" t="s">
        <v>15</v>
      </c>
      <c r="AJ19" s="139" t="s">
        <v>16</v>
      </c>
      <c r="AK19" s="138" t="s">
        <v>17</v>
      </c>
      <c r="AL19" s="169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ht="18.75" outlineLevel="2" x14ac:dyDescent="0.3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27"/>
      <c r="V20" s="127"/>
      <c r="W20" s="127"/>
      <c r="X20" s="127"/>
      <c r="Y20" s="127"/>
      <c r="Z20" s="169"/>
      <c r="AA20" s="169"/>
      <c r="AB20" s="169"/>
      <c r="AC20" s="169"/>
      <c r="AD20" s="169"/>
      <c r="AE20" s="169"/>
      <c r="AF20" s="309"/>
      <c r="AG20" s="310"/>
      <c r="AH20" s="140"/>
      <c r="AI20" s="139"/>
      <c r="AJ20" s="139"/>
      <c r="AK20" s="138"/>
      <c r="AL20" s="169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ht="18.75" outlineLevel="2" x14ac:dyDescent="0.3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27"/>
      <c r="V21" s="127"/>
      <c r="W21" s="127"/>
      <c r="X21" s="127"/>
      <c r="Y21" s="127"/>
      <c r="Z21" s="169"/>
      <c r="AA21" s="169"/>
      <c r="AB21" s="169"/>
      <c r="AC21" s="169"/>
      <c r="AD21" s="169"/>
      <c r="AE21" s="169"/>
      <c r="AF21" s="311" t="s">
        <v>20</v>
      </c>
      <c r="AG21" s="312"/>
      <c r="AH21" s="131" t="s">
        <v>21</v>
      </c>
      <c r="AI21" s="137">
        <f>H10</f>
        <v>3.84</v>
      </c>
      <c r="AJ21" s="130"/>
      <c r="AK21" s="136"/>
      <c r="AL21" s="169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.75" outlineLevel="2" x14ac:dyDescent="0.3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27"/>
      <c r="V22" s="127"/>
      <c r="W22" s="127"/>
      <c r="X22" s="127"/>
      <c r="Y22" s="127"/>
      <c r="Z22" s="169"/>
      <c r="AA22" s="169"/>
      <c r="AB22" s="169"/>
      <c r="AC22" s="169"/>
      <c r="AD22" s="169"/>
      <c r="AE22" s="169"/>
      <c r="AF22" s="313" t="s">
        <v>26</v>
      </c>
      <c r="AG22" s="314"/>
      <c r="AH22" s="131" t="s">
        <v>57</v>
      </c>
      <c r="AI22" s="135">
        <f>H11</f>
        <v>0.187</v>
      </c>
      <c r="AJ22" s="135">
        <f t="shared" ref="AJ22:AK25" si="0">I11</f>
        <v>0.187</v>
      </c>
      <c r="AK22" s="134">
        <f>J11</f>
        <v>0.187</v>
      </c>
      <c r="AL22" s="169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.75" outlineLevel="2" x14ac:dyDescent="0.3">
      <c r="A23" s="315" t="s">
        <v>58</v>
      </c>
      <c r="B23" s="316"/>
      <c r="C23" s="317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27"/>
      <c r="V23" s="127"/>
      <c r="W23" s="127"/>
      <c r="X23" s="127"/>
      <c r="Y23" s="127"/>
      <c r="Z23" s="169"/>
      <c r="AA23" s="169"/>
      <c r="AB23" s="169"/>
      <c r="AC23" s="169"/>
      <c r="AD23" s="169"/>
      <c r="AE23" s="169"/>
      <c r="AF23" s="313" t="s">
        <v>30</v>
      </c>
      <c r="AG23" s="314"/>
      <c r="AH23" s="131" t="s">
        <v>31</v>
      </c>
      <c r="AI23" s="133">
        <f>H12</f>
        <v>24.348958333333332</v>
      </c>
      <c r="AJ23" s="133">
        <f t="shared" si="0"/>
        <v>22.308272429910605</v>
      </c>
      <c r="AK23" s="132">
        <f>J12</f>
        <v>20.461092512461455</v>
      </c>
      <c r="AL23" s="169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ht="18.75" outlineLevel="2" x14ac:dyDescent="0.3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27"/>
      <c r="V24" s="127"/>
      <c r="W24" s="127"/>
      <c r="X24" s="127"/>
      <c r="Y24" s="127"/>
      <c r="Z24" s="169"/>
      <c r="AA24" s="169"/>
      <c r="AB24" s="169"/>
      <c r="AC24" s="169"/>
      <c r="AD24" s="169"/>
      <c r="AE24" s="169"/>
      <c r="AF24" s="313" t="s">
        <v>35</v>
      </c>
      <c r="AG24" s="314"/>
      <c r="AH24" s="131" t="s">
        <v>21</v>
      </c>
      <c r="AI24" s="130">
        <f>H13</f>
        <v>30.552190583380355</v>
      </c>
      <c r="AJ24" s="129">
        <f t="shared" si="0"/>
        <v>29.738162187277691</v>
      </c>
      <c r="AK24" s="128">
        <f t="shared" si="0"/>
        <v>28.385703727185955</v>
      </c>
      <c r="AL24" s="169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3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27"/>
      <c r="V25" s="127"/>
      <c r="W25" s="127"/>
      <c r="X25" s="127"/>
      <c r="Y25" s="127"/>
      <c r="Z25" s="169"/>
      <c r="AA25" s="169"/>
      <c r="AB25" s="169"/>
      <c r="AC25" s="169"/>
      <c r="AD25" s="169"/>
      <c r="AE25" s="169"/>
      <c r="AF25" s="318" t="s">
        <v>42</v>
      </c>
      <c r="AG25" s="319"/>
      <c r="AH25" s="126" t="s">
        <v>39</v>
      </c>
      <c r="AI25" s="125">
        <f>H14</f>
        <v>1010.0000000000109</v>
      </c>
      <c r="AJ25" s="125">
        <f t="shared" si="0"/>
        <v>860.00000000001626</v>
      </c>
      <c r="AK25" s="124">
        <f t="shared" si="0"/>
        <v>945.00000000000693</v>
      </c>
      <c r="AL25" s="169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25">
      <c r="A26" s="315" t="s">
        <v>63</v>
      </c>
      <c r="B26" s="316"/>
      <c r="C26" s="317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25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</row>
    <row r="28" spans="1:58" outlineLevel="2" x14ac:dyDescent="0.25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0" t="s">
        <v>292</v>
      </c>
      <c r="AG28" s="169"/>
      <c r="AH28" s="169"/>
      <c r="AI28" s="169"/>
      <c r="AJ28" s="169"/>
      <c r="AK28" s="169"/>
      <c r="AL28" s="169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</row>
    <row r="29" spans="1:58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 t="s">
        <v>302</v>
      </c>
      <c r="AG29" s="169"/>
      <c r="AH29" s="169"/>
      <c r="AI29" s="169"/>
      <c r="AJ29" s="169"/>
      <c r="AK29" s="169"/>
      <c r="AL29" s="169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</row>
    <row r="30" spans="1:58" x14ac:dyDescent="0.25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</row>
    <row r="31" spans="1:58" ht="18.75" x14ac:dyDescent="0.3">
      <c r="A31" s="296" t="s">
        <v>68</v>
      </c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3"/>
      <c r="T31" s="23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273" t="s">
        <v>303</v>
      </c>
      <c r="AG31" s="169"/>
      <c r="AH31" s="169"/>
      <c r="AI31" s="169"/>
      <c r="AJ31" s="169"/>
      <c r="AK31" s="169"/>
      <c r="AL31" s="169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</row>
    <row r="32" spans="1:58" ht="63" x14ac:dyDescent="0.25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117" t="s">
        <v>80</v>
      </c>
      <c r="M32" s="117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273"/>
      <c r="AG32" s="169"/>
      <c r="AH32" s="169"/>
      <c r="AI32" s="169"/>
      <c r="AJ32" s="169"/>
      <c r="AK32" s="169"/>
      <c r="AL32" s="169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</row>
    <row r="33" spans="1:57" x14ac:dyDescent="0.25">
      <c r="A33" s="264">
        <v>1</v>
      </c>
      <c r="B33" s="207">
        <v>19</v>
      </c>
      <c r="C33" s="271">
        <f>B13</f>
        <v>3.84</v>
      </c>
      <c r="D33" s="33">
        <v>500.01</v>
      </c>
      <c r="E33" s="187">
        <f>(B33*D33*$B$20*C33)/($B$19*$B$27)</f>
        <v>72.96143828918251</v>
      </c>
      <c r="F33" s="97">
        <v>71.66</v>
      </c>
      <c r="G33" s="97">
        <v>0.88</v>
      </c>
      <c r="H33" s="61">
        <f>F33-G33</f>
        <v>70.78</v>
      </c>
      <c r="I33" s="8">
        <f xml:space="preserve"> (H33*$B$27*$B$19)/ (D33*$B$20*C33)</f>
        <v>18.431928310812751</v>
      </c>
      <c r="J33" s="32">
        <v>204.49</v>
      </c>
      <c r="K33" s="116">
        <v>361.84</v>
      </c>
      <c r="L33" s="32">
        <v>383.46</v>
      </c>
      <c r="M33" s="32">
        <v>721.82</v>
      </c>
      <c r="N33" s="188">
        <v>100</v>
      </c>
      <c r="O33" s="7">
        <f>L33-J33</f>
        <v>178.96999999999997</v>
      </c>
      <c r="P33" s="187">
        <f>M33-K33</f>
        <v>359.98000000000008</v>
      </c>
      <c r="Q33" s="187">
        <f>((O33+P33)/O33)*(D33/(D33+H33))*C33</f>
        <v>10.129821597901962</v>
      </c>
      <c r="R33" s="189">
        <f>$B$24/Q33*100</f>
        <v>62.436664781983062</v>
      </c>
      <c r="S33" s="190"/>
      <c r="T33" s="190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25">
      <c r="A34" s="264">
        <v>2</v>
      </c>
      <c r="B34" s="207">
        <v>21</v>
      </c>
      <c r="C34" s="271">
        <f>C33</f>
        <v>3.84</v>
      </c>
      <c r="D34" s="33">
        <v>500.76</v>
      </c>
      <c r="E34" s="187">
        <f t="shared" ref="E34:E39" si="1">(B34*D34*$B$20*C34)/($B$19*$B$27)</f>
        <v>80.762549653376581</v>
      </c>
      <c r="F34" s="33">
        <v>79.56</v>
      </c>
      <c r="G34" s="33">
        <v>0.87</v>
      </c>
      <c r="H34" s="61">
        <f t="shared" ref="H34:H39" si="2">F34-G34</f>
        <v>78.69</v>
      </c>
      <c r="I34" s="8">
        <f t="shared" ref="I34:I39" si="3" xml:space="preserve"> (H34*$B$27*$B$19)/ (D34*$B$20*C34)</f>
        <v>20.461092512461455</v>
      </c>
      <c r="J34" s="32">
        <v>205.81</v>
      </c>
      <c r="K34" s="115">
        <v>976.18</v>
      </c>
      <c r="L34" s="32">
        <v>382.77</v>
      </c>
      <c r="M34" s="32">
        <v>1349.49</v>
      </c>
      <c r="N34" s="188">
        <v>100</v>
      </c>
      <c r="O34" s="7">
        <f t="shared" ref="O34:P39" si="4">L34-J34</f>
        <v>176.95999999999998</v>
      </c>
      <c r="P34" s="187">
        <f t="shared" si="4"/>
        <v>373.31000000000006</v>
      </c>
      <c r="Q34" s="187">
        <f t="shared" ref="Q34:Q39" si="5">((O34+P34)/O34)*(D34/(D34+H34))*C34</f>
        <v>10.319190135560673</v>
      </c>
      <c r="R34" s="189">
        <f t="shared" ref="R34:R39" si="6">$B$24/Q34*100</f>
        <v>61.290883015126532</v>
      </c>
      <c r="S34" s="190"/>
      <c r="T34" s="190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25">
      <c r="A35" s="264">
        <v>3</v>
      </c>
      <c r="B35" s="207">
        <v>23</v>
      </c>
      <c r="C35" s="271">
        <f t="shared" ref="C35:C39" si="7">C34</f>
        <v>3.84</v>
      </c>
      <c r="D35" s="33">
        <v>500.27</v>
      </c>
      <c r="E35" s="187">
        <f t="shared" si="1"/>
        <v>88.367667473742586</v>
      </c>
      <c r="F35" s="34">
        <v>86.82</v>
      </c>
      <c r="G35" s="34">
        <v>1.1100000000000001</v>
      </c>
      <c r="H35" s="61">
        <f t="shared" si="2"/>
        <v>85.71</v>
      </c>
      <c r="I35" s="8">
        <f t="shared" si="3"/>
        <v>22.308272429910605</v>
      </c>
      <c r="J35" s="32">
        <v>446.63</v>
      </c>
      <c r="K35" s="116">
        <v>396.95</v>
      </c>
      <c r="L35" s="32">
        <v>632.24</v>
      </c>
      <c r="M35" s="32">
        <v>774.1</v>
      </c>
      <c r="N35" s="188">
        <v>100</v>
      </c>
      <c r="O35" s="7">
        <f t="shared" si="4"/>
        <v>185.61</v>
      </c>
      <c r="P35" s="187">
        <f t="shared" si="4"/>
        <v>377.15000000000003</v>
      </c>
      <c r="Q35" s="187">
        <f t="shared" si="5"/>
        <v>9.9397335181566788</v>
      </c>
      <c r="R35" s="189">
        <f t="shared" si="6"/>
        <v>63.630707428340457</v>
      </c>
      <c r="S35" s="190"/>
      <c r="T35" s="190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25">
      <c r="A36" s="264">
        <v>4</v>
      </c>
      <c r="B36" s="274">
        <v>25</v>
      </c>
      <c r="C36" s="271">
        <f t="shared" si="7"/>
        <v>3.84</v>
      </c>
      <c r="D36" s="33">
        <v>500.26</v>
      </c>
      <c r="E36" s="187">
        <f t="shared" si="1"/>
        <v>96.049892472009603</v>
      </c>
      <c r="F36" s="34">
        <v>94.49</v>
      </c>
      <c r="G36" s="34">
        <v>1.1000000000000001</v>
      </c>
      <c r="H36" s="61">
        <f t="shared" si="2"/>
        <v>93.39</v>
      </c>
      <c r="I36" s="8">
        <f t="shared" si="3"/>
        <v>24.307679476896674</v>
      </c>
      <c r="J36" s="32">
        <v>447.45</v>
      </c>
      <c r="K36" s="116">
        <v>690.54</v>
      </c>
      <c r="L36" s="32">
        <v>605.38</v>
      </c>
      <c r="M36" s="32">
        <v>1101.24</v>
      </c>
      <c r="N36" s="188">
        <v>100</v>
      </c>
      <c r="O36" s="7">
        <f t="shared" si="4"/>
        <v>157.93</v>
      </c>
      <c r="P36" s="187">
        <f t="shared" si="4"/>
        <v>410.70000000000005</v>
      </c>
      <c r="Q36" s="187">
        <f t="shared" si="5"/>
        <v>11.65095873957082</v>
      </c>
      <c r="R36" s="189">
        <f t="shared" si="6"/>
        <v>54.284998303306573</v>
      </c>
      <c r="S36" s="190"/>
      <c r="T36" s="190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25">
      <c r="A37" s="264">
        <v>5</v>
      </c>
      <c r="B37" s="114">
        <v>27</v>
      </c>
      <c r="C37" s="271">
        <f t="shared" si="7"/>
        <v>3.84</v>
      </c>
      <c r="D37" s="33">
        <v>500.03</v>
      </c>
      <c r="E37" s="187">
        <f t="shared" si="1"/>
        <v>103.68619108343918</v>
      </c>
      <c r="F37" s="34">
        <v>101.82</v>
      </c>
      <c r="G37" s="34">
        <v>1.36</v>
      </c>
      <c r="H37" s="61">
        <f t="shared" si="2"/>
        <v>100.46</v>
      </c>
      <c r="I37" s="8">
        <f t="shared" si="3"/>
        <v>26.159896237457886</v>
      </c>
      <c r="J37" s="32">
        <v>454.95</v>
      </c>
      <c r="K37" s="116">
        <v>400.12</v>
      </c>
      <c r="L37" s="32">
        <v>622.02</v>
      </c>
      <c r="M37" s="32">
        <v>807.96</v>
      </c>
      <c r="N37" s="188">
        <v>100</v>
      </c>
      <c r="O37" s="7">
        <f t="shared" si="4"/>
        <v>167.07</v>
      </c>
      <c r="P37" s="187">
        <f t="shared" si="4"/>
        <v>407.84000000000003</v>
      </c>
      <c r="Q37" s="187">
        <f t="shared" si="5"/>
        <v>11.00329854052482</v>
      </c>
      <c r="R37" s="189">
        <f t="shared" si="6"/>
        <v>57.48024313619414</v>
      </c>
      <c r="S37" s="190"/>
      <c r="T37" s="190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25">
      <c r="A38" s="264">
        <v>6</v>
      </c>
      <c r="B38" s="207"/>
      <c r="C38" s="271">
        <f t="shared" si="7"/>
        <v>3.84</v>
      </c>
      <c r="D38" s="33"/>
      <c r="E38" s="187">
        <f t="shared" si="1"/>
        <v>0</v>
      </c>
      <c r="F38" s="97"/>
      <c r="G38" s="97"/>
      <c r="H38" s="61">
        <f t="shared" si="2"/>
        <v>0</v>
      </c>
      <c r="I38" s="8" t="e">
        <f t="shared" si="3"/>
        <v>#DIV/0!</v>
      </c>
      <c r="J38" s="32"/>
      <c r="K38" s="116"/>
      <c r="L38" s="32"/>
      <c r="M38" s="32"/>
      <c r="N38" s="188">
        <v>100</v>
      </c>
      <c r="O38" s="7">
        <f t="shared" si="4"/>
        <v>0</v>
      </c>
      <c r="P38" s="187">
        <f t="shared" si="4"/>
        <v>0</v>
      </c>
      <c r="Q38" s="187" t="e">
        <f t="shared" si="5"/>
        <v>#DIV/0!</v>
      </c>
      <c r="R38" s="189" t="e">
        <f t="shared" si="6"/>
        <v>#DIV/0!</v>
      </c>
      <c r="S38" s="190"/>
      <c r="T38" s="190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x14ac:dyDescent="0.25">
      <c r="A39" s="264">
        <v>7</v>
      </c>
      <c r="B39" s="207"/>
      <c r="C39" s="271">
        <f t="shared" si="7"/>
        <v>3.84</v>
      </c>
      <c r="D39" s="33"/>
      <c r="E39" s="187">
        <f t="shared" si="1"/>
        <v>0</v>
      </c>
      <c r="F39" s="97"/>
      <c r="G39" s="97"/>
      <c r="H39" s="61">
        <f t="shared" si="2"/>
        <v>0</v>
      </c>
      <c r="I39" s="8" t="e">
        <f t="shared" si="3"/>
        <v>#DIV/0!</v>
      </c>
      <c r="J39" s="32"/>
      <c r="K39" s="116"/>
      <c r="L39" s="32"/>
      <c r="M39" s="32"/>
      <c r="N39" s="188">
        <v>100</v>
      </c>
      <c r="O39" s="7">
        <f t="shared" si="4"/>
        <v>0</v>
      </c>
      <c r="P39" s="187">
        <f t="shared" si="4"/>
        <v>0</v>
      </c>
      <c r="Q39" s="187" t="e">
        <f t="shared" si="5"/>
        <v>#DIV/0!</v>
      </c>
      <c r="R39" s="189" t="e">
        <f t="shared" si="6"/>
        <v>#DIV/0!</v>
      </c>
      <c r="S39" s="190"/>
      <c r="T39" s="190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350000000000001" customHeight="1" x14ac:dyDescent="0.25">
      <c r="A40" s="117" t="s">
        <v>69</v>
      </c>
      <c r="B40" s="117" t="s">
        <v>88</v>
      </c>
      <c r="C40" s="269" t="s">
        <v>89</v>
      </c>
      <c r="D40" s="285" t="s">
        <v>90</v>
      </c>
      <c r="E40" s="286"/>
      <c r="F40" s="286"/>
      <c r="G40" s="286"/>
      <c r="H40" s="287"/>
      <c r="I40" s="288" t="s">
        <v>91</v>
      </c>
      <c r="J40" s="289"/>
      <c r="K40" s="289"/>
      <c r="L40" s="289"/>
      <c r="M40" s="290"/>
      <c r="N40" s="163"/>
      <c r="O40" s="163"/>
      <c r="P40" s="163"/>
      <c r="Q40" s="163"/>
      <c r="R40" s="163"/>
      <c r="S40" s="163"/>
      <c r="T40" s="163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92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ht="15.75" customHeight="1" x14ac:dyDescent="0.25">
      <c r="A41" s="193">
        <v>1</v>
      </c>
      <c r="B41" s="194">
        <f>AVERAGE(D41:H41)</f>
        <v>110.7</v>
      </c>
      <c r="C41" s="195">
        <f>AVERAGE(I41:K41)</f>
        <v>77.099999999999994</v>
      </c>
      <c r="D41" s="198">
        <v>110.7</v>
      </c>
      <c r="E41" s="198"/>
      <c r="F41" s="198"/>
      <c r="G41" s="200"/>
      <c r="H41" s="198"/>
      <c r="I41" s="200">
        <v>77.099999999999994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92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25">
      <c r="A42" s="193">
        <v>2</v>
      </c>
      <c r="B42" s="194">
        <f>AVERAGE(D42:H42)</f>
        <v>105</v>
      </c>
      <c r="C42" s="195">
        <f>AVERAGE(I42:K42)</f>
        <v>57.2</v>
      </c>
      <c r="D42" s="200">
        <v>105</v>
      </c>
      <c r="E42" s="198"/>
      <c r="F42" s="198"/>
      <c r="G42" s="198"/>
      <c r="H42" s="199"/>
      <c r="I42" s="200">
        <v>57.2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92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x14ac:dyDescent="0.25">
      <c r="A43" s="193">
        <v>3</v>
      </c>
      <c r="B43" s="194">
        <f>AVERAGE(D43:H43)</f>
        <v>53.4</v>
      </c>
      <c r="C43" s="195">
        <f>AVERAGE(I43:K43)</f>
        <v>34.4</v>
      </c>
      <c r="D43" s="200">
        <v>53.4</v>
      </c>
      <c r="E43" s="198"/>
      <c r="F43" s="198"/>
      <c r="G43" s="198"/>
      <c r="H43" s="199"/>
      <c r="I43" s="200">
        <v>34.4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92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5" customHeight="1" x14ac:dyDescent="0.25">
      <c r="A44" s="193">
        <v>4</v>
      </c>
      <c r="B44" s="194">
        <f>AVERAGE(D44:F44)</f>
        <v>76.099999999999994</v>
      </c>
      <c r="C44" s="195">
        <f>AVERAGE(I44:K44)</f>
        <v>61.4</v>
      </c>
      <c r="D44" s="200">
        <v>76.099999999999994</v>
      </c>
      <c r="E44" s="198"/>
      <c r="F44" s="198"/>
      <c r="G44" s="198"/>
      <c r="H44" s="199"/>
      <c r="I44" s="200">
        <v>61.4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92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8.75" customHeight="1" x14ac:dyDescent="0.25">
      <c r="A45" s="193">
        <v>5</v>
      </c>
      <c r="B45" s="194">
        <f>AVERAGE(D45:H45)</f>
        <v>77.099999999999994</v>
      </c>
      <c r="C45" s="195">
        <f>AVERAGE(I45:K45)</f>
        <v>49.7</v>
      </c>
      <c r="D45" s="198">
        <v>77.099999999999994</v>
      </c>
      <c r="E45" s="198"/>
      <c r="F45" s="200"/>
      <c r="G45" s="198"/>
      <c r="H45" s="199"/>
      <c r="I45" s="200">
        <v>49.7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92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350000000000001" customHeight="1" x14ac:dyDescent="0.25">
      <c r="A46" s="193">
        <v>6</v>
      </c>
      <c r="B46" s="194" t="e">
        <f>AVERAGE(D46:G46)</f>
        <v>#DIV/0!</v>
      </c>
      <c r="C46" s="195" t="e">
        <f t="shared" ref="C46" si="8">AVERAGE(I46:K46)</f>
        <v>#DIV/0!</v>
      </c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92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ht="16.350000000000001" customHeight="1" x14ac:dyDescent="0.25">
      <c r="A47" s="193" t="s">
        <v>15</v>
      </c>
      <c r="B47" s="194"/>
      <c r="C47" s="195"/>
      <c r="D47" s="200"/>
      <c r="E47" s="198"/>
      <c r="F47" s="198"/>
      <c r="G47" s="198"/>
      <c r="H47" s="199"/>
      <c r="I47" s="200"/>
      <c r="J47" s="198"/>
      <c r="K47" s="198"/>
      <c r="L47" s="198"/>
      <c r="M47" s="199"/>
      <c r="N47" s="163"/>
      <c r="O47" s="163"/>
      <c r="P47" s="163"/>
      <c r="Q47" s="163"/>
      <c r="R47" s="163"/>
      <c r="S47" s="163"/>
      <c r="T47" s="163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92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15.75" customHeight="1" x14ac:dyDescent="0.25">
      <c r="A48" s="193">
        <v>7</v>
      </c>
      <c r="B48" s="194" t="e">
        <f>AVERAGE(D48:H48)</f>
        <v>#DIV/0!</v>
      </c>
      <c r="C48" s="195" t="e">
        <f>AVERAGE(I48:K48)</f>
        <v>#DIV/0!</v>
      </c>
      <c r="D48" s="198"/>
      <c r="E48" s="198"/>
      <c r="F48" s="198"/>
      <c r="G48" s="200"/>
      <c r="H48" s="198"/>
      <c r="I48" s="200"/>
      <c r="J48" s="198"/>
      <c r="K48" s="198"/>
      <c r="L48" s="198"/>
      <c r="M48" s="199"/>
      <c r="N48" s="163"/>
      <c r="O48" s="163"/>
      <c r="P48" s="163"/>
      <c r="Q48" s="163"/>
      <c r="R48" s="163"/>
      <c r="S48" s="163"/>
      <c r="T48" s="163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92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1" customHeight="1" x14ac:dyDescent="0.25">
      <c r="A49" s="291" t="s">
        <v>92</v>
      </c>
      <c r="B49" s="292"/>
      <c r="C49" s="292"/>
      <c r="D49" s="292"/>
      <c r="E49" s="292"/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163"/>
      <c r="R49" s="163"/>
      <c r="S49" s="163"/>
      <c r="T49" s="163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92"/>
      <c r="AH49" s="169"/>
      <c r="AI49" s="169"/>
      <c r="AJ49" s="169"/>
      <c r="AK49" s="169"/>
      <c r="AL49" s="169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</row>
    <row r="50" spans="1:58" ht="22.35" customHeight="1" x14ac:dyDescent="0.25">
      <c r="A50" s="265" t="s">
        <v>93</v>
      </c>
      <c r="B50" s="117" t="s">
        <v>94</v>
      </c>
      <c r="C50" s="117" t="s">
        <v>95</v>
      </c>
      <c r="D50" s="117" t="s">
        <v>96</v>
      </c>
      <c r="E50" s="117" t="s">
        <v>97</v>
      </c>
      <c r="F50" s="117" t="s">
        <v>98</v>
      </c>
      <c r="G50" s="117" t="s">
        <v>99</v>
      </c>
      <c r="H50" s="117" t="s">
        <v>100</v>
      </c>
      <c r="I50" s="117" t="s">
        <v>101</v>
      </c>
      <c r="J50" s="117" t="s">
        <v>102</v>
      </c>
      <c r="K50" s="117" t="s">
        <v>103</v>
      </c>
      <c r="L50" s="117" t="s">
        <v>104</v>
      </c>
      <c r="M50" s="117" t="s">
        <v>105</v>
      </c>
      <c r="N50" s="117" t="s">
        <v>106</v>
      </c>
      <c r="O50" s="117" t="s">
        <v>107</v>
      </c>
      <c r="P50" s="272" t="s">
        <v>108</v>
      </c>
      <c r="Q50" s="163"/>
      <c r="R50" s="163"/>
      <c r="S50" s="163"/>
      <c r="T50" s="163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92"/>
      <c r="AH50" s="169"/>
      <c r="AI50" s="169"/>
      <c r="AJ50" s="169"/>
      <c r="AK50" s="169"/>
      <c r="AL50" s="169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</row>
    <row r="51" spans="1:58" x14ac:dyDescent="0.25">
      <c r="A51" s="9">
        <v>1</v>
      </c>
      <c r="B51" s="191">
        <v>1.0831</v>
      </c>
      <c r="C51" s="208">
        <v>1.1193</v>
      </c>
      <c r="D51" s="202">
        <v>10</v>
      </c>
      <c r="E51" s="202">
        <v>10</v>
      </c>
      <c r="F51" s="10">
        <v>1.0933999999999999</v>
      </c>
      <c r="G51" s="10">
        <v>1.1312</v>
      </c>
      <c r="H51" s="202">
        <v>1</v>
      </c>
      <c r="I51" s="11">
        <f>(F51-B51)*1000*H51/D51</f>
        <v>1.0299999999999976</v>
      </c>
      <c r="J51" s="11">
        <f>(G51-C51)*1000*H51/E51</f>
        <v>1.1900000000000022</v>
      </c>
      <c r="K51" s="12">
        <f>AVERAGE(I51:J51)</f>
        <v>1.1099999999999999</v>
      </c>
      <c r="L51" s="203"/>
      <c r="M51" s="203"/>
      <c r="N51" s="204">
        <f>(F51-L51)/E51*1000000</f>
        <v>109340</v>
      </c>
      <c r="O51" s="205">
        <f>(G51-M51)/E51*1000000</f>
        <v>113120</v>
      </c>
      <c r="P51" s="206">
        <f>AVERAGE(O51)</f>
        <v>113120</v>
      </c>
      <c r="Q51" s="163"/>
      <c r="R51" s="163"/>
      <c r="S51" s="163"/>
      <c r="T51" s="163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</row>
    <row r="52" spans="1:58" ht="21" customHeight="1" x14ac:dyDescent="0.25">
      <c r="A52" s="9">
        <v>2</v>
      </c>
      <c r="B52" s="186">
        <v>1.1076999999999999</v>
      </c>
      <c r="C52" s="191">
        <v>1.1024</v>
      </c>
      <c r="D52" s="202">
        <v>10</v>
      </c>
      <c r="E52" s="202">
        <v>10</v>
      </c>
      <c r="F52" s="10">
        <v>1.117</v>
      </c>
      <c r="G52" s="10">
        <v>1.1120000000000001</v>
      </c>
      <c r="H52" s="202">
        <v>1</v>
      </c>
      <c r="I52" s="11">
        <f>(F52-B52)*1000*H52/D52</f>
        <v>0.9300000000000086</v>
      </c>
      <c r="J52" s="11">
        <f>(G52-C52)*1000*H52/E52</f>
        <v>0.96000000000000529</v>
      </c>
      <c r="K52" s="12">
        <f>AVERAGE(I52:J52)</f>
        <v>0.94500000000000695</v>
      </c>
      <c r="L52" s="203"/>
      <c r="M52" s="203"/>
      <c r="N52" s="204">
        <f t="shared" ref="N52:N56" si="9">(F52-L52)/E52*1000000</f>
        <v>111700</v>
      </c>
      <c r="O52" s="205">
        <f t="shared" ref="O52:O56" si="10">(G52-M52)/E52*1000000</f>
        <v>111200</v>
      </c>
      <c r="P52" s="206">
        <f>AVERAGE(N52:O52)</f>
        <v>111450</v>
      </c>
      <c r="Q52" s="163"/>
      <c r="R52" s="163"/>
      <c r="S52" s="163"/>
      <c r="T52" s="163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</row>
    <row r="53" spans="1:58" x14ac:dyDescent="0.25">
      <c r="A53" s="9">
        <v>3</v>
      </c>
      <c r="B53" s="186">
        <v>1.1116999999999999</v>
      </c>
      <c r="C53" s="191">
        <v>1.1035999999999999</v>
      </c>
      <c r="D53" s="202">
        <v>10</v>
      </c>
      <c r="E53" s="202">
        <v>10</v>
      </c>
      <c r="F53" s="10">
        <v>1.1203000000000001</v>
      </c>
      <c r="G53" s="10">
        <v>1.1122000000000001</v>
      </c>
      <c r="H53" s="202">
        <v>1</v>
      </c>
      <c r="I53" s="11">
        <f>(F53-B53)*1000*H53/D53</f>
        <v>0.86000000000001631</v>
      </c>
      <c r="J53" s="11">
        <f>(G53-C53)*1000*H53/E53</f>
        <v>0.86000000000001631</v>
      </c>
      <c r="K53" s="12">
        <f>AVERAGE(I53:J53)</f>
        <v>0.86000000000001631</v>
      </c>
      <c r="L53" s="203"/>
      <c r="M53" s="203"/>
      <c r="N53" s="204">
        <f t="shared" si="9"/>
        <v>112030</v>
      </c>
      <c r="O53" s="205">
        <f t="shared" si="10"/>
        <v>111220.00000000001</v>
      </c>
      <c r="P53" s="206">
        <f>AVERAGE(N53:O53)</f>
        <v>111625</v>
      </c>
      <c r="Q53" s="163"/>
      <c r="R53" s="163"/>
      <c r="S53" s="163"/>
      <c r="T53" s="163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</row>
    <row r="54" spans="1:58" x14ac:dyDescent="0.25">
      <c r="A54" s="9">
        <v>4</v>
      </c>
      <c r="B54" s="186">
        <v>1.1174999999999999</v>
      </c>
      <c r="C54" s="186">
        <v>1.1093999999999999</v>
      </c>
      <c r="D54" s="202">
        <v>10</v>
      </c>
      <c r="E54" s="202">
        <v>10</v>
      </c>
      <c r="F54" s="50">
        <v>1.1254</v>
      </c>
      <c r="G54" s="49">
        <v>1.1166</v>
      </c>
      <c r="H54" s="202">
        <v>1</v>
      </c>
      <c r="I54" s="11">
        <f>(F54-B54)*1000*H54/D54</f>
        <v>0.79000000000000181</v>
      </c>
      <c r="J54" s="11">
        <f>(G54-C54)*1000*H54/E54</f>
        <v>0.72000000000000952</v>
      </c>
      <c r="K54" s="12">
        <f>AVERAGE(I54:J54)</f>
        <v>0.75500000000000567</v>
      </c>
      <c r="L54" s="203"/>
      <c r="M54" s="203"/>
      <c r="N54" s="204">
        <f t="shared" si="9"/>
        <v>112540</v>
      </c>
      <c r="O54" s="205">
        <f t="shared" si="10"/>
        <v>111660.00000000001</v>
      </c>
      <c r="P54" s="206">
        <f>AVERAGE(O54)</f>
        <v>111660.00000000001</v>
      </c>
      <c r="Q54" s="163"/>
      <c r="R54" s="163"/>
      <c r="S54" s="163"/>
      <c r="T54" s="163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</row>
    <row r="55" spans="1:58" x14ac:dyDescent="0.25">
      <c r="A55" s="9">
        <v>5</v>
      </c>
      <c r="B55" s="275">
        <v>1.1092</v>
      </c>
      <c r="C55" s="208">
        <v>1.1093</v>
      </c>
      <c r="D55" s="202">
        <v>10</v>
      </c>
      <c r="E55" s="202">
        <v>10</v>
      </c>
      <c r="F55" s="276">
        <v>1.1174999999999999</v>
      </c>
      <c r="G55" s="10">
        <v>1.1182000000000001</v>
      </c>
      <c r="H55" s="202">
        <v>1</v>
      </c>
      <c r="I55" s="11">
        <f>(F55-B55)*1000*H55/D55</f>
        <v>0.82999999999999741</v>
      </c>
      <c r="J55" s="11">
        <f>(G55-C55)*1000*H55/E55</f>
        <v>0.890000000000013</v>
      </c>
      <c r="K55" s="12">
        <f>AVERAGE(I55:J55)</f>
        <v>0.8600000000000052</v>
      </c>
      <c r="L55" s="277"/>
      <c r="M55" s="203"/>
      <c r="N55" s="204">
        <f t="shared" si="9"/>
        <v>111749.99999999999</v>
      </c>
      <c r="O55" s="205">
        <f t="shared" si="10"/>
        <v>111820</v>
      </c>
      <c r="P55" s="206">
        <f>AVERAGE(O55)</f>
        <v>111820</v>
      </c>
      <c r="Q55" s="163"/>
      <c r="R55" s="163"/>
      <c r="S55" s="163"/>
      <c r="T55" s="163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</row>
    <row r="56" spans="1:58" x14ac:dyDescent="0.25">
      <c r="A56" s="102">
        <v>6</v>
      </c>
      <c r="B56" s="191"/>
      <c r="C56" s="208"/>
      <c r="D56" s="202">
        <v>10</v>
      </c>
      <c r="E56" s="202">
        <v>10</v>
      </c>
      <c r="F56" s="10"/>
      <c r="G56" s="10"/>
      <c r="H56" s="202">
        <v>1</v>
      </c>
      <c r="I56" s="11">
        <f t="shared" ref="I56" si="11">(F56-B56)*1000*H56/D56</f>
        <v>0</v>
      </c>
      <c r="J56" s="11">
        <f t="shared" ref="J56" si="12">(G56-C56)*1000*H56/E56</f>
        <v>0</v>
      </c>
      <c r="K56" s="12">
        <f t="shared" ref="K56" si="13">AVERAGE(I56:J56)</f>
        <v>0</v>
      </c>
      <c r="L56" s="203"/>
      <c r="M56" s="203"/>
      <c r="N56" s="204">
        <f t="shared" si="9"/>
        <v>0</v>
      </c>
      <c r="O56" s="205">
        <f t="shared" si="10"/>
        <v>0</v>
      </c>
      <c r="P56" s="206"/>
      <c r="Q56" s="163"/>
      <c r="R56" s="163"/>
      <c r="S56" s="163"/>
      <c r="T56" s="163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</row>
    <row r="57" spans="1:58" ht="40.5" customHeight="1" x14ac:dyDescent="0.25">
      <c r="A57" s="210" t="s">
        <v>109</v>
      </c>
      <c r="B57" s="191">
        <v>1.1052999999999999</v>
      </c>
      <c r="C57" s="208">
        <v>1.1035999999999999</v>
      </c>
      <c r="D57" s="202">
        <v>10</v>
      </c>
      <c r="E57" s="202">
        <v>10</v>
      </c>
      <c r="F57" s="101">
        <v>1.1161000000000001</v>
      </c>
      <c r="G57" s="101">
        <v>1.113</v>
      </c>
      <c r="H57" s="202">
        <v>1</v>
      </c>
      <c r="I57" s="11">
        <f>(F57-B57)*1000*H57/D57</f>
        <v>1.0800000000000143</v>
      </c>
      <c r="J57" s="11">
        <f>(G57-C57)*1000*H57/E57</f>
        <v>0.9400000000000075</v>
      </c>
      <c r="K57" s="12">
        <f>AVERAGE(I57:J57)</f>
        <v>1.0100000000000109</v>
      </c>
      <c r="L57" s="209"/>
      <c r="M57" s="209"/>
      <c r="N57" s="204">
        <f>(F57-L57)/E57*1000000</f>
        <v>111610.00000000001</v>
      </c>
      <c r="O57" s="205">
        <f>(G57-M57)/E57*1000000</f>
        <v>111300</v>
      </c>
      <c r="P57" s="206">
        <f>AVERAGE(O57)</f>
        <v>111300</v>
      </c>
      <c r="Q57" s="163"/>
      <c r="R57" s="163"/>
      <c r="S57" s="163"/>
      <c r="T57" s="163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ht="34.5" customHeight="1" x14ac:dyDescent="0.25">
      <c r="A58" s="163" t="s">
        <v>110</v>
      </c>
      <c r="B58" s="163"/>
      <c r="C58" s="214" t="s">
        <v>111</v>
      </c>
      <c r="D58" s="214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3"/>
      <c r="AI58" s="169"/>
      <c r="AJ58" s="169"/>
      <c r="AK58" s="169"/>
      <c r="AL58" s="169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25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25">
      <c r="A60" s="293" t="s">
        <v>112</v>
      </c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5"/>
      <c r="P60" s="163"/>
      <c r="Q60" s="163"/>
      <c r="R60" s="163"/>
      <c r="S60" s="163"/>
      <c r="T60" s="163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25">
      <c r="A61" s="265" t="s">
        <v>93</v>
      </c>
      <c r="B61" s="117" t="s">
        <v>113</v>
      </c>
      <c r="C61" s="117" t="s">
        <v>114</v>
      </c>
      <c r="D61" s="117" t="s">
        <v>115</v>
      </c>
      <c r="E61" s="117" t="s">
        <v>116</v>
      </c>
      <c r="F61" s="117" t="s">
        <v>98</v>
      </c>
      <c r="G61" s="117" t="s">
        <v>99</v>
      </c>
      <c r="H61" s="117" t="s">
        <v>117</v>
      </c>
      <c r="I61" s="117" t="s">
        <v>118</v>
      </c>
      <c r="J61" s="117" t="s">
        <v>119</v>
      </c>
      <c r="K61" s="117" t="s">
        <v>104</v>
      </c>
      <c r="L61" s="117" t="s">
        <v>105</v>
      </c>
      <c r="M61" s="117" t="s">
        <v>120</v>
      </c>
      <c r="N61" s="117" t="s">
        <v>121</v>
      </c>
      <c r="O61" s="272" t="s">
        <v>122</v>
      </c>
      <c r="P61" s="163"/>
      <c r="Q61" s="163"/>
      <c r="R61" s="163"/>
      <c r="S61" s="163"/>
      <c r="T61" s="163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25">
      <c r="A62" s="9">
        <v>1</v>
      </c>
      <c r="B62" s="49">
        <v>0.97550000000000003</v>
      </c>
      <c r="C62" s="49">
        <v>0.99329999999999996</v>
      </c>
      <c r="D62" s="49">
        <v>5.1429999999999998</v>
      </c>
      <c r="E62" s="49">
        <v>5.4233000000000002</v>
      </c>
      <c r="F62" s="50">
        <v>2.1474000000000002</v>
      </c>
      <c r="G62" s="49">
        <v>2.2528000000000001</v>
      </c>
      <c r="H62" s="181">
        <f t="shared" ref="H62:I69" si="14">(F62-B62)*100/(D62-B62)</f>
        <v>28.119976004799046</v>
      </c>
      <c r="I62" s="181">
        <f t="shared" si="14"/>
        <v>28.431151241534984</v>
      </c>
      <c r="J62" s="13">
        <f>AVERAGE(H62:I62)</f>
        <v>28.275563623167017</v>
      </c>
      <c r="K62" s="203"/>
      <c r="L62" s="203"/>
      <c r="M62" s="13">
        <f>((F62-K62)/D62)*100</f>
        <v>41.753840171106368</v>
      </c>
      <c r="N62" s="15">
        <f>((G62-L62)/E62)*100</f>
        <v>41.539284199657033</v>
      </c>
      <c r="O62" s="16">
        <f>AVERAGE(M62:N62)</f>
        <v>41.646562185381697</v>
      </c>
      <c r="P62" s="163"/>
      <c r="Q62" s="163"/>
      <c r="R62" s="163"/>
      <c r="S62" s="163"/>
      <c r="T62" s="163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25">
      <c r="A63" s="9">
        <v>2</v>
      </c>
      <c r="B63" s="46">
        <v>0.99690000000000001</v>
      </c>
      <c r="C63" s="46">
        <v>0.99950000000000006</v>
      </c>
      <c r="D63" s="46">
        <v>5.1144999999999996</v>
      </c>
      <c r="E63" s="48">
        <v>5.1425999999999998</v>
      </c>
      <c r="F63" s="47">
        <v>2.1589</v>
      </c>
      <c r="G63" s="48">
        <v>2.1823999999999999</v>
      </c>
      <c r="H63" s="181">
        <f t="shared" si="14"/>
        <v>28.220322517971635</v>
      </c>
      <c r="I63" s="181">
        <f t="shared" si="14"/>
        <v>28.551084936400276</v>
      </c>
      <c r="J63" s="13">
        <f t="shared" ref="J63:J69" si="15">AVERAGE(H63:I63)</f>
        <v>28.385703727185955</v>
      </c>
      <c r="K63" s="203"/>
      <c r="L63" s="203"/>
      <c r="M63" s="13">
        <f>((F63-K63)/D63)*100</f>
        <v>42.211359859223776</v>
      </c>
      <c r="N63" s="13">
        <f>((G63-L63)/E63)*100</f>
        <v>42.437677439427524</v>
      </c>
      <c r="O63" s="16">
        <f t="shared" ref="O63:O69" si="16">AVERAGE(M63:N63)</f>
        <v>42.324518649325654</v>
      </c>
      <c r="P63" s="163"/>
      <c r="Q63" s="163"/>
      <c r="R63" s="163"/>
      <c r="S63" s="163"/>
      <c r="T63" s="163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23"/>
      <c r="AI63" s="169"/>
      <c r="AJ63" s="169"/>
      <c r="AK63" s="169"/>
      <c r="AL63" s="169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x14ac:dyDescent="0.25">
      <c r="A64" s="9">
        <v>3</v>
      </c>
      <c r="B64" s="49">
        <v>0.98319999999999996</v>
      </c>
      <c r="C64" s="49">
        <v>0.98450000000000004</v>
      </c>
      <c r="D64" s="49">
        <v>5.1856</v>
      </c>
      <c r="E64" s="49">
        <v>5.2319000000000004</v>
      </c>
      <c r="F64" s="47">
        <v>2.2250000000000001</v>
      </c>
      <c r="G64" s="48">
        <v>2.2555999999999998</v>
      </c>
      <c r="H64" s="181">
        <f t="shared" si="14"/>
        <v>29.549781077479537</v>
      </c>
      <c r="I64" s="181">
        <f t="shared" si="14"/>
        <v>29.926543297075845</v>
      </c>
      <c r="J64" s="13">
        <f t="shared" si="15"/>
        <v>29.738162187277691</v>
      </c>
      <c r="K64" s="203"/>
      <c r="L64" s="203"/>
      <c r="M64" s="13">
        <f>((F64-K64)/D65)*100</f>
        <v>41.010801046927419</v>
      </c>
      <c r="N64" s="15">
        <f>((G64-L64)/E63)*100</f>
        <v>43.861081942986033</v>
      </c>
      <c r="O64" s="16">
        <f t="shared" si="16"/>
        <v>42.435941494956722</v>
      </c>
      <c r="P64" s="163"/>
      <c r="Q64" s="163"/>
      <c r="R64" s="163"/>
      <c r="S64" s="163"/>
      <c r="T64" s="163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25">
      <c r="A65" s="9">
        <v>4</v>
      </c>
      <c r="B65" s="48">
        <v>0.98860000000000003</v>
      </c>
      <c r="C65" s="48">
        <v>0.97970000000000002</v>
      </c>
      <c r="D65" s="48">
        <v>5.4253999999999998</v>
      </c>
      <c r="E65" s="48">
        <v>5.1990999999999996</v>
      </c>
      <c r="F65" s="48">
        <v>2.2812000000000001</v>
      </c>
      <c r="G65" s="48">
        <v>2.2035999999999998</v>
      </c>
      <c r="H65" s="181">
        <f t="shared" si="14"/>
        <v>29.133609808871263</v>
      </c>
      <c r="I65" s="181">
        <f t="shared" si="14"/>
        <v>29.00649381428639</v>
      </c>
      <c r="J65" s="13">
        <f t="shared" si="15"/>
        <v>29.070051811578828</v>
      </c>
      <c r="K65" s="203"/>
      <c r="L65" s="203"/>
      <c r="M65" s="13">
        <f>((F65-K65)/D88)*100</f>
        <v>41.017711049177386</v>
      </c>
      <c r="N65" s="15">
        <f>((G65-L65)/E64)*100</f>
        <v>42.118542021063085</v>
      </c>
      <c r="O65" s="16">
        <f t="shared" si="16"/>
        <v>41.568126535120236</v>
      </c>
      <c r="P65" s="163"/>
      <c r="Q65" s="163"/>
      <c r="R65" s="163"/>
      <c r="S65" s="163"/>
      <c r="T65" s="163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25">
      <c r="A66" s="9">
        <v>5</v>
      </c>
      <c r="B66" s="49">
        <v>1.0014000000000001</v>
      </c>
      <c r="C66" s="49">
        <v>1.0013000000000001</v>
      </c>
      <c r="D66" s="49">
        <v>5.0606999999999998</v>
      </c>
      <c r="E66" s="49">
        <v>5.0500999999999996</v>
      </c>
      <c r="F66" s="49">
        <v>2.2648999999999999</v>
      </c>
      <c r="G66" s="50">
        <v>2.2431000000000001</v>
      </c>
      <c r="H66" s="181">
        <f t="shared" si="14"/>
        <v>31.126056216589067</v>
      </c>
      <c r="I66" s="181">
        <f t="shared" si="14"/>
        <v>30.670816044260029</v>
      </c>
      <c r="J66" s="13">
        <f t="shared" si="15"/>
        <v>30.89843613042455</v>
      </c>
      <c r="K66" s="203"/>
      <c r="L66" s="203"/>
      <c r="M66" s="13">
        <f t="shared" ref="M66:M69" si="17">((F66-K66)/D66)*100</f>
        <v>44.754678206572216</v>
      </c>
      <c r="N66" s="15">
        <f>((G66-L66)/E66)*100</f>
        <v>44.416942238767554</v>
      </c>
      <c r="O66" s="16">
        <f t="shared" si="16"/>
        <v>44.585810222669885</v>
      </c>
      <c r="P66" s="163"/>
      <c r="Q66" s="163"/>
      <c r="R66" s="163"/>
      <c r="S66" s="163"/>
      <c r="T66" s="163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25">
      <c r="A67" s="9">
        <v>6</v>
      </c>
      <c r="B67" s="49"/>
      <c r="C67" s="49"/>
      <c r="D67" s="49"/>
      <c r="E67" s="49"/>
      <c r="F67" s="50"/>
      <c r="G67" s="49"/>
      <c r="H67" s="181" t="e">
        <f t="shared" si="14"/>
        <v>#DIV/0!</v>
      </c>
      <c r="I67" s="181" t="e">
        <f t="shared" si="14"/>
        <v>#DIV/0!</v>
      </c>
      <c r="J67" s="13" t="e">
        <f t="shared" si="15"/>
        <v>#DIV/0!</v>
      </c>
      <c r="K67" s="203"/>
      <c r="L67" s="203"/>
      <c r="M67" s="13" t="e">
        <f t="shared" si="17"/>
        <v>#DIV/0!</v>
      </c>
      <c r="N67" s="15" t="e">
        <f>((G67-L67)/E67)*100</f>
        <v>#DIV/0!</v>
      </c>
      <c r="O67" s="16" t="e">
        <f t="shared" si="16"/>
        <v>#DIV/0!</v>
      </c>
      <c r="P67" s="163"/>
      <c r="Q67" s="163"/>
      <c r="R67" s="163"/>
      <c r="S67" s="163"/>
      <c r="T67" s="163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25">
      <c r="A68" s="215" t="s">
        <v>123</v>
      </c>
      <c r="B68" s="49">
        <v>0.99780000000000002</v>
      </c>
      <c r="C68" s="49">
        <v>0.99590000000000001</v>
      </c>
      <c r="D68" s="49">
        <v>5.3236999999999997</v>
      </c>
      <c r="E68" s="49">
        <v>5.3376999999999999</v>
      </c>
      <c r="F68" s="50">
        <v>2.3119000000000001</v>
      </c>
      <c r="G68" s="49">
        <v>2.33</v>
      </c>
      <c r="H68" s="181">
        <f t="shared" si="14"/>
        <v>30.377493700732796</v>
      </c>
      <c r="I68" s="181">
        <f t="shared" si="14"/>
        <v>30.726887466027915</v>
      </c>
      <c r="J68" s="13">
        <f t="shared" si="15"/>
        <v>30.552190583380355</v>
      </c>
      <c r="K68" s="14"/>
      <c r="L68" s="14"/>
      <c r="M68" s="13">
        <f t="shared" si="17"/>
        <v>43.426564231643411</v>
      </c>
      <c r="N68" s="15">
        <f>((G68-L68)/E68)*100</f>
        <v>43.651760121400606</v>
      </c>
      <c r="O68" s="16">
        <f t="shared" si="16"/>
        <v>43.539162176522012</v>
      </c>
      <c r="P68" s="163"/>
      <c r="Q68" s="163"/>
      <c r="R68" s="163"/>
      <c r="S68" s="163"/>
      <c r="T68" s="163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69" spans="1:58" x14ac:dyDescent="0.25">
      <c r="A69" s="210" t="s">
        <v>124</v>
      </c>
      <c r="B69" s="51">
        <v>0.99060000000000004</v>
      </c>
      <c r="C69" s="51">
        <v>0.99690000000000001</v>
      </c>
      <c r="D69" s="51">
        <v>5.9962</v>
      </c>
      <c r="E69" s="51">
        <v>5.1353999999999997</v>
      </c>
      <c r="F69" s="51">
        <v>1.1821999999999999</v>
      </c>
      <c r="G69" s="51">
        <v>1.1559999999999999</v>
      </c>
      <c r="H69" s="181">
        <f t="shared" si="14"/>
        <v>3.8277129614831367</v>
      </c>
      <c r="I69" s="181">
        <f t="shared" si="14"/>
        <v>3.8443880633079601</v>
      </c>
      <c r="J69" s="13">
        <f t="shared" si="15"/>
        <v>3.8360505123955484</v>
      </c>
      <c r="K69" s="203"/>
      <c r="L69" s="18"/>
      <c r="M69" s="17">
        <f t="shared" si="17"/>
        <v>19.715820019345585</v>
      </c>
      <c r="N69" s="19">
        <f>((G69-L69)/E69)*100</f>
        <v>22.510417883709156</v>
      </c>
      <c r="O69" s="20">
        <f t="shared" si="16"/>
        <v>21.113118951527369</v>
      </c>
      <c r="P69" s="163"/>
      <c r="Q69" s="163"/>
      <c r="R69" s="163"/>
      <c r="S69" s="163"/>
      <c r="T69" s="163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</row>
    <row r="70" spans="1:58" x14ac:dyDescent="0.25">
      <c r="A70" s="9"/>
      <c r="B70" s="49"/>
      <c r="C70" s="49"/>
      <c r="D70" s="49"/>
      <c r="E70" s="49"/>
      <c r="F70" s="50"/>
      <c r="G70" s="49"/>
      <c r="H70" s="13"/>
      <c r="I70" s="13"/>
      <c r="J70" s="13"/>
      <c r="K70" s="203"/>
      <c r="L70" s="203"/>
      <c r="M70" s="13"/>
      <c r="N70" s="15"/>
      <c r="O70" s="16"/>
      <c r="P70" s="163"/>
      <c r="Q70" s="163"/>
      <c r="R70" s="163"/>
      <c r="S70" s="163"/>
      <c r="T70" s="163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</row>
    <row r="71" spans="1:58" x14ac:dyDescent="0.25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</row>
    <row r="72" spans="1:58" x14ac:dyDescent="0.25">
      <c r="A72" s="279" t="s">
        <v>295</v>
      </c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163"/>
      <c r="R72" s="163"/>
      <c r="S72" s="163"/>
      <c r="T72" s="163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</row>
    <row r="73" spans="1:58" x14ac:dyDescent="0.25">
      <c r="A73" s="278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163"/>
      <c r="R73" s="163"/>
      <c r="S73" s="163"/>
      <c r="T73" s="163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</row>
    <row r="74" spans="1:58" x14ac:dyDescent="0.25">
      <c r="A74" s="291" t="s">
        <v>92</v>
      </c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163"/>
      <c r="R74" s="163"/>
      <c r="S74" s="163"/>
      <c r="T74" s="163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</row>
    <row r="75" spans="1:58" ht="32.25" customHeight="1" x14ac:dyDescent="0.25">
      <c r="A75" s="4" t="s">
        <v>93</v>
      </c>
      <c r="B75" s="5" t="s">
        <v>296</v>
      </c>
      <c r="C75" s="5" t="s">
        <v>95</v>
      </c>
      <c r="D75" s="5" t="s">
        <v>96</v>
      </c>
      <c r="E75" s="5" t="s">
        <v>97</v>
      </c>
      <c r="F75" s="5" t="s">
        <v>297</v>
      </c>
      <c r="G75" s="5" t="s">
        <v>99</v>
      </c>
      <c r="H75" s="5" t="s">
        <v>100</v>
      </c>
      <c r="I75" s="5" t="s">
        <v>101</v>
      </c>
      <c r="J75" s="5" t="s">
        <v>102</v>
      </c>
      <c r="K75" s="5" t="s">
        <v>103</v>
      </c>
      <c r="L75" s="5" t="s">
        <v>104</v>
      </c>
      <c r="M75" s="5" t="s">
        <v>105</v>
      </c>
      <c r="N75" s="5" t="s">
        <v>106</v>
      </c>
      <c r="O75" s="5" t="s">
        <v>107</v>
      </c>
      <c r="P75" s="6" t="s">
        <v>108</v>
      </c>
      <c r="Q75" s="163"/>
      <c r="R75" s="163"/>
      <c r="S75" s="163"/>
      <c r="T75" s="163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92"/>
      <c r="AH75" s="169"/>
      <c r="AI75" s="169"/>
      <c r="AJ75" s="169"/>
      <c r="AK75" s="169"/>
      <c r="AL75" s="169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</row>
    <row r="76" spans="1:58" x14ac:dyDescent="0.25">
      <c r="A76" s="9">
        <v>1</v>
      </c>
      <c r="B76" s="275">
        <v>1.1047</v>
      </c>
      <c r="C76" s="208"/>
      <c r="D76" s="202">
        <v>10</v>
      </c>
      <c r="E76" s="202">
        <v>10</v>
      </c>
      <c r="F76" s="276">
        <v>1.1162000000000001</v>
      </c>
      <c r="G76" s="10"/>
      <c r="H76" s="202">
        <v>1</v>
      </c>
      <c r="I76" s="11">
        <f t="shared" ref="I76:I82" si="18">(F76-B76)*1000*H76/D76</f>
        <v>1.1500000000000066</v>
      </c>
      <c r="J76" s="11">
        <f t="shared" ref="J76:J82" si="19">(G76-C76)*1000*H76/E76</f>
        <v>0</v>
      </c>
      <c r="K76" s="12">
        <f t="shared" ref="K76:K82" si="20">AVERAGE(I76:J76)</f>
        <v>0.57500000000000329</v>
      </c>
      <c r="L76" s="208"/>
      <c r="M76" s="203"/>
      <c r="N76" s="204">
        <f t="shared" ref="N76:N82" si="21">(F76-L76)/E76*1000000</f>
        <v>111620.00000000001</v>
      </c>
      <c r="O76" s="205">
        <f>(G76-M76)/E76*1000000</f>
        <v>0</v>
      </c>
      <c r="P76" s="206">
        <f>AVERAGE(O76)</f>
        <v>0</v>
      </c>
      <c r="Q76" s="163"/>
      <c r="R76" s="163"/>
      <c r="S76" s="163"/>
      <c r="T76" s="163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</row>
    <row r="77" spans="1:58" ht="15.75" customHeight="1" x14ac:dyDescent="0.25">
      <c r="A77" s="9">
        <v>2</v>
      </c>
      <c r="B77" s="201">
        <v>1.1211</v>
      </c>
      <c r="C77" s="201"/>
      <c r="D77" s="202">
        <v>10</v>
      </c>
      <c r="E77" s="202">
        <v>10</v>
      </c>
      <c r="F77" s="10">
        <v>1.1288</v>
      </c>
      <c r="G77" s="10"/>
      <c r="H77" s="202">
        <v>1</v>
      </c>
      <c r="I77" s="11">
        <f t="shared" si="18"/>
        <v>0.77000000000000401</v>
      </c>
      <c r="J77" s="11">
        <f t="shared" si="19"/>
        <v>0</v>
      </c>
      <c r="K77" s="12">
        <f t="shared" si="20"/>
        <v>0.38500000000000201</v>
      </c>
      <c r="L77" s="201"/>
      <c r="M77" s="203"/>
      <c r="N77" s="204">
        <f t="shared" si="21"/>
        <v>112880.00000000001</v>
      </c>
      <c r="O77" s="205">
        <f>(G77-M77)/E77*1000000</f>
        <v>0</v>
      </c>
      <c r="P77" s="206">
        <f>AVERAGE(N77:O77)</f>
        <v>56440.000000000007</v>
      </c>
      <c r="Q77" s="163"/>
      <c r="R77" s="163"/>
      <c r="S77" s="163"/>
      <c r="T77" s="163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</row>
    <row r="78" spans="1:58" x14ac:dyDescent="0.25">
      <c r="A78" s="9">
        <v>3</v>
      </c>
      <c r="B78" s="186">
        <v>1.1169</v>
      </c>
      <c r="C78" s="191"/>
      <c r="D78" s="202">
        <v>10</v>
      </c>
      <c r="E78" s="202">
        <v>10</v>
      </c>
      <c r="F78" s="10">
        <v>1.1256999999999999</v>
      </c>
      <c r="G78" s="10"/>
      <c r="H78" s="202">
        <v>1</v>
      </c>
      <c r="I78" s="11">
        <f t="shared" si="18"/>
        <v>0.8799999999999919</v>
      </c>
      <c r="J78" s="11">
        <f t="shared" si="19"/>
        <v>0</v>
      </c>
      <c r="K78" s="12">
        <f t="shared" si="20"/>
        <v>0.43999999999999595</v>
      </c>
      <c r="L78" s="203"/>
      <c r="M78" s="203"/>
      <c r="N78" s="204">
        <f t="shared" si="21"/>
        <v>112569.99999999999</v>
      </c>
      <c r="O78" s="205">
        <f>(G78-M78)/E78*1000000</f>
        <v>0</v>
      </c>
      <c r="P78" s="206">
        <f>AVERAGE(N78:O78)</f>
        <v>56284.999999999993</v>
      </c>
      <c r="Q78" s="163"/>
      <c r="R78" s="163"/>
      <c r="S78" s="163"/>
      <c r="T78" s="163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</row>
    <row r="79" spans="1:58" x14ac:dyDescent="0.25">
      <c r="A79" s="9">
        <v>4</v>
      </c>
      <c r="B79" s="276">
        <v>1.1161000000000001</v>
      </c>
      <c r="C79" s="207"/>
      <c r="D79" s="202">
        <v>10</v>
      </c>
      <c r="E79" s="202">
        <v>10</v>
      </c>
      <c r="F79" s="276">
        <v>1.1235999999999999</v>
      </c>
      <c r="G79" s="10"/>
      <c r="H79" s="202">
        <v>1</v>
      </c>
      <c r="I79" s="11">
        <f t="shared" si="18"/>
        <v>0.74999999999998401</v>
      </c>
      <c r="J79" s="11">
        <f t="shared" si="19"/>
        <v>0</v>
      </c>
      <c r="K79" s="12">
        <f t="shared" si="20"/>
        <v>0.37499999999999201</v>
      </c>
      <c r="L79" s="277"/>
      <c r="M79" s="203"/>
      <c r="N79" s="204">
        <f t="shared" si="21"/>
        <v>112359.99999999999</v>
      </c>
      <c r="O79" s="205">
        <f>(G79-M79)/E79*1000000</f>
        <v>0</v>
      </c>
      <c r="P79" s="206">
        <f>AVERAGE(O79)</f>
        <v>0</v>
      </c>
      <c r="Q79" s="163"/>
      <c r="R79" s="163"/>
      <c r="S79" s="163"/>
      <c r="T79" s="163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</row>
    <row r="80" spans="1:58" x14ac:dyDescent="0.25">
      <c r="A80" s="9">
        <v>5</v>
      </c>
      <c r="B80" s="275">
        <v>1.1138999999999999</v>
      </c>
      <c r="C80" s="208"/>
      <c r="D80" s="202">
        <v>10</v>
      </c>
      <c r="E80" s="202">
        <v>10</v>
      </c>
      <c r="F80" s="276">
        <v>1.1220000000000001</v>
      </c>
      <c r="G80" s="10"/>
      <c r="H80" s="202">
        <v>1</v>
      </c>
      <c r="I80" s="11">
        <f t="shared" si="18"/>
        <v>0.81000000000002181</v>
      </c>
      <c r="J80" s="11">
        <f t="shared" si="19"/>
        <v>0</v>
      </c>
      <c r="K80" s="12">
        <f t="shared" si="20"/>
        <v>0.40500000000001091</v>
      </c>
      <c r="L80" s="277"/>
      <c r="M80" s="203"/>
      <c r="N80" s="204">
        <f t="shared" si="21"/>
        <v>112200.00000000001</v>
      </c>
      <c r="O80" s="205">
        <f>(G80-M80)/E80*1000000</f>
        <v>0</v>
      </c>
      <c r="P80" s="206">
        <f>AVERAGE(O80)</f>
        <v>0</v>
      </c>
      <c r="Q80" s="163"/>
      <c r="R80" s="163"/>
      <c r="S80" s="163"/>
      <c r="T80" s="163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</row>
    <row r="81" spans="1:58" x14ac:dyDescent="0.25">
      <c r="A81" s="102">
        <v>6</v>
      </c>
      <c r="B81" s="191"/>
      <c r="C81" s="208"/>
      <c r="D81" s="202">
        <v>10</v>
      </c>
      <c r="E81" s="202">
        <v>10</v>
      </c>
      <c r="F81" s="10"/>
      <c r="G81" s="10"/>
      <c r="H81" s="202">
        <v>1</v>
      </c>
      <c r="I81" s="11">
        <f t="shared" si="18"/>
        <v>0</v>
      </c>
      <c r="J81" s="11">
        <f t="shared" si="19"/>
        <v>0</v>
      </c>
      <c r="K81" s="12">
        <f t="shared" si="20"/>
        <v>0</v>
      </c>
      <c r="L81" s="203"/>
      <c r="M81" s="203"/>
      <c r="N81" s="204">
        <f t="shared" si="21"/>
        <v>0</v>
      </c>
      <c r="O81" s="205"/>
      <c r="P81" s="206"/>
      <c r="Q81" s="163"/>
      <c r="R81" s="163"/>
      <c r="S81" s="163"/>
      <c r="T81" s="163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</row>
    <row r="82" spans="1:58" ht="15.75" customHeight="1" x14ac:dyDescent="0.25">
      <c r="A82" s="210" t="s">
        <v>109</v>
      </c>
      <c r="B82" s="191">
        <v>1.1095999999999999</v>
      </c>
      <c r="C82" s="191"/>
      <c r="D82" s="202">
        <v>10</v>
      </c>
      <c r="E82" s="202">
        <v>10</v>
      </c>
      <c r="F82" s="101">
        <v>1.1197999999999999</v>
      </c>
      <c r="G82" s="101"/>
      <c r="H82" s="202">
        <v>1</v>
      </c>
      <c r="I82" s="11">
        <f t="shared" si="18"/>
        <v>1.0199999999999987</v>
      </c>
      <c r="J82" s="11">
        <f t="shared" si="19"/>
        <v>0</v>
      </c>
      <c r="K82" s="12">
        <f t="shared" si="20"/>
        <v>0.50999999999999934</v>
      </c>
      <c r="L82" s="203"/>
      <c r="M82" s="209"/>
      <c r="N82" s="204">
        <f t="shared" si="21"/>
        <v>111980</v>
      </c>
      <c r="O82" s="205">
        <f>(G82-M82)/E82*1000000</f>
        <v>0</v>
      </c>
      <c r="P82" s="206">
        <f>AVERAGE(O82)</f>
        <v>0</v>
      </c>
      <c r="Q82" s="163"/>
      <c r="R82" s="163"/>
      <c r="S82" s="163"/>
      <c r="T82" s="163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</row>
    <row r="83" spans="1:58" x14ac:dyDescent="0.25">
      <c r="A83" s="266" t="s">
        <v>112</v>
      </c>
      <c r="B83" s="267"/>
      <c r="C83" s="267"/>
      <c r="D83" s="267"/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8"/>
      <c r="P83" s="163"/>
      <c r="Q83" s="163"/>
      <c r="R83" s="163"/>
      <c r="S83" s="163"/>
      <c r="T83" s="163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</row>
    <row r="84" spans="1:58" x14ac:dyDescent="0.25">
      <c r="A84" s="4" t="s">
        <v>93</v>
      </c>
      <c r="B84" s="5" t="s">
        <v>298</v>
      </c>
      <c r="C84" s="5" t="s">
        <v>114</v>
      </c>
      <c r="D84" s="5" t="s">
        <v>299</v>
      </c>
      <c r="E84" s="5" t="s">
        <v>116</v>
      </c>
      <c r="F84" s="5" t="s">
        <v>297</v>
      </c>
      <c r="G84" s="5" t="s">
        <v>99</v>
      </c>
      <c r="H84" s="5" t="s">
        <v>117</v>
      </c>
      <c r="I84" s="5" t="s">
        <v>118</v>
      </c>
      <c r="J84" s="5" t="s">
        <v>119</v>
      </c>
      <c r="K84" s="5" t="s">
        <v>104</v>
      </c>
      <c r="L84" s="5"/>
      <c r="M84" s="5" t="s">
        <v>120</v>
      </c>
      <c r="N84" s="5" t="s">
        <v>121</v>
      </c>
      <c r="O84" s="6" t="s">
        <v>122</v>
      </c>
      <c r="P84" s="163"/>
      <c r="Q84" s="163"/>
      <c r="R84" s="163"/>
      <c r="S84" s="163"/>
      <c r="T84" s="163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</row>
    <row r="85" spans="1:58" x14ac:dyDescent="0.25">
      <c r="A85" s="9">
        <v>1</v>
      </c>
      <c r="B85" s="49">
        <v>0.99060000000000004</v>
      </c>
      <c r="C85" s="49"/>
      <c r="D85" s="49">
        <v>5.3257000000000003</v>
      </c>
      <c r="E85" s="49"/>
      <c r="F85" s="49">
        <v>2.2483</v>
      </c>
      <c r="G85" s="49"/>
      <c r="H85" s="181">
        <f t="shared" ref="H85:I92" si="22">(F85-B85)*100/(D85-B85)</f>
        <v>29.01201817720467</v>
      </c>
      <c r="I85" s="181" t="e">
        <f t="shared" si="22"/>
        <v>#DIV/0!</v>
      </c>
      <c r="J85" s="13" t="e">
        <f>AVERAGE(H85:I85)</f>
        <v>#DIV/0!</v>
      </c>
      <c r="K85" s="203"/>
      <c r="L85" s="203"/>
      <c r="M85" s="13">
        <f>((F85-K85)/D85)*100</f>
        <v>42.216046716863509</v>
      </c>
      <c r="N85" s="15" t="e">
        <f>((G85-L85)/E85)*100</f>
        <v>#DIV/0!</v>
      </c>
      <c r="O85" s="16" t="e">
        <f t="shared" ref="O85:O92" si="23">AVERAGE(M85:N85)</f>
        <v>#DIV/0!</v>
      </c>
      <c r="P85" s="163"/>
      <c r="Q85" s="163"/>
      <c r="R85" s="163"/>
      <c r="S85" s="163"/>
      <c r="T85" s="163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</row>
    <row r="86" spans="1:58" x14ac:dyDescent="0.25">
      <c r="A86" s="9">
        <v>2</v>
      </c>
      <c r="B86" s="46">
        <v>0.99219999999999997</v>
      </c>
      <c r="C86" s="46"/>
      <c r="D86" s="46">
        <v>5.6505000000000001</v>
      </c>
      <c r="E86" s="48"/>
      <c r="F86" s="48">
        <v>2.3130999999999999</v>
      </c>
      <c r="G86" s="48"/>
      <c r="H86" s="181">
        <f t="shared" si="22"/>
        <v>28.355837966640188</v>
      </c>
      <c r="I86" s="181" t="e">
        <f t="shared" si="22"/>
        <v>#DIV/0!</v>
      </c>
      <c r="J86" s="13" t="e">
        <f>AVERAGE(I86)</f>
        <v>#DIV/0!</v>
      </c>
      <c r="K86" s="203"/>
      <c r="L86" s="203"/>
      <c r="M86" s="13">
        <f>((F86-K86)/D86)*100</f>
        <v>40.936200336253428</v>
      </c>
      <c r="N86" s="13" t="e">
        <f>((G86-L86)/E86)*100</f>
        <v>#DIV/0!</v>
      </c>
      <c r="O86" s="16" t="e">
        <f t="shared" si="23"/>
        <v>#DIV/0!</v>
      </c>
      <c r="P86" s="163"/>
      <c r="Q86" s="163"/>
      <c r="R86" s="163"/>
      <c r="S86" s="163"/>
      <c r="T86" s="163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23"/>
      <c r="AI86" s="169"/>
      <c r="AJ86" s="169"/>
      <c r="AK86" s="169"/>
      <c r="AL86" s="169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</row>
    <row r="87" spans="1:58" x14ac:dyDescent="0.25">
      <c r="A87" s="9">
        <v>3</v>
      </c>
      <c r="B87" s="49">
        <v>1.0009999999999999</v>
      </c>
      <c r="C87" s="49"/>
      <c r="D87" s="46">
        <v>5.3038999999999996</v>
      </c>
      <c r="E87" s="48"/>
      <c r="F87" s="48">
        <v>2.3125</v>
      </c>
      <c r="G87" s="48"/>
      <c r="H87" s="181">
        <f t="shared" si="22"/>
        <v>30.479444095842346</v>
      </c>
      <c r="I87" s="181" t="e">
        <f>(G87-C88)*100/(E87-C88)</f>
        <v>#DIV/0!</v>
      </c>
      <c r="J87" s="13" t="e">
        <f t="shared" ref="J87:J92" si="24">AVERAGE(H87:I87)</f>
        <v>#DIV/0!</v>
      </c>
      <c r="K87" s="203"/>
      <c r="L87" s="203"/>
      <c r="M87" s="13" t="e">
        <f>((F87-K87)/#REF!)*100</f>
        <v>#REF!</v>
      </c>
      <c r="N87" s="15" t="e">
        <f>((G87-L87)/E86)*100</f>
        <v>#DIV/0!</v>
      </c>
      <c r="O87" s="16" t="e">
        <f t="shared" si="23"/>
        <v>#REF!</v>
      </c>
      <c r="P87" s="163"/>
      <c r="Q87" s="163"/>
      <c r="R87" s="163"/>
      <c r="S87" s="163"/>
      <c r="T87" s="163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</row>
    <row r="88" spans="1:58" x14ac:dyDescent="0.25">
      <c r="A88" s="9">
        <v>4</v>
      </c>
      <c r="B88" s="48">
        <v>1.0026999999999999</v>
      </c>
      <c r="C88" s="48"/>
      <c r="D88" s="49">
        <v>5.5614999999999997</v>
      </c>
      <c r="E88" s="48"/>
      <c r="F88" s="48">
        <v>2.3631000000000002</v>
      </c>
      <c r="G88" s="48"/>
      <c r="H88" s="181">
        <f t="shared" si="22"/>
        <v>29.841186277090468</v>
      </c>
      <c r="I88" s="181" t="e">
        <f>(G88-#REF!)*100/(E88-#REF!)</f>
        <v>#REF!</v>
      </c>
      <c r="J88" s="13" t="e">
        <f t="shared" si="24"/>
        <v>#REF!</v>
      </c>
      <c r="K88" s="203"/>
      <c r="L88" s="203"/>
      <c r="M88" s="13" t="e">
        <f>((F88-K88)/#REF!)*100</f>
        <v>#REF!</v>
      </c>
      <c r="N88" s="15" t="e">
        <f>((G88-L88)/E88)*100</f>
        <v>#DIV/0!</v>
      </c>
      <c r="O88" s="16" t="e">
        <f t="shared" si="23"/>
        <v>#REF!</v>
      </c>
      <c r="P88" s="163"/>
      <c r="Q88" s="163"/>
      <c r="R88" s="163"/>
      <c r="S88" s="163"/>
      <c r="T88" s="163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</row>
    <row r="89" spans="1:58" x14ac:dyDescent="0.25">
      <c r="A89" s="9">
        <v>5</v>
      </c>
      <c r="B89" s="49">
        <v>0.99929999999999997</v>
      </c>
      <c r="C89" s="49"/>
      <c r="D89" s="49">
        <v>5.0259999999999998</v>
      </c>
      <c r="E89" s="49"/>
      <c r="F89" s="49">
        <v>2.2789000000000001</v>
      </c>
      <c r="G89" s="49"/>
      <c r="H89" s="181">
        <f>(F89-B89)*100/(D89-B89)</f>
        <v>31.777882633421918</v>
      </c>
      <c r="I89" s="181" t="e">
        <f t="shared" si="22"/>
        <v>#DIV/0!</v>
      </c>
      <c r="J89" s="13" t="e">
        <f t="shared" si="24"/>
        <v>#DIV/0!</v>
      </c>
      <c r="K89" s="203"/>
      <c r="L89" s="203"/>
      <c r="M89" s="13">
        <f t="shared" ref="M89:M92" si="25">((F89-K89)/D89)*100</f>
        <v>45.342220453641069</v>
      </c>
      <c r="N89" s="15" t="e">
        <f>((G89-L89)/E89)*100</f>
        <v>#DIV/0!</v>
      </c>
      <c r="O89" s="16" t="e">
        <f t="shared" si="23"/>
        <v>#DIV/0!</v>
      </c>
      <c r="P89" s="163"/>
      <c r="Q89" s="163"/>
      <c r="R89" s="163"/>
      <c r="S89" s="163"/>
      <c r="T89" s="163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</row>
    <row r="90" spans="1:58" x14ac:dyDescent="0.25">
      <c r="A90" s="9">
        <v>6</v>
      </c>
      <c r="B90" s="49"/>
      <c r="C90" s="49"/>
      <c r="D90" s="49"/>
      <c r="E90" s="49"/>
      <c r="F90" s="49"/>
      <c r="G90" s="49"/>
      <c r="H90" s="181" t="e">
        <f t="shared" si="22"/>
        <v>#DIV/0!</v>
      </c>
      <c r="I90" s="181" t="e">
        <f t="shared" si="22"/>
        <v>#DIV/0!</v>
      </c>
      <c r="J90" s="13" t="e">
        <f t="shared" si="24"/>
        <v>#DIV/0!</v>
      </c>
      <c r="K90" s="203"/>
      <c r="L90" s="203"/>
      <c r="M90" s="13" t="e">
        <f t="shared" si="25"/>
        <v>#DIV/0!</v>
      </c>
      <c r="N90" s="15" t="e">
        <f>((G90-L90)/E90)*100</f>
        <v>#DIV/0!</v>
      </c>
      <c r="O90" s="16" t="e">
        <f t="shared" si="23"/>
        <v>#DIV/0!</v>
      </c>
      <c r="P90" s="163"/>
      <c r="Q90" s="163"/>
      <c r="R90" s="163"/>
      <c r="S90" s="163"/>
      <c r="T90" s="163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</row>
    <row r="91" spans="1:58" x14ac:dyDescent="0.25">
      <c r="A91" s="215" t="s">
        <v>123</v>
      </c>
      <c r="B91" s="49">
        <v>0.99519999999999997</v>
      </c>
      <c r="C91" s="49"/>
      <c r="D91" s="49">
        <v>5.2039999999999997</v>
      </c>
      <c r="E91" s="49"/>
      <c r="F91" s="49">
        <v>2.3010000000000002</v>
      </c>
      <c r="G91" s="49"/>
      <c r="H91" s="181">
        <f t="shared" si="22"/>
        <v>31.025470442881584</v>
      </c>
      <c r="I91" s="181" t="e">
        <f t="shared" si="22"/>
        <v>#DIV/0!</v>
      </c>
      <c r="J91" s="13" t="e">
        <f t="shared" si="24"/>
        <v>#DIV/0!</v>
      </c>
      <c r="K91" s="203"/>
      <c r="L91" s="14"/>
      <c r="M91" s="13">
        <f t="shared" si="25"/>
        <v>44.21598770176788</v>
      </c>
      <c r="N91" s="15" t="e">
        <f>((G91-L91)/E91)*100</f>
        <v>#DIV/0!</v>
      </c>
      <c r="O91" s="16" t="e">
        <f t="shared" si="23"/>
        <v>#DIV/0!</v>
      </c>
      <c r="P91" s="163"/>
      <c r="Q91" s="163"/>
      <c r="R91" s="163"/>
      <c r="S91" s="163"/>
      <c r="T91" s="163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</row>
    <row r="92" spans="1:58" x14ac:dyDescent="0.25">
      <c r="A92" s="210" t="s">
        <v>124</v>
      </c>
      <c r="B92" s="51">
        <v>1.0085999999999999</v>
      </c>
      <c r="C92" s="51"/>
      <c r="D92" s="51">
        <v>5.008</v>
      </c>
      <c r="E92" s="51"/>
      <c r="F92" s="51" t="s">
        <v>304</v>
      </c>
      <c r="G92" s="51"/>
      <c r="H92" s="181" t="e">
        <f t="shared" si="22"/>
        <v>#VALUE!</v>
      </c>
      <c r="I92" s="181" t="e">
        <f t="shared" si="22"/>
        <v>#DIV/0!</v>
      </c>
      <c r="J92" s="13" t="e">
        <f t="shared" si="24"/>
        <v>#VALUE!</v>
      </c>
      <c r="K92" s="18"/>
      <c r="L92" s="18"/>
      <c r="M92" s="17" t="e">
        <f t="shared" si="25"/>
        <v>#VALUE!</v>
      </c>
      <c r="N92" s="19" t="e">
        <f>((G92-L92)/E92)*100</f>
        <v>#DIV/0!</v>
      </c>
      <c r="O92" s="20" t="e">
        <f t="shared" si="23"/>
        <v>#VALUE!</v>
      </c>
      <c r="P92" s="163"/>
      <c r="Q92" s="163"/>
      <c r="R92" s="163"/>
      <c r="S92" s="163"/>
      <c r="T92" s="163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</row>
    <row r="93" spans="1:58" x14ac:dyDescent="0.25">
      <c r="A93" s="264"/>
      <c r="B93" s="207"/>
      <c r="C93" s="271"/>
      <c r="D93" s="33"/>
      <c r="E93" s="187"/>
      <c r="F93" s="97"/>
      <c r="G93" s="97"/>
      <c r="H93" s="61">
        <f t="shared" ref="H93" si="26">F93-G93</f>
        <v>0</v>
      </c>
      <c r="I93" s="8" t="e">
        <f t="shared" ref="I93" si="27" xml:space="preserve"> (H93*$B$27*$B$19)/ (D93*$B$20*C93)</f>
        <v>#DIV/0!</v>
      </c>
      <c r="J93" s="32"/>
      <c r="K93" s="116"/>
      <c r="L93" s="32"/>
      <c r="M93" s="32"/>
      <c r="N93" s="188"/>
      <c r="O93" s="7"/>
      <c r="P93" s="187"/>
      <c r="Q93" s="187"/>
      <c r="R93" s="189"/>
      <c r="S93" s="190"/>
      <c r="T93" s="190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</row>
    <row r="94" spans="1:58" x14ac:dyDescent="0.25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</row>
    <row r="95" spans="1:58" x14ac:dyDescent="0.25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 t="s">
        <v>111</v>
      </c>
      <c r="M95" s="163"/>
      <c r="N95" s="163"/>
      <c r="O95" s="163"/>
    </row>
    <row r="96" spans="1:58" s="25" customFormat="1" ht="99" customHeight="1" x14ac:dyDescent="0.25">
      <c r="A96" s="58" t="s">
        <v>77</v>
      </c>
      <c r="B96" s="59" t="s">
        <v>125</v>
      </c>
      <c r="C96" s="59" t="s">
        <v>126</v>
      </c>
      <c r="D96" s="53" t="s">
        <v>127</v>
      </c>
      <c r="E96" s="60" t="s">
        <v>128</v>
      </c>
      <c r="F96" s="52" t="s">
        <v>129</v>
      </c>
      <c r="G96" s="55" t="s">
        <v>130</v>
      </c>
      <c r="H96" s="53" t="s">
        <v>131</v>
      </c>
      <c r="I96" s="216" t="s">
        <v>132</v>
      </c>
      <c r="J96" s="104" t="s">
        <v>133</v>
      </c>
      <c r="K96" s="104" t="s">
        <v>134</v>
      </c>
      <c r="L96" s="104" t="s">
        <v>135</v>
      </c>
      <c r="M96" s="105" t="s">
        <v>133</v>
      </c>
      <c r="N96" s="105" t="s">
        <v>134</v>
      </c>
      <c r="O96" s="105" t="s">
        <v>135</v>
      </c>
      <c r="P96" s="105" t="s">
        <v>136</v>
      </c>
      <c r="Q96" s="106" t="s">
        <v>137</v>
      </c>
      <c r="R96" s="107" t="s">
        <v>129</v>
      </c>
      <c r="S96" s="108" t="s">
        <v>130</v>
      </c>
      <c r="T96" s="108" t="s">
        <v>131</v>
      </c>
      <c r="U96" s="108" t="s">
        <v>132</v>
      </c>
      <c r="V96" s="108" t="s">
        <v>133</v>
      </c>
      <c r="W96" s="108" t="s">
        <v>134</v>
      </c>
      <c r="X96" s="108" t="s">
        <v>135</v>
      </c>
      <c r="Y96" s="110" t="s">
        <v>133</v>
      </c>
      <c r="Z96" s="110" t="s">
        <v>134</v>
      </c>
      <c r="AA96" s="110" t="s">
        <v>135</v>
      </c>
      <c r="AB96" s="111" t="s">
        <v>136</v>
      </c>
      <c r="AC96" s="52" t="s">
        <v>129</v>
      </c>
      <c r="AD96" s="55" t="s">
        <v>130</v>
      </c>
      <c r="AE96" s="53" t="s">
        <v>131</v>
      </c>
      <c r="AF96" s="55" t="s">
        <v>132</v>
      </c>
      <c r="AG96" s="53" t="s">
        <v>138</v>
      </c>
      <c r="AH96" s="53" t="s">
        <v>139</v>
      </c>
      <c r="AI96" s="53" t="s">
        <v>140</v>
      </c>
      <c r="AJ96" s="53" t="s">
        <v>141</v>
      </c>
      <c r="AK96" s="53" t="s">
        <v>142</v>
      </c>
      <c r="AL96" s="53" t="s">
        <v>143</v>
      </c>
      <c r="AM96" s="53" t="s">
        <v>144</v>
      </c>
      <c r="AN96" s="56" t="s">
        <v>138</v>
      </c>
      <c r="AO96" s="56" t="s">
        <v>139</v>
      </c>
      <c r="AP96" s="57" t="s">
        <v>140</v>
      </c>
      <c r="AQ96" s="56" t="s">
        <v>145</v>
      </c>
      <c r="AR96" s="54" t="s">
        <v>146</v>
      </c>
      <c r="AS96" s="52" t="s">
        <v>147</v>
      </c>
      <c r="AT96" s="53" t="s">
        <v>148</v>
      </c>
      <c r="AU96" s="53" t="s">
        <v>149</v>
      </c>
      <c r="AV96" s="53" t="s">
        <v>150</v>
      </c>
      <c r="AW96" s="54"/>
      <c r="AX96" s="160" t="s">
        <v>151</v>
      </c>
      <c r="AY96" s="160" t="s">
        <v>152</v>
      </c>
    </row>
    <row r="97" spans="1:65" s="122" customFormat="1" x14ac:dyDescent="0.25">
      <c r="A97" s="217">
        <f t="shared" ref="A97:A101" si="28">I33</f>
        <v>18.431928310812751</v>
      </c>
      <c r="B97" s="218">
        <f t="shared" ref="B97:B100" si="29">C41</f>
        <v>77.099999999999994</v>
      </c>
      <c r="C97" s="218">
        <f t="shared" ref="C97:C100" si="30">B41</f>
        <v>110.7</v>
      </c>
      <c r="D97" s="218">
        <f t="shared" ref="D97:D100" si="31">J62</f>
        <v>28.275563623167017</v>
      </c>
      <c r="E97" s="219">
        <f t="shared" ref="E97:E100" si="32">K51*1000</f>
        <v>1109.9999999999998</v>
      </c>
      <c r="F97" s="220">
        <f>AVERAGE(B97)</f>
        <v>77.099999999999994</v>
      </c>
      <c r="G97" s="218">
        <f>F97-B97</f>
        <v>0</v>
      </c>
      <c r="H97" s="218">
        <v>20</v>
      </c>
      <c r="I97" s="216">
        <f>IF(AND(G97&gt;H97,G98&gt;H98),1,2)</f>
        <v>2</v>
      </c>
      <c r="J97" s="216">
        <f>INDEX(A97:A102,MATCH(1,I97:I102,0))</f>
        <v>22.308272429910605</v>
      </c>
      <c r="K97" s="216">
        <f>INDEX(D97:D102,MATCH(1,I97:I102,0))</f>
        <v>29.738162187277691</v>
      </c>
      <c r="L97" s="216">
        <f>INDEX(E97:E102,MATCH(1,I97:I102,0))</f>
        <v>860.00000000001626</v>
      </c>
      <c r="M97" s="216">
        <f>J97</f>
        <v>22.308272429910605</v>
      </c>
      <c r="N97" s="216">
        <f>K97</f>
        <v>29.738162187277691</v>
      </c>
      <c r="O97" s="216">
        <f>L97</f>
        <v>860.00000000001626</v>
      </c>
      <c r="P97" s="216"/>
      <c r="Q97" s="252"/>
      <c r="R97" s="253">
        <f>AVERAGE(C97)</f>
        <v>110.7</v>
      </c>
      <c r="S97" s="249">
        <f>R97-C97</f>
        <v>0</v>
      </c>
      <c r="T97" s="248">
        <v>20</v>
      </c>
      <c r="U97" s="248">
        <f>IF(AND(S97&gt;T97,S98&lt;T98),1,2)</f>
        <v>2</v>
      </c>
      <c r="V97" s="248" t="e">
        <f>INDEX(A97:A101,MATCH(1,U97:U101,0))</f>
        <v>#N/A</v>
      </c>
      <c r="W97" s="248" t="e">
        <f>INDEX(D97:D101,MATCH(1,U97:U101,0))</f>
        <v>#N/A</v>
      </c>
      <c r="X97" s="248" t="e">
        <f>INDEX(E97:E101,MATCH(1,U97:U101,0))</f>
        <v>#N/A</v>
      </c>
      <c r="Y97" s="250">
        <f>IF(AB97=1,INDEX(A97:A101,MATCH(1,AX97:AX101,0)),V97)</f>
        <v>22.308272429910605</v>
      </c>
      <c r="Z97" s="249">
        <f>IF(AB97=1,INDEX(D97:D101,MATCH(1,AX97:AX101,0)),W97)</f>
        <v>29.738162187277691</v>
      </c>
      <c r="AA97" s="249">
        <f>IF(AB97=1,INDEX(E97:E101,MATCH(1,AX97:AX101,0)),X97)</f>
        <v>860.00000000001626</v>
      </c>
      <c r="AB97" s="282">
        <v>1</v>
      </c>
      <c r="AC97" s="256">
        <f>AVERAGE(D97)</f>
        <v>28.275563623167017</v>
      </c>
      <c r="AD97" s="251">
        <v>0</v>
      </c>
      <c r="AE97" s="251">
        <v>1</v>
      </c>
      <c r="AF97" s="251">
        <f>IF(AND(AD97&gt;AE97,AD98&lt;AE98),1,2)</f>
        <v>2</v>
      </c>
      <c r="AG97" s="251">
        <f>INDEX(A97:A101,MATCH(1,AF97:AF101,0))</f>
        <v>26.159896237457886</v>
      </c>
      <c r="AH97" s="251">
        <f>INDEX(D97:D101,MATCH(1,AF97:AF101,0))</f>
        <v>30.89843613042455</v>
      </c>
      <c r="AI97" s="251">
        <f>INDEX(E97:E101,MATCH(1,AF97:AF101,0))</f>
        <v>860.00000000000523</v>
      </c>
      <c r="AJ97" s="251">
        <v>812</v>
      </c>
      <c r="AK97" s="262">
        <f>IF(AND(ISNUMBER(AG97), AG97&lt;AJ97), AI97,"")</f>
        <v>860.00000000000523</v>
      </c>
      <c r="AL97" s="251"/>
      <c r="AM97" s="262">
        <f>IF((AJ97&gt;AK97),1,2)</f>
        <v>2</v>
      </c>
      <c r="AN97" s="250">
        <f>IF(AQ97=1,INDEX(A97:A101,MATCH(1,AY97:AY101,0)),AG97)</f>
        <v>20.461092512461455</v>
      </c>
      <c r="AO97" s="251">
        <f>IF(AQ97=1,INDEX(D97:D101,MATCH(1,AY97:AY101,0)),AH97)</f>
        <v>28.385703727185955</v>
      </c>
      <c r="AP97" s="251">
        <f>IF(AQ97=1,INDEX(E97:E101,MATCH(1,AY97:AY101,0)),AI97)</f>
        <v>945.00000000000693</v>
      </c>
      <c r="AQ97" s="283">
        <v>1</v>
      </c>
      <c r="AR97" s="254"/>
      <c r="AS97" s="263">
        <f>D15</f>
        <v>24.348958333333332</v>
      </c>
      <c r="AT97" s="251">
        <f>J68</f>
        <v>30.552190583380355</v>
      </c>
      <c r="AU97" s="251">
        <f>K57*1000</f>
        <v>1010.0000000000109</v>
      </c>
      <c r="AV97" s="251">
        <f>J69</f>
        <v>3.8360505123955484</v>
      </c>
      <c r="AW97" s="257"/>
      <c r="AX97" s="260"/>
      <c r="AY97" s="261"/>
      <c r="AZ97" s="225"/>
      <c r="BA97" s="225"/>
      <c r="BB97" s="225"/>
      <c r="BC97" s="225"/>
      <c r="BD97" s="225"/>
      <c r="BE97" s="225"/>
      <c r="BF97" s="225"/>
      <c r="BG97" s="225"/>
      <c r="BH97" s="225"/>
      <c r="BI97" s="225"/>
      <c r="BJ97" s="225"/>
      <c r="BK97" s="225"/>
      <c r="BL97" s="225"/>
      <c r="BM97" s="225"/>
    </row>
    <row r="98" spans="1:65" s="122" customFormat="1" x14ac:dyDescent="0.25">
      <c r="A98" s="217">
        <f t="shared" si="28"/>
        <v>20.461092512461455</v>
      </c>
      <c r="B98" s="218">
        <f t="shared" si="29"/>
        <v>57.2</v>
      </c>
      <c r="C98" s="218">
        <f t="shared" si="30"/>
        <v>105</v>
      </c>
      <c r="D98" s="218">
        <f t="shared" si="31"/>
        <v>28.385703727185955</v>
      </c>
      <c r="E98" s="219">
        <f t="shared" si="32"/>
        <v>945.00000000000693</v>
      </c>
      <c r="F98" s="220">
        <f>AVERAGE(B97:B98)</f>
        <v>67.150000000000006</v>
      </c>
      <c r="G98" s="218">
        <f>(F97-B98)*100/F97</f>
        <v>25.810635538261987</v>
      </c>
      <c r="H98" s="218">
        <v>20</v>
      </c>
      <c r="I98" s="216">
        <f>IF(AND(G97&gt;H97,G98&gt;H98,G99&lt;H99),1,2)</f>
        <v>2</v>
      </c>
      <c r="J98" s="216"/>
      <c r="K98" s="216"/>
      <c r="L98" s="216"/>
      <c r="M98" s="226"/>
      <c r="N98" s="216"/>
      <c r="O98" s="216"/>
      <c r="P98" s="216"/>
      <c r="Q98" s="252"/>
      <c r="R98" s="253">
        <f t="shared" ref="R98:R101" si="33">AVERAGE(C97:C98)</f>
        <v>107.85</v>
      </c>
      <c r="S98" s="249">
        <f t="shared" ref="S98:S101" si="34">(R97-C98)*100/R97</f>
        <v>5.149051490514907</v>
      </c>
      <c r="T98" s="248">
        <v>20</v>
      </c>
      <c r="U98" s="248">
        <f>IF(AND(S97&gt;T97,S98&gt;T98,S99&lt;T99),1,2)</f>
        <v>2</v>
      </c>
      <c r="V98" s="248"/>
      <c r="W98" s="248"/>
      <c r="X98" s="248"/>
      <c r="Y98" s="249"/>
      <c r="Z98" s="249"/>
      <c r="AA98" s="249"/>
      <c r="AB98" s="255"/>
      <c r="AC98" s="256">
        <f t="shared" ref="AC98:AC101" si="35">AVERAGE(D97:D98)</f>
        <v>28.330633675176486</v>
      </c>
      <c r="AD98" s="251">
        <v>7.8009136625751321</v>
      </c>
      <c r="AE98" s="251">
        <v>1</v>
      </c>
      <c r="AF98" s="251">
        <f>IF(AND(AD97&gt;AE97,AD98&gt;AE98,AD99&lt;AE99),1,2)</f>
        <v>2</v>
      </c>
      <c r="AG98" s="251"/>
      <c r="AH98" s="251"/>
      <c r="AI98" s="251"/>
      <c r="AJ98" s="251"/>
      <c r="AK98" s="251"/>
      <c r="AL98" s="251"/>
      <c r="AM98" s="251"/>
      <c r="AN98" s="251"/>
      <c r="AO98" s="251"/>
      <c r="AP98" s="251"/>
      <c r="AQ98" s="251"/>
      <c r="AR98" s="254"/>
      <c r="AS98" s="263"/>
      <c r="AT98" s="251"/>
      <c r="AU98" s="251"/>
      <c r="AV98" s="251"/>
      <c r="AW98" s="257"/>
      <c r="AX98" s="258"/>
      <c r="AY98" s="259">
        <v>1</v>
      </c>
      <c r="AZ98" s="225"/>
      <c r="BA98" s="225"/>
      <c r="BB98" s="225"/>
      <c r="BC98" s="225"/>
      <c r="BD98" s="225"/>
      <c r="BE98" s="225"/>
      <c r="BF98" s="225"/>
      <c r="BG98" s="225"/>
      <c r="BH98" s="225"/>
      <c r="BI98" s="225"/>
      <c r="BJ98" s="225"/>
      <c r="BK98" s="225"/>
      <c r="BL98" s="225"/>
      <c r="BM98" s="225"/>
    </row>
    <row r="99" spans="1:65" s="122" customFormat="1" x14ac:dyDescent="0.25">
      <c r="A99" s="217">
        <f t="shared" si="28"/>
        <v>22.308272429910605</v>
      </c>
      <c r="B99" s="218">
        <f t="shared" si="29"/>
        <v>34.4</v>
      </c>
      <c r="C99" s="218">
        <f t="shared" si="30"/>
        <v>53.4</v>
      </c>
      <c r="D99" s="218">
        <f t="shared" si="31"/>
        <v>29.738162187277691</v>
      </c>
      <c r="E99" s="219">
        <f t="shared" si="32"/>
        <v>860.00000000001626</v>
      </c>
      <c r="F99" s="220">
        <f>AVERAGE(B98:B99)</f>
        <v>45.8</v>
      </c>
      <c r="G99" s="218">
        <f>(F98-B99)*100/F98</f>
        <v>48.771407297096061</v>
      </c>
      <c r="H99" s="218">
        <v>20</v>
      </c>
      <c r="I99" s="216">
        <f>IF(AND(G98&gt;H98,G99&gt;H99,G100&lt;H100),1,2)</f>
        <v>1</v>
      </c>
      <c r="J99" s="216"/>
      <c r="K99" s="216"/>
      <c r="L99" s="216"/>
      <c r="M99" s="216"/>
      <c r="N99" s="216"/>
      <c r="O99" s="216"/>
      <c r="P99" s="216"/>
      <c r="Q99" s="252"/>
      <c r="R99" s="253">
        <f t="shared" si="33"/>
        <v>79.2</v>
      </c>
      <c r="S99" s="249">
        <f t="shared" si="34"/>
        <v>50.486787204450629</v>
      </c>
      <c r="T99" s="248">
        <v>20</v>
      </c>
      <c r="U99" s="248">
        <f>IF(AND(S98&gt;T98,S99&gt;T99,S100&lt;T100),1,2)</f>
        <v>2</v>
      </c>
      <c r="V99" s="248"/>
      <c r="W99" s="248"/>
      <c r="X99" s="248"/>
      <c r="Y99" s="249"/>
      <c r="Z99" s="249"/>
      <c r="AA99" s="249"/>
      <c r="AB99" s="255"/>
      <c r="AC99" s="256">
        <f t="shared" si="35"/>
        <v>29.061932957231825</v>
      </c>
      <c r="AD99" s="251">
        <v>5.5282039457338481</v>
      </c>
      <c r="AE99" s="251">
        <v>1</v>
      </c>
      <c r="AF99" s="251">
        <f>IF(AND(AD98&gt;AE98,AD99&gt;AE99,AD100&lt;AE100),1,2)</f>
        <v>2</v>
      </c>
      <c r="AG99" s="251"/>
      <c r="AH99" s="251"/>
      <c r="AI99" s="251"/>
      <c r="AJ99" s="251"/>
      <c r="AK99" s="251"/>
      <c r="AL99" s="251"/>
      <c r="AM99" s="251"/>
      <c r="AN99" s="251"/>
      <c r="AO99" s="251"/>
      <c r="AP99" s="251"/>
      <c r="AQ99" s="251"/>
      <c r="AR99" s="254"/>
      <c r="AS99" s="263"/>
      <c r="AT99" s="251"/>
      <c r="AU99" s="251"/>
      <c r="AV99" s="251"/>
      <c r="AW99" s="257"/>
      <c r="AX99" s="258">
        <v>1</v>
      </c>
      <c r="AY99" s="259"/>
      <c r="AZ99" s="225"/>
      <c r="BA99" s="225"/>
      <c r="BB99" s="225"/>
      <c r="BC99" s="225"/>
      <c r="BD99" s="225"/>
      <c r="BE99" s="225"/>
      <c r="BF99" s="225"/>
      <c r="BG99" s="225"/>
      <c r="BH99" s="225"/>
      <c r="BI99" s="225"/>
      <c r="BJ99" s="225"/>
      <c r="BK99" s="225"/>
      <c r="BL99" s="225"/>
      <c r="BM99" s="225"/>
    </row>
    <row r="100" spans="1:65" s="122" customFormat="1" x14ac:dyDescent="0.25">
      <c r="A100" s="217">
        <f t="shared" si="28"/>
        <v>24.307679476896674</v>
      </c>
      <c r="B100" s="218">
        <f t="shared" si="29"/>
        <v>61.4</v>
      </c>
      <c r="C100" s="218">
        <f t="shared" si="30"/>
        <v>76.099999999999994</v>
      </c>
      <c r="D100" s="218">
        <f t="shared" si="31"/>
        <v>29.070051811578828</v>
      </c>
      <c r="E100" s="219">
        <f t="shared" si="32"/>
        <v>755.00000000000568</v>
      </c>
      <c r="F100" s="220">
        <f>AVERAGE(B99:B100)</f>
        <v>47.9</v>
      </c>
      <c r="G100" s="218">
        <f>(F99-B100)*100/F99</f>
        <v>-34.061135371179049</v>
      </c>
      <c r="H100" s="218">
        <v>20</v>
      </c>
      <c r="I100" s="216">
        <f>IF(AND(G99&gt;H99,G100&gt;H100,G101&lt;H101),1,2)</f>
        <v>2</v>
      </c>
      <c r="J100" s="216"/>
      <c r="K100" s="216"/>
      <c r="L100" s="216"/>
      <c r="M100" s="216"/>
      <c r="N100" s="216"/>
      <c r="O100" s="216"/>
      <c r="P100" s="216"/>
      <c r="Q100" s="252"/>
      <c r="R100" s="253">
        <f t="shared" si="33"/>
        <v>64.75</v>
      </c>
      <c r="S100" s="249">
        <f t="shared" si="34"/>
        <v>3.9141414141414246</v>
      </c>
      <c r="T100" s="248">
        <v>20</v>
      </c>
      <c r="U100" s="248">
        <f>IF(AND(S99&gt;T99,S100&gt;T100,S101&lt;T101),1,2)</f>
        <v>2</v>
      </c>
      <c r="V100" s="248"/>
      <c r="W100" s="248"/>
      <c r="X100" s="248"/>
      <c r="Y100" s="249"/>
      <c r="Z100" s="249"/>
      <c r="AA100" s="249"/>
      <c r="AB100" s="255"/>
      <c r="AC100" s="256">
        <f t="shared" si="35"/>
        <v>29.404106999428258</v>
      </c>
      <c r="AD100" s="251">
        <v>2.4617467123040333</v>
      </c>
      <c r="AE100" s="251">
        <v>1</v>
      </c>
      <c r="AF100" s="251">
        <f>IF(AND(AD99&gt;AE99,AD100&gt;AE100,AD101&lt;AE101),1,2)</f>
        <v>2</v>
      </c>
      <c r="AG100" s="251"/>
      <c r="AH100" s="251"/>
      <c r="AI100" s="251"/>
      <c r="AJ100" s="251"/>
      <c r="AK100" s="251"/>
      <c r="AL100" s="251"/>
      <c r="AM100" s="251"/>
      <c r="AN100" s="251"/>
      <c r="AO100" s="251"/>
      <c r="AP100" s="251"/>
      <c r="AQ100" s="251"/>
      <c r="AR100" s="254"/>
      <c r="AS100" s="263"/>
      <c r="AT100" s="251"/>
      <c r="AU100" s="251"/>
      <c r="AV100" s="251"/>
      <c r="AW100" s="257"/>
      <c r="AX100" s="258"/>
      <c r="AY100" s="259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5"/>
      <c r="BJ100" s="225"/>
      <c r="BK100" s="225"/>
      <c r="BL100" s="225"/>
      <c r="BM100" s="225"/>
    </row>
    <row r="101" spans="1:65" s="122" customFormat="1" x14ac:dyDescent="0.25">
      <c r="A101" s="217">
        <f t="shared" si="28"/>
        <v>26.159896237457886</v>
      </c>
      <c r="B101" s="218">
        <f>C45</f>
        <v>49.7</v>
      </c>
      <c r="C101" s="218">
        <f>B45</f>
        <v>77.099999999999994</v>
      </c>
      <c r="D101" s="218">
        <f>J66</f>
        <v>30.89843613042455</v>
      </c>
      <c r="E101" s="219">
        <f>K55*1000</f>
        <v>860.00000000000523</v>
      </c>
      <c r="F101" s="220">
        <f>AVERAGE(B100:B101)</f>
        <v>55.55</v>
      </c>
      <c r="G101" s="218">
        <f>(F100-B101)*100/F100</f>
        <v>-3.7578288100208859</v>
      </c>
      <c r="H101" s="218">
        <v>20</v>
      </c>
      <c r="I101" s="216">
        <f>IF(AND(G100&gt;H100,G101&gt;H101),1,2)</f>
        <v>2</v>
      </c>
      <c r="J101" s="216"/>
      <c r="K101" s="216"/>
      <c r="L101" s="216"/>
      <c r="M101" s="216"/>
      <c r="N101" s="216"/>
      <c r="O101" s="216"/>
      <c r="P101" s="216"/>
      <c r="Q101" s="252"/>
      <c r="R101" s="253">
        <f t="shared" si="33"/>
        <v>76.599999999999994</v>
      </c>
      <c r="S101" s="249">
        <f t="shared" si="34"/>
        <v>-19.073359073359068</v>
      </c>
      <c r="T101" s="248">
        <v>20</v>
      </c>
      <c r="U101" s="248">
        <f>IF(AND(S100&gt;T100,S101&gt;T101),1,2)</f>
        <v>2</v>
      </c>
      <c r="V101" s="248"/>
      <c r="W101" s="248"/>
      <c r="X101" s="248"/>
      <c r="Y101" s="249"/>
      <c r="Z101" s="249"/>
      <c r="AA101" s="249"/>
      <c r="AB101" s="255"/>
      <c r="AC101" s="256">
        <f t="shared" si="35"/>
        <v>29.984243971001689</v>
      </c>
      <c r="AD101" s="251">
        <v>1.1534192292633458</v>
      </c>
      <c r="AE101" s="251">
        <v>1</v>
      </c>
      <c r="AF101" s="251">
        <f>IF(AND(AD100&gt;AE100,AD101&gt;AE101),1,2)</f>
        <v>1</v>
      </c>
      <c r="AG101" s="251"/>
      <c r="AH101" s="251"/>
      <c r="AI101" s="251"/>
      <c r="AJ101" s="251"/>
      <c r="AK101" s="251"/>
      <c r="AL101" s="251"/>
      <c r="AM101" s="251"/>
      <c r="AN101" s="251"/>
      <c r="AO101" s="251"/>
      <c r="AP101" s="251"/>
      <c r="AQ101" s="251"/>
      <c r="AR101" s="254"/>
      <c r="AS101" s="263"/>
      <c r="AT101" s="251"/>
      <c r="AU101" s="251"/>
      <c r="AV101" s="251"/>
      <c r="AW101" s="257"/>
      <c r="AX101" s="258"/>
      <c r="AY101" s="259"/>
      <c r="AZ101" s="225"/>
      <c r="BA101" s="225"/>
      <c r="BB101" s="225"/>
      <c r="BC101" s="225"/>
      <c r="BD101" s="225"/>
      <c r="BE101" s="225"/>
      <c r="BF101" s="225"/>
      <c r="BG101" s="225"/>
      <c r="BH101" s="225"/>
      <c r="BI101" s="225"/>
      <c r="BJ101" s="225"/>
      <c r="BK101" s="225"/>
      <c r="BL101" s="225"/>
      <c r="BM101" s="225"/>
    </row>
    <row r="102" spans="1:65" s="122" customFormat="1" ht="17.45" customHeight="1" x14ac:dyDescent="0.25">
      <c r="A102" s="217"/>
      <c r="B102" s="218"/>
      <c r="C102" s="218"/>
      <c r="D102" s="218"/>
      <c r="E102" s="219"/>
      <c r="F102" s="220"/>
      <c r="G102" s="218"/>
      <c r="H102" s="218"/>
      <c r="I102" s="216"/>
      <c r="J102" s="216"/>
      <c r="K102" s="216"/>
      <c r="L102" s="216"/>
      <c r="M102" s="216"/>
      <c r="N102" s="216"/>
      <c r="O102" s="216"/>
      <c r="P102" s="216"/>
      <c r="Q102" s="252"/>
      <c r="R102" s="253"/>
      <c r="S102" s="249"/>
      <c r="T102" s="248"/>
      <c r="U102" s="248"/>
      <c r="V102" s="248"/>
      <c r="W102" s="248"/>
      <c r="X102" s="248"/>
      <c r="Y102" s="249"/>
      <c r="Z102" s="249"/>
      <c r="AA102" s="249"/>
      <c r="AB102" s="255"/>
      <c r="AC102" s="256"/>
      <c r="AD102" s="251"/>
      <c r="AE102" s="251"/>
      <c r="AF102" s="251"/>
      <c r="AG102" s="251"/>
      <c r="AH102" s="251"/>
      <c r="AI102" s="251"/>
      <c r="AJ102" s="251"/>
      <c r="AK102" s="251"/>
      <c r="AL102" s="251"/>
      <c r="AM102" s="251"/>
      <c r="AN102" s="251"/>
      <c r="AO102" s="251"/>
      <c r="AP102" s="251"/>
      <c r="AQ102" s="251"/>
      <c r="AR102" s="254"/>
      <c r="AS102" s="263"/>
      <c r="AT102" s="251"/>
      <c r="AU102" s="251"/>
      <c r="AV102" s="251"/>
      <c r="AW102" s="257"/>
      <c r="AX102" s="258"/>
      <c r="AY102" s="259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5"/>
      <c r="BJ102" s="225"/>
      <c r="BK102" s="225"/>
      <c r="BL102" s="225"/>
      <c r="BM102" s="225"/>
    </row>
    <row r="103" spans="1:65" s="122" customFormat="1" ht="17.45" customHeight="1" x14ac:dyDescent="0.25">
      <c r="A103" s="217"/>
      <c r="B103" s="218"/>
      <c r="C103" s="218"/>
      <c r="D103" s="218"/>
      <c r="E103" s="219"/>
      <c r="F103" s="220"/>
      <c r="G103" s="218"/>
      <c r="H103" s="218"/>
      <c r="I103" s="216"/>
      <c r="J103" s="216"/>
      <c r="K103" s="216"/>
      <c r="L103" s="216"/>
      <c r="M103" s="216"/>
      <c r="N103" s="216"/>
      <c r="O103" s="216"/>
      <c r="P103" s="216"/>
      <c r="Q103" s="252"/>
      <c r="R103" s="253"/>
      <c r="S103" s="249"/>
      <c r="T103" s="248"/>
      <c r="U103" s="248"/>
      <c r="V103" s="248"/>
      <c r="W103" s="248"/>
      <c r="X103" s="248"/>
      <c r="Y103" s="249"/>
      <c r="Z103" s="249"/>
      <c r="AA103" s="249"/>
      <c r="AB103" s="255"/>
      <c r="AC103" s="256"/>
      <c r="AD103" s="251"/>
      <c r="AE103" s="251"/>
      <c r="AF103" s="251"/>
      <c r="AG103" s="251"/>
      <c r="AH103" s="251"/>
      <c r="AI103" s="251"/>
      <c r="AJ103" s="251"/>
      <c r="AK103" s="251"/>
      <c r="AL103" s="251"/>
      <c r="AM103" s="251"/>
      <c r="AN103" s="251"/>
      <c r="AO103" s="251"/>
      <c r="AP103" s="251"/>
      <c r="AQ103" s="251"/>
      <c r="AR103" s="254"/>
      <c r="AS103" s="263"/>
      <c r="AT103" s="251"/>
      <c r="AU103" s="251"/>
      <c r="AV103" s="251"/>
      <c r="AW103" s="257"/>
      <c r="AX103" s="258"/>
      <c r="AY103" s="259"/>
      <c r="AZ103" s="225"/>
      <c r="BA103" s="225"/>
      <c r="BB103" s="225"/>
      <c r="BC103" s="225"/>
      <c r="BD103" s="225"/>
      <c r="BE103" s="225"/>
      <c r="BF103" s="225"/>
      <c r="BG103" s="225"/>
      <c r="BH103" s="225"/>
      <c r="BI103" s="225"/>
      <c r="BJ103" s="225"/>
      <c r="BK103" s="225"/>
      <c r="BL103" s="225"/>
      <c r="BM103" s="225"/>
    </row>
    <row r="108" spans="1:65" x14ac:dyDescent="0.25">
      <c r="I108" s="182" t="s">
        <v>153</v>
      </c>
    </row>
  </sheetData>
  <mergeCells count="23">
    <mergeCell ref="V13:W13"/>
    <mergeCell ref="U5:AL7"/>
    <mergeCell ref="A6:D6"/>
    <mergeCell ref="F6:J6"/>
    <mergeCell ref="V10:X11"/>
    <mergeCell ref="AI10:AK11"/>
    <mergeCell ref="A31:R31"/>
    <mergeCell ref="V14:W14"/>
    <mergeCell ref="AF16:AK17"/>
    <mergeCell ref="A17:C17"/>
    <mergeCell ref="AF18:AG20"/>
    <mergeCell ref="AF21:AG21"/>
    <mergeCell ref="AF22:AG22"/>
    <mergeCell ref="A23:C23"/>
    <mergeCell ref="AF23:AG23"/>
    <mergeCell ref="AF24:AG24"/>
    <mergeCell ref="AF25:AG25"/>
    <mergeCell ref="A26:C26"/>
    <mergeCell ref="D40:H40"/>
    <mergeCell ref="I40:M40"/>
    <mergeCell ref="A49:P49"/>
    <mergeCell ref="A60:O60"/>
    <mergeCell ref="A74:P74"/>
  </mergeCells>
  <conditionalFormatting sqref="AI21">
    <cfRule type="cellIs" dxfId="43" priority="1" operator="lessThan">
      <formula>3</formula>
    </cfRule>
    <cfRule type="cellIs" dxfId="42" priority="2" operator="greaterThan">
      <formula>3.9</formula>
    </cfRule>
    <cfRule type="cellIs" dxfId="41" priority="3" operator="between">
      <formula>3</formula>
      <formula>3.9</formula>
    </cfRule>
    <cfRule type="cellIs" dxfId="40" priority="4" operator="between">
      <formula>3</formula>
      <formula>3.9</formula>
    </cfRule>
    <cfRule type="cellIs" dxfId="39" priority="8" operator="between">
      <formula>3.15</formula>
      <formula>3.85</formula>
    </cfRule>
  </conditionalFormatting>
  <conditionalFormatting sqref="AI25">
    <cfRule type="cellIs" dxfId="38" priority="7" operator="lessThan">
      <formula>812</formula>
    </cfRule>
  </conditionalFormatting>
  <conditionalFormatting sqref="AI25:AK25">
    <cfRule type="cellIs" dxfId="37" priority="5" operator="greaterThan">
      <formula>1000</formula>
    </cfRule>
  </conditionalFormatting>
  <conditionalFormatting sqref="AJ25:AK25">
    <cfRule type="cellIs" dxfId="36" priority="6" operator="lessThan">
      <formula>1000</formula>
    </cfRule>
  </conditionalFormatting>
  <printOptions horizontalCentered="1"/>
  <pageMargins left="0.25" right="0.25" top="0" bottom="0" header="0.3" footer="0.3"/>
  <pageSetup paperSize="9" scale="40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B165-1554-4E6C-B588-4FF907A38B65}">
  <sheetPr codeName="Sheet152">
    <pageSetUpPr fitToPage="1"/>
  </sheetPr>
  <dimension ref="A1:BM108"/>
  <sheetViews>
    <sheetView tabSelected="1" zoomScale="52" zoomScaleNormal="100" workbookViewId="0">
      <selection activeCell="B19" sqref="B19"/>
    </sheetView>
  </sheetViews>
  <sheetFormatPr defaultColWidth="8.7109375" defaultRowHeight="15.75" outlineLevelRow="2" x14ac:dyDescent="0.25"/>
  <cols>
    <col min="1" max="1" width="39.42578125" style="182" customWidth="1"/>
    <col min="2" max="2" width="26.28515625" style="182" customWidth="1"/>
    <col min="3" max="3" width="32.28515625" style="182" customWidth="1"/>
    <col min="4" max="4" width="22.28515625" style="182" bestFit="1" customWidth="1"/>
    <col min="5" max="5" width="23.28515625" style="182" bestFit="1" customWidth="1"/>
    <col min="6" max="6" width="25.85546875" style="182" bestFit="1" customWidth="1"/>
    <col min="7" max="8" width="16.85546875" style="182" bestFit="1" customWidth="1"/>
    <col min="9" max="9" width="18.42578125" style="182" customWidth="1"/>
    <col min="10" max="10" width="15.85546875" style="182" bestFit="1" customWidth="1"/>
    <col min="11" max="11" width="16.5703125" style="182" bestFit="1" customWidth="1"/>
    <col min="12" max="12" width="16.85546875" style="182" bestFit="1" customWidth="1"/>
    <col min="13" max="13" width="17.28515625" style="182" bestFit="1" customWidth="1"/>
    <col min="14" max="14" width="10.7109375" style="182" bestFit="1" customWidth="1"/>
    <col min="15" max="15" width="11.140625" style="182" bestFit="1" customWidth="1"/>
    <col min="16" max="16" width="18.85546875" style="182" bestFit="1" customWidth="1"/>
    <col min="17" max="17" width="11.140625" style="182" bestFit="1" customWidth="1"/>
    <col min="18" max="18" width="11.85546875" style="182" bestFit="1" customWidth="1"/>
    <col min="19" max="21" width="11.7109375" style="182" customWidth="1"/>
    <col min="22" max="22" width="27.28515625" style="182" bestFit="1" customWidth="1"/>
    <col min="23" max="25" width="11.7109375" style="182" customWidth="1"/>
    <col min="26" max="26" width="21.28515625" style="182" customWidth="1"/>
    <col min="27" max="33" width="11.7109375" style="182" customWidth="1"/>
    <col min="34" max="34" width="17.7109375" style="182" bestFit="1" customWidth="1"/>
    <col min="35" max="35" width="11.7109375" style="182" customWidth="1"/>
    <col min="36" max="36" width="13.28515625" style="182" bestFit="1" customWidth="1"/>
    <col min="37" max="37" width="14.7109375" style="182" bestFit="1" customWidth="1"/>
    <col min="38" max="38" width="11.7109375" style="182" customWidth="1"/>
    <col min="39" max="39" width="9.42578125" style="182" customWidth="1"/>
    <col min="40" max="40" width="8.28515625" style="182" bestFit="1" customWidth="1"/>
    <col min="41" max="41" width="7.42578125" style="182" bestFit="1" customWidth="1"/>
    <col min="42" max="43" width="9.28515625" style="182" bestFit="1" customWidth="1"/>
    <col min="44" max="44" width="8.42578125" style="182" bestFit="1" customWidth="1"/>
    <col min="45" max="64" width="9.28515625" style="182" bestFit="1" customWidth="1"/>
    <col min="65" max="65" width="8.7109375" style="182" customWidth="1"/>
    <col min="66" max="16384" width="8.7109375" style="182"/>
  </cols>
  <sheetData>
    <row r="1" spans="1:58" x14ac:dyDescent="0.25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25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25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25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thickBot="1" x14ac:dyDescent="0.3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322" t="s">
        <v>290</v>
      </c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324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ht="15.6" customHeight="1" thickBot="1" x14ac:dyDescent="0.3">
      <c r="A6" s="328" t="s">
        <v>6</v>
      </c>
      <c r="B6" s="329"/>
      <c r="C6" s="329"/>
      <c r="D6" s="330"/>
      <c r="E6" s="163"/>
      <c r="F6" s="331" t="s">
        <v>7</v>
      </c>
      <c r="G6" s="332"/>
      <c r="H6" s="332"/>
      <c r="I6" s="332"/>
      <c r="J6" s="332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325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6"/>
      <c r="AL6" s="327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ht="15.6" customHeight="1" thickBot="1" x14ac:dyDescent="0.3">
      <c r="A7" s="2" t="s">
        <v>8</v>
      </c>
      <c r="B7" s="161">
        <v>0.35416666666666669</v>
      </c>
      <c r="C7" s="166"/>
      <c r="D7" s="167"/>
      <c r="E7" s="163"/>
      <c r="F7" s="62"/>
      <c r="G7" s="63"/>
      <c r="H7" s="63"/>
      <c r="I7" s="68" t="s">
        <v>9</v>
      </c>
      <c r="J7" s="69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25"/>
      <c r="V7" s="326"/>
      <c r="W7" s="326"/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6"/>
      <c r="AI7" s="326"/>
      <c r="AJ7" s="326"/>
      <c r="AK7" s="326"/>
      <c r="AL7" s="327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ht="16.5" thickBot="1" x14ac:dyDescent="0.3">
      <c r="A8" s="168" t="s">
        <v>10</v>
      </c>
      <c r="B8" s="26" t="s">
        <v>305</v>
      </c>
      <c r="C8" s="166" t="s">
        <v>11</v>
      </c>
      <c r="D8" s="167">
        <f>D10*B11*8.34*10000</f>
        <v>2895.7547519999998</v>
      </c>
      <c r="E8" s="163"/>
      <c r="F8" s="64" t="s">
        <v>8</v>
      </c>
      <c r="G8" s="281">
        <f>B7</f>
        <v>0.35416666666666669</v>
      </c>
      <c r="H8" s="64"/>
      <c r="I8" s="64"/>
      <c r="J8" s="64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ht="16.5" thickBot="1" x14ac:dyDescent="0.3">
      <c r="A9" s="2" t="s">
        <v>12</v>
      </c>
      <c r="B9" s="26">
        <v>0.17599999999999999</v>
      </c>
      <c r="C9" s="170" t="s">
        <v>13</v>
      </c>
      <c r="D9" s="171">
        <f>B9*B10</f>
        <v>96.447999999999993</v>
      </c>
      <c r="E9" s="163"/>
      <c r="F9" s="64"/>
      <c r="G9" s="159" t="s">
        <v>14</v>
      </c>
      <c r="H9" s="159" t="s">
        <v>15</v>
      </c>
      <c r="I9" s="159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ht="19.5" customHeight="1" thickBot="1" x14ac:dyDescent="0.3">
      <c r="A10" s="2" t="s">
        <v>18</v>
      </c>
      <c r="B10" s="27">
        <v>548</v>
      </c>
      <c r="C10" s="170" t="s">
        <v>19</v>
      </c>
      <c r="D10" s="171">
        <f>D9*1440/1000000</f>
        <v>0.13888512</v>
      </c>
      <c r="E10" s="163"/>
      <c r="F10" s="64" t="s">
        <v>20</v>
      </c>
      <c r="G10" s="65" t="s">
        <v>21</v>
      </c>
      <c r="H10" s="71">
        <f>B13</f>
        <v>3.77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9"/>
      <c r="V10" s="333" t="s">
        <v>22</v>
      </c>
      <c r="W10" s="334"/>
      <c r="X10" s="335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338" t="s">
        <v>23</v>
      </c>
      <c r="AJ10" s="339"/>
      <c r="AK10" s="340"/>
      <c r="AL10" s="169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ht="15.6" customHeight="1" thickBot="1" x14ac:dyDescent="0.3">
      <c r="A11" s="2" t="s">
        <v>24</v>
      </c>
      <c r="B11" s="43">
        <v>0.25</v>
      </c>
      <c r="C11" s="170" t="s">
        <v>25</v>
      </c>
      <c r="D11" s="171">
        <f>B10*1440/1000000</f>
        <v>0.78912000000000004</v>
      </c>
      <c r="E11" s="163"/>
      <c r="F11" s="64" t="s">
        <v>26</v>
      </c>
      <c r="G11" s="65" t="s">
        <v>27</v>
      </c>
      <c r="H11" s="73">
        <f>B9</f>
        <v>0.17599999999999999</v>
      </c>
      <c r="I11" s="73">
        <f>B9</f>
        <v>0.17599999999999999</v>
      </c>
      <c r="J11" s="73">
        <f>B9</f>
        <v>0.17599999999999999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9"/>
      <c r="V11" s="336"/>
      <c r="W11" s="300"/>
      <c r="X11" s="337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341"/>
      <c r="AJ11" s="342"/>
      <c r="AK11" s="343"/>
      <c r="AL11" s="169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ht="19.5" thickBot="1" x14ac:dyDescent="0.35">
      <c r="A12" s="2" t="s">
        <v>28</v>
      </c>
      <c r="B12" s="44">
        <v>6.1</v>
      </c>
      <c r="C12" s="170" t="s">
        <v>29</v>
      </c>
      <c r="D12" s="171">
        <f>(B12/(1+(B15/B14)))</f>
        <v>3.925411334552102</v>
      </c>
      <c r="E12" s="163"/>
      <c r="F12" s="64" t="s">
        <v>30</v>
      </c>
      <c r="G12" s="65" t="s">
        <v>31</v>
      </c>
      <c r="H12" s="172">
        <f>D15</f>
        <v>23.342175066312997</v>
      </c>
      <c r="I12" s="70">
        <f>Y97</f>
        <v>23.423112392560473</v>
      </c>
      <c r="J12" s="70">
        <f>AN97</f>
        <v>21.497774286692305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9"/>
      <c r="V12" s="158"/>
      <c r="W12" s="157"/>
      <c r="X12" s="156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55"/>
      <c r="AJ12" s="154" t="s">
        <v>20</v>
      </c>
      <c r="AK12" s="153" t="s">
        <v>32</v>
      </c>
      <c r="AL12" s="169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ht="18" customHeight="1" thickBot="1" x14ac:dyDescent="0.35">
      <c r="A13" s="2" t="s">
        <v>33</v>
      </c>
      <c r="B13" s="280">
        <v>3.77</v>
      </c>
      <c r="C13" s="170" t="s">
        <v>34</v>
      </c>
      <c r="D13" s="171">
        <f>D11*D12*8.34*(10000/2000)</f>
        <v>129.17077869981716</v>
      </c>
      <c r="E13" s="163"/>
      <c r="F13" s="64" t="s">
        <v>35</v>
      </c>
      <c r="G13" s="65" t="s">
        <v>21</v>
      </c>
      <c r="H13" s="71">
        <f>AT97</f>
        <v>28.508978053396572</v>
      </c>
      <c r="I13" s="70">
        <f>Z97</f>
        <v>28.224730412204774</v>
      </c>
      <c r="J13" s="70">
        <f>AO97</f>
        <v>29.599999326208483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9"/>
      <c r="V13" s="320" t="s">
        <v>36</v>
      </c>
      <c r="W13" s="321"/>
      <c r="X13" s="152">
        <f>B7</f>
        <v>0.35416666666666669</v>
      </c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51" t="s">
        <v>37</v>
      </c>
      <c r="AJ13" s="150" t="s">
        <v>38</v>
      </c>
      <c r="AK13" s="149" t="s">
        <v>39</v>
      </c>
      <c r="AL13" s="169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55.9" customHeight="1" thickBot="1" x14ac:dyDescent="0.35">
      <c r="A14" s="2" t="s">
        <v>40</v>
      </c>
      <c r="B14" s="28">
        <v>352</v>
      </c>
      <c r="C14" s="170" t="s">
        <v>41</v>
      </c>
      <c r="D14" s="171">
        <f>D8/D13</f>
        <v>22.418032786885249</v>
      </c>
      <c r="E14" s="163"/>
      <c r="F14" s="64" t="s">
        <v>42</v>
      </c>
      <c r="G14" s="65" t="s">
        <v>39</v>
      </c>
      <c r="H14" s="71">
        <f>AU97</f>
        <v>485.0000000000021</v>
      </c>
      <c r="I14" s="70">
        <f>AA97</f>
        <v>614.99999999999886</v>
      </c>
      <c r="J14" s="70">
        <f>AP97</f>
        <v>694.99999999999011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27"/>
      <c r="V14" s="298" t="s">
        <v>43</v>
      </c>
      <c r="W14" s="299"/>
      <c r="X14" s="148" t="s">
        <v>291</v>
      </c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47"/>
      <c r="AJ14" s="146" t="s">
        <v>44</v>
      </c>
      <c r="AK14" s="145" t="s">
        <v>45</v>
      </c>
      <c r="AL14" s="169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60" customHeight="1" thickBot="1" x14ac:dyDescent="0.45">
      <c r="A15" s="3" t="s">
        <v>46</v>
      </c>
      <c r="B15" s="29">
        <v>195</v>
      </c>
      <c r="C15" s="173" t="s">
        <v>47</v>
      </c>
      <c r="D15" s="112">
        <f>((B9*B11)/B13)*2000</f>
        <v>23.342175066312997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9"/>
      <c r="V15" s="169"/>
      <c r="W15" s="169"/>
      <c r="X15" s="127"/>
      <c r="Y15" s="127"/>
      <c r="Z15" s="127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ht="18" customHeight="1" thickBot="1" x14ac:dyDescent="0.35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9"/>
      <c r="V16" s="169"/>
      <c r="W16" s="169"/>
      <c r="X16" s="127"/>
      <c r="Y16" s="127"/>
      <c r="Z16" s="169"/>
      <c r="AA16" s="169"/>
      <c r="AB16" s="169"/>
      <c r="AC16" s="169"/>
      <c r="AD16" s="169"/>
      <c r="AE16" s="169"/>
      <c r="AF16" s="300" t="s">
        <v>7</v>
      </c>
      <c r="AG16" s="300"/>
      <c r="AH16" s="300"/>
      <c r="AI16" s="300"/>
      <c r="AJ16" s="300"/>
      <c r="AK16" s="300"/>
      <c r="AL16" s="169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350000000000001" customHeight="1" outlineLevel="2" thickBot="1" x14ac:dyDescent="0.35">
      <c r="A17" s="302" t="s">
        <v>48</v>
      </c>
      <c r="B17" s="303"/>
      <c r="C17" s="304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9"/>
      <c r="V17" s="169"/>
      <c r="W17" s="169"/>
      <c r="X17" s="127"/>
      <c r="Y17" s="127"/>
      <c r="Z17" s="169"/>
      <c r="AA17" s="169"/>
      <c r="AB17" s="169"/>
      <c r="AC17" s="169"/>
      <c r="AD17" s="169"/>
      <c r="AE17" s="169"/>
      <c r="AF17" s="301"/>
      <c r="AG17" s="301"/>
      <c r="AH17" s="301"/>
      <c r="AI17" s="301"/>
      <c r="AJ17" s="301"/>
      <c r="AK17" s="301"/>
      <c r="AL17" s="169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ht="18.75" outlineLevel="2" x14ac:dyDescent="0.3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9"/>
      <c r="V18" s="169"/>
      <c r="W18" s="169"/>
      <c r="X18" s="127"/>
      <c r="Y18" s="127"/>
      <c r="Z18" s="169"/>
      <c r="AA18" s="169"/>
      <c r="AB18" s="169"/>
      <c r="AC18" s="169"/>
      <c r="AD18" s="169"/>
      <c r="AE18" s="169"/>
      <c r="AF18" s="305" t="s">
        <v>49</v>
      </c>
      <c r="AG18" s="306"/>
      <c r="AH18" s="144"/>
      <c r="AI18" s="143"/>
      <c r="AJ18" s="142" t="s">
        <v>9</v>
      </c>
      <c r="AK18" s="141"/>
      <c r="AL18" s="169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ht="18.75" outlineLevel="2" x14ac:dyDescent="0.3">
      <c r="A19" s="177" t="s">
        <v>50</v>
      </c>
      <c r="B19" s="178"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27"/>
      <c r="V19" s="127"/>
      <c r="W19" s="127"/>
      <c r="X19" s="127"/>
      <c r="Y19" s="127"/>
      <c r="Z19" s="169"/>
      <c r="AA19" s="169"/>
      <c r="AB19" s="169"/>
      <c r="AC19" s="169"/>
      <c r="AD19" s="169"/>
      <c r="AE19" s="169"/>
      <c r="AF19" s="307"/>
      <c r="AG19" s="308"/>
      <c r="AH19" s="140" t="s">
        <v>14</v>
      </c>
      <c r="AI19" s="139" t="s">
        <v>15</v>
      </c>
      <c r="AJ19" s="139" t="s">
        <v>16</v>
      </c>
      <c r="AK19" s="138" t="s">
        <v>17</v>
      </c>
      <c r="AL19" s="169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ht="18.75" outlineLevel="2" x14ac:dyDescent="0.3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27"/>
      <c r="V20" s="127"/>
      <c r="W20" s="127"/>
      <c r="X20" s="127"/>
      <c r="Y20" s="127"/>
      <c r="Z20" s="169"/>
      <c r="AA20" s="169"/>
      <c r="AB20" s="169"/>
      <c r="AC20" s="169"/>
      <c r="AD20" s="169"/>
      <c r="AE20" s="169"/>
      <c r="AF20" s="309"/>
      <c r="AG20" s="310"/>
      <c r="AH20" s="140"/>
      <c r="AI20" s="139"/>
      <c r="AJ20" s="139"/>
      <c r="AK20" s="138"/>
      <c r="AL20" s="169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ht="18.75" outlineLevel="2" x14ac:dyDescent="0.3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27"/>
      <c r="V21" s="127"/>
      <c r="W21" s="127"/>
      <c r="X21" s="127"/>
      <c r="Y21" s="127"/>
      <c r="Z21" s="169"/>
      <c r="AA21" s="169"/>
      <c r="AB21" s="169"/>
      <c r="AC21" s="169"/>
      <c r="AD21" s="169"/>
      <c r="AE21" s="169"/>
      <c r="AF21" s="311" t="s">
        <v>20</v>
      </c>
      <c r="AG21" s="312"/>
      <c r="AH21" s="131" t="s">
        <v>21</v>
      </c>
      <c r="AI21" s="137">
        <f>H10</f>
        <v>3.77</v>
      </c>
      <c r="AJ21" s="130"/>
      <c r="AK21" s="136"/>
      <c r="AL21" s="169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.75" outlineLevel="2" x14ac:dyDescent="0.3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27"/>
      <c r="V22" s="127"/>
      <c r="W22" s="127"/>
      <c r="X22" s="127"/>
      <c r="Y22" s="127"/>
      <c r="Z22" s="169"/>
      <c r="AA22" s="169"/>
      <c r="AB22" s="169"/>
      <c r="AC22" s="169"/>
      <c r="AD22" s="169"/>
      <c r="AE22" s="169"/>
      <c r="AF22" s="313" t="s">
        <v>26</v>
      </c>
      <c r="AG22" s="314"/>
      <c r="AH22" s="131" t="s">
        <v>57</v>
      </c>
      <c r="AI22" s="135">
        <f>H11</f>
        <v>0.17599999999999999</v>
      </c>
      <c r="AJ22" s="135">
        <f t="shared" ref="AJ22:AK25" si="0">I11</f>
        <v>0.17599999999999999</v>
      </c>
      <c r="AK22" s="134">
        <f>J11</f>
        <v>0.17599999999999999</v>
      </c>
      <c r="AL22" s="169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.75" outlineLevel="2" x14ac:dyDescent="0.3">
      <c r="A23" s="315" t="s">
        <v>58</v>
      </c>
      <c r="B23" s="316"/>
      <c r="C23" s="317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27"/>
      <c r="V23" s="127"/>
      <c r="W23" s="127"/>
      <c r="X23" s="127"/>
      <c r="Y23" s="127"/>
      <c r="Z23" s="169"/>
      <c r="AA23" s="169"/>
      <c r="AB23" s="169"/>
      <c r="AC23" s="169"/>
      <c r="AD23" s="169"/>
      <c r="AE23" s="169"/>
      <c r="AF23" s="313" t="s">
        <v>30</v>
      </c>
      <c r="AG23" s="314"/>
      <c r="AH23" s="131" t="s">
        <v>31</v>
      </c>
      <c r="AI23" s="133">
        <f>H12</f>
        <v>23.342175066312997</v>
      </c>
      <c r="AJ23" s="133">
        <f t="shared" si="0"/>
        <v>23.423112392560473</v>
      </c>
      <c r="AK23" s="132">
        <f>J12</f>
        <v>21.497774286692305</v>
      </c>
      <c r="AL23" s="169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ht="18.75" outlineLevel="2" x14ac:dyDescent="0.3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27"/>
      <c r="V24" s="127"/>
      <c r="W24" s="127"/>
      <c r="X24" s="127"/>
      <c r="Y24" s="127"/>
      <c r="Z24" s="169"/>
      <c r="AA24" s="169"/>
      <c r="AB24" s="169"/>
      <c r="AC24" s="169"/>
      <c r="AD24" s="169"/>
      <c r="AE24" s="169"/>
      <c r="AF24" s="313" t="s">
        <v>35</v>
      </c>
      <c r="AG24" s="314"/>
      <c r="AH24" s="131" t="s">
        <v>21</v>
      </c>
      <c r="AI24" s="130">
        <f>H13</f>
        <v>28.508978053396572</v>
      </c>
      <c r="AJ24" s="129">
        <f t="shared" si="0"/>
        <v>28.224730412204774</v>
      </c>
      <c r="AK24" s="128">
        <f t="shared" si="0"/>
        <v>29.599999326208483</v>
      </c>
      <c r="AL24" s="169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thickBot="1" x14ac:dyDescent="0.35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27"/>
      <c r="V25" s="127"/>
      <c r="W25" s="127"/>
      <c r="X25" s="127"/>
      <c r="Y25" s="127"/>
      <c r="Z25" s="169"/>
      <c r="AA25" s="169"/>
      <c r="AB25" s="169"/>
      <c r="AC25" s="169"/>
      <c r="AD25" s="169"/>
      <c r="AE25" s="169"/>
      <c r="AF25" s="318" t="s">
        <v>42</v>
      </c>
      <c r="AG25" s="319"/>
      <c r="AH25" s="126" t="s">
        <v>39</v>
      </c>
      <c r="AI25" s="125">
        <f>H14</f>
        <v>485.0000000000021</v>
      </c>
      <c r="AJ25" s="125">
        <f t="shared" si="0"/>
        <v>614.99999999999886</v>
      </c>
      <c r="AK25" s="124">
        <f t="shared" si="0"/>
        <v>694.99999999999011</v>
      </c>
      <c r="AL25" s="169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25">
      <c r="A26" s="315" t="s">
        <v>63</v>
      </c>
      <c r="B26" s="316"/>
      <c r="C26" s="317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25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</row>
    <row r="28" spans="1:58" ht="16.5" outlineLevel="2" thickBot="1" x14ac:dyDescent="0.3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0" t="s">
        <v>292</v>
      </c>
      <c r="AG28" s="169"/>
      <c r="AH28" s="169"/>
      <c r="AI28" s="169"/>
      <c r="AJ28" s="169"/>
      <c r="AK28" s="169"/>
      <c r="AL28" s="169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</row>
    <row r="29" spans="1:58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 t="s">
        <v>293</v>
      </c>
      <c r="AG29" s="169"/>
      <c r="AH29" s="169"/>
      <c r="AI29" s="169"/>
      <c r="AJ29" s="169"/>
      <c r="AK29" s="169"/>
      <c r="AL29" s="169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</row>
    <row r="30" spans="1:58" ht="16.5" thickBot="1" x14ac:dyDescent="0.3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</row>
    <row r="31" spans="1:58" ht="18.75" x14ac:dyDescent="0.3">
      <c r="A31" s="296" t="s">
        <v>68</v>
      </c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3"/>
      <c r="T31" s="23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273" t="s">
        <v>294</v>
      </c>
      <c r="AG31" s="169"/>
      <c r="AH31" s="169"/>
      <c r="AI31" s="169"/>
      <c r="AJ31" s="169"/>
      <c r="AK31" s="169"/>
      <c r="AL31" s="169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</row>
    <row r="32" spans="1:58" ht="63" x14ac:dyDescent="0.25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117" t="s">
        <v>80</v>
      </c>
      <c r="M32" s="117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273"/>
      <c r="AG32" s="169"/>
      <c r="AH32" s="169"/>
      <c r="AI32" s="169"/>
      <c r="AJ32" s="169"/>
      <c r="AK32" s="169"/>
      <c r="AL32" s="169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</row>
    <row r="33" spans="1:57" x14ac:dyDescent="0.25">
      <c r="A33" s="264">
        <v>1</v>
      </c>
      <c r="B33" s="207">
        <v>19</v>
      </c>
      <c r="C33" s="271">
        <f>B13</f>
        <v>3.77</v>
      </c>
      <c r="D33" s="33">
        <v>500.19</v>
      </c>
      <c r="E33" s="187">
        <f>(B33*D33*$B$20*C33)/($B$19*$B$27)</f>
        <v>71.657198862978774</v>
      </c>
      <c r="F33" s="97">
        <v>65.25</v>
      </c>
      <c r="G33" s="97">
        <v>1.1399999999999999</v>
      </c>
      <c r="H33" s="61">
        <f>F33-G33</f>
        <v>64.11</v>
      </c>
      <c r="I33" s="8">
        <f xml:space="preserve"> (H33*$B$27*$B$19)/ (D33*$B$20*C33)</f>
        <v>16.998850350391223</v>
      </c>
      <c r="J33" s="32">
        <v>204.44</v>
      </c>
      <c r="K33" s="116">
        <v>361.85</v>
      </c>
      <c r="L33" s="32">
        <v>380.27</v>
      </c>
      <c r="M33" s="32">
        <v>714.57</v>
      </c>
      <c r="N33" s="188">
        <v>100</v>
      </c>
      <c r="O33" s="7">
        <f>L33-J33</f>
        <v>175.82999999999998</v>
      </c>
      <c r="P33" s="187">
        <f>M33-K33</f>
        <v>352.72</v>
      </c>
      <c r="Q33" s="187">
        <f>((O33+P33)/O33)*(D33/(D33+H33))*C33</f>
        <v>10.04521891826003</v>
      </c>
      <c r="R33" s="189">
        <f>$B$24/Q33*100</f>
        <v>62.962517846156572</v>
      </c>
      <c r="S33" s="190"/>
      <c r="T33" s="190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25">
      <c r="A34" s="264">
        <v>2</v>
      </c>
      <c r="B34" s="207">
        <v>21</v>
      </c>
      <c r="C34" s="271">
        <f>C33</f>
        <v>3.77</v>
      </c>
      <c r="D34" s="33">
        <v>500.85</v>
      </c>
      <c r="E34" s="187">
        <f t="shared" ref="E34:E39" si="1">(B34*D34*$B$20*C34)/($B$19*$B$27)</f>
        <v>79.304566271236013</v>
      </c>
      <c r="F34" s="33">
        <v>72.180000000000007</v>
      </c>
      <c r="G34" s="33">
        <v>0.22</v>
      </c>
      <c r="H34" s="61">
        <f t="shared" ref="H34:H39" si="2">F34-G34</f>
        <v>71.960000000000008</v>
      </c>
      <c r="I34" s="8">
        <f t="shared" ref="I34:I39" si="3" xml:space="preserve"> (H34*$B$27*$B$19)/ (D34*$B$20*C34)</f>
        <v>19.0551448807066</v>
      </c>
      <c r="J34" s="32">
        <v>205.8</v>
      </c>
      <c r="K34" s="115">
        <v>1030.42</v>
      </c>
      <c r="L34" s="32">
        <v>384.51</v>
      </c>
      <c r="M34" s="32">
        <v>1391.95</v>
      </c>
      <c r="N34" s="188">
        <v>100</v>
      </c>
      <c r="O34" s="7">
        <f t="shared" ref="O34:P39" si="4">L34-J34</f>
        <v>178.70999999999998</v>
      </c>
      <c r="P34" s="187">
        <f t="shared" si="4"/>
        <v>361.53</v>
      </c>
      <c r="Q34" s="187">
        <f t="shared" ref="Q34:Q39" si="5">((O34+P34)/O34)*(D34/(D34+H34))*C34</f>
        <v>9.9649774214901274</v>
      </c>
      <c r="R34" s="189">
        <f t="shared" ref="R34:R39" si="6">$B$24/Q34*100</f>
        <v>63.469514145162933</v>
      </c>
      <c r="S34" s="190"/>
      <c r="T34" s="190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25">
      <c r="A35" s="264">
        <v>3</v>
      </c>
      <c r="B35" s="207">
        <v>24</v>
      </c>
      <c r="C35" s="271">
        <f t="shared" ref="C35:C39" si="7">C34</f>
        <v>3.77</v>
      </c>
      <c r="D35" s="33">
        <v>501.44</v>
      </c>
      <c r="E35" s="187">
        <f t="shared" si="1"/>
        <v>90.740556393670374</v>
      </c>
      <c r="F35" s="34">
        <v>82.59</v>
      </c>
      <c r="G35" s="34">
        <v>1.31</v>
      </c>
      <c r="H35" s="61">
        <f t="shared" si="2"/>
        <v>81.28</v>
      </c>
      <c r="I35" s="8">
        <f t="shared" si="3"/>
        <v>21.497774286692305</v>
      </c>
      <c r="J35" s="32">
        <v>449.03</v>
      </c>
      <c r="K35" s="116">
        <v>411.53</v>
      </c>
      <c r="L35" s="32">
        <v>622.70000000000005</v>
      </c>
      <c r="M35" s="32">
        <v>794.3</v>
      </c>
      <c r="N35" s="188">
        <v>100</v>
      </c>
      <c r="O35" s="7">
        <f t="shared" si="4"/>
        <v>173.67000000000007</v>
      </c>
      <c r="P35" s="187">
        <f t="shared" si="4"/>
        <v>382.77</v>
      </c>
      <c r="Q35" s="187">
        <f t="shared" si="5"/>
        <v>10.394268677296946</v>
      </c>
      <c r="R35" s="189">
        <f t="shared" si="6"/>
        <v>60.848174609045479</v>
      </c>
      <c r="S35" s="190"/>
      <c r="T35" s="190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25">
      <c r="A36" s="264">
        <v>4</v>
      </c>
      <c r="B36" s="274">
        <v>26</v>
      </c>
      <c r="C36" s="271">
        <f t="shared" si="7"/>
        <v>3.77</v>
      </c>
      <c r="D36" s="33">
        <v>501.33</v>
      </c>
      <c r="E36" s="187">
        <f t="shared" si="1"/>
        <v>98.280705032656627</v>
      </c>
      <c r="F36" s="34">
        <v>89.52</v>
      </c>
      <c r="G36" s="34">
        <v>0.98</v>
      </c>
      <c r="H36" s="61">
        <f t="shared" si="2"/>
        <v>88.539999999999992</v>
      </c>
      <c r="I36" s="8">
        <f t="shared" si="3"/>
        <v>23.423112392560473</v>
      </c>
      <c r="J36" s="32">
        <v>447.35</v>
      </c>
      <c r="K36" s="116">
        <v>352.93</v>
      </c>
      <c r="L36" s="32">
        <v>618.55999999999995</v>
      </c>
      <c r="M36" s="32">
        <v>1075.1199999999999</v>
      </c>
      <c r="N36" s="188">
        <v>100</v>
      </c>
      <c r="O36" s="7">
        <f t="shared" si="4"/>
        <v>171.20999999999992</v>
      </c>
      <c r="P36" s="187">
        <f t="shared" si="4"/>
        <v>722.18999999999983</v>
      </c>
      <c r="Q36" s="187">
        <f t="shared" si="5"/>
        <v>16.719587401463272</v>
      </c>
      <c r="R36" s="189">
        <f t="shared" si="6"/>
        <v>37.828222684140151</v>
      </c>
      <c r="S36" s="190"/>
      <c r="T36" s="190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25">
      <c r="A37" s="264">
        <v>5</v>
      </c>
      <c r="B37" s="114">
        <v>28</v>
      </c>
      <c r="C37" s="271">
        <f t="shared" si="7"/>
        <v>3.77</v>
      </c>
      <c r="D37" s="33">
        <v>501.24</v>
      </c>
      <c r="E37" s="187">
        <f t="shared" si="1"/>
        <v>105.82175847138355</v>
      </c>
      <c r="F37" s="34">
        <v>96.63</v>
      </c>
      <c r="G37" s="34">
        <v>1.18</v>
      </c>
      <c r="H37" s="61">
        <f t="shared" si="2"/>
        <v>95.449999999999989</v>
      </c>
      <c r="I37" s="8">
        <f t="shared" si="3"/>
        <v>25.255675568108494</v>
      </c>
      <c r="J37" s="32">
        <v>454.9</v>
      </c>
      <c r="K37" s="116">
        <v>396.52</v>
      </c>
      <c r="L37" s="32">
        <v>630.44000000000005</v>
      </c>
      <c r="M37" s="32">
        <v>799.91</v>
      </c>
      <c r="N37" s="188">
        <v>100</v>
      </c>
      <c r="O37" s="7">
        <f t="shared" si="4"/>
        <v>175.54000000000008</v>
      </c>
      <c r="P37" s="187">
        <f t="shared" si="4"/>
        <v>403.39</v>
      </c>
      <c r="Q37" s="187">
        <f t="shared" si="5"/>
        <v>10.444514884897858</v>
      </c>
      <c r="R37" s="189">
        <f t="shared" si="6"/>
        <v>60.555447752198987</v>
      </c>
      <c r="S37" s="190"/>
      <c r="T37" s="190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25">
      <c r="A38" s="264">
        <v>6</v>
      </c>
      <c r="B38" s="207"/>
      <c r="C38" s="271">
        <f t="shared" si="7"/>
        <v>3.77</v>
      </c>
      <c r="D38" s="33"/>
      <c r="E38" s="187">
        <f t="shared" si="1"/>
        <v>0</v>
      </c>
      <c r="F38" s="97"/>
      <c r="G38" s="97"/>
      <c r="H38" s="61">
        <f t="shared" si="2"/>
        <v>0</v>
      </c>
      <c r="I38" s="8" t="e">
        <f t="shared" si="3"/>
        <v>#DIV/0!</v>
      </c>
      <c r="J38" s="32"/>
      <c r="K38" s="116"/>
      <c r="L38" s="32"/>
      <c r="M38" s="32"/>
      <c r="N38" s="188">
        <v>100</v>
      </c>
      <c r="O38" s="7">
        <f t="shared" si="4"/>
        <v>0</v>
      </c>
      <c r="P38" s="187">
        <f t="shared" si="4"/>
        <v>0</v>
      </c>
      <c r="Q38" s="187" t="e">
        <f t="shared" si="5"/>
        <v>#DIV/0!</v>
      </c>
      <c r="R38" s="189" t="e">
        <f t="shared" si="6"/>
        <v>#DIV/0!</v>
      </c>
      <c r="S38" s="190"/>
      <c r="T38" s="190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thickBot="1" x14ac:dyDescent="0.3">
      <c r="A39" s="264">
        <v>7</v>
      </c>
      <c r="B39" s="207"/>
      <c r="C39" s="271">
        <f t="shared" si="7"/>
        <v>3.77</v>
      </c>
      <c r="D39" s="33"/>
      <c r="E39" s="187">
        <f t="shared" si="1"/>
        <v>0</v>
      </c>
      <c r="F39" s="97"/>
      <c r="G39" s="97"/>
      <c r="H39" s="61">
        <f t="shared" si="2"/>
        <v>0</v>
      </c>
      <c r="I39" s="8" t="e">
        <f t="shared" si="3"/>
        <v>#DIV/0!</v>
      </c>
      <c r="J39" s="32"/>
      <c r="K39" s="116"/>
      <c r="L39" s="32"/>
      <c r="M39" s="32"/>
      <c r="N39" s="188">
        <v>100</v>
      </c>
      <c r="O39" s="7">
        <f t="shared" si="4"/>
        <v>0</v>
      </c>
      <c r="P39" s="187">
        <f t="shared" si="4"/>
        <v>0</v>
      </c>
      <c r="Q39" s="187" t="e">
        <f t="shared" si="5"/>
        <v>#DIV/0!</v>
      </c>
      <c r="R39" s="189" t="e">
        <f t="shared" si="6"/>
        <v>#DIV/0!</v>
      </c>
      <c r="S39" s="190"/>
      <c r="T39" s="190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350000000000001" customHeight="1" x14ac:dyDescent="0.25">
      <c r="A40" s="117" t="s">
        <v>69</v>
      </c>
      <c r="B40" s="117" t="s">
        <v>88</v>
      </c>
      <c r="C40" s="269" t="s">
        <v>89</v>
      </c>
      <c r="D40" s="285" t="s">
        <v>90</v>
      </c>
      <c r="E40" s="286"/>
      <c r="F40" s="286"/>
      <c r="G40" s="286"/>
      <c r="H40" s="287"/>
      <c r="I40" s="288" t="s">
        <v>91</v>
      </c>
      <c r="J40" s="289"/>
      <c r="K40" s="289"/>
      <c r="L40" s="289"/>
      <c r="M40" s="290"/>
      <c r="N40" s="163"/>
      <c r="O40" s="163"/>
      <c r="P40" s="163"/>
      <c r="Q40" s="163"/>
      <c r="R40" s="163"/>
      <c r="S40" s="163"/>
      <c r="T40" s="163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92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ht="15.75" customHeight="1" x14ac:dyDescent="0.25">
      <c r="A41" s="193">
        <v>1</v>
      </c>
      <c r="B41" s="194">
        <f>AVERAGE(D41:H41)</f>
        <v>105.5</v>
      </c>
      <c r="C41" s="195">
        <f>AVERAGE(I41:K41)</f>
        <v>61</v>
      </c>
      <c r="D41" s="198">
        <v>105.5</v>
      </c>
      <c r="E41" s="198"/>
      <c r="F41" s="198"/>
      <c r="G41" s="200"/>
      <c r="H41" s="198"/>
      <c r="I41" s="200">
        <v>61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92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25">
      <c r="A42" s="193">
        <v>2</v>
      </c>
      <c r="B42" s="194">
        <f>AVERAGE(D42:H42)</f>
        <v>71</v>
      </c>
      <c r="C42" s="195">
        <f>AVERAGE(I42:K42)</f>
        <v>58.3</v>
      </c>
      <c r="D42" s="200">
        <v>71</v>
      </c>
      <c r="E42" s="198"/>
      <c r="F42" s="198"/>
      <c r="G42" s="198"/>
      <c r="H42" s="199"/>
      <c r="I42" s="200">
        <v>58.3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92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x14ac:dyDescent="0.25">
      <c r="A43" s="193">
        <v>3</v>
      </c>
      <c r="B43" s="194">
        <f>AVERAGE(D43:H43)</f>
        <v>55</v>
      </c>
      <c r="C43" s="195">
        <f>AVERAGE(I43:K43)</f>
        <v>48.4</v>
      </c>
      <c r="D43" s="200">
        <v>55</v>
      </c>
      <c r="E43" s="198"/>
      <c r="F43" s="198"/>
      <c r="G43" s="198"/>
      <c r="H43" s="199"/>
      <c r="I43" s="200">
        <v>48.4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92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5" customHeight="1" x14ac:dyDescent="0.25">
      <c r="A44" s="193">
        <v>4</v>
      </c>
      <c r="B44" s="194">
        <f>AVERAGE(D44:F44)</f>
        <v>32.4</v>
      </c>
      <c r="C44" s="195">
        <f>AVERAGE(I44:K44)</f>
        <v>36.1</v>
      </c>
      <c r="D44" s="200">
        <v>32.4</v>
      </c>
      <c r="E44" s="198"/>
      <c r="F44" s="198"/>
      <c r="G44" s="198"/>
      <c r="H44" s="199"/>
      <c r="I44" s="200">
        <v>36.1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92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8.75" customHeight="1" x14ac:dyDescent="0.25">
      <c r="A45" s="193">
        <v>5</v>
      </c>
      <c r="B45" s="194">
        <f>AVERAGE(D45:H45)</f>
        <v>40</v>
      </c>
      <c r="C45" s="195">
        <f>AVERAGE(I45:K45)</f>
        <v>44</v>
      </c>
      <c r="D45" s="198">
        <v>40</v>
      </c>
      <c r="E45" s="198"/>
      <c r="F45" s="200"/>
      <c r="G45" s="198"/>
      <c r="H45" s="199"/>
      <c r="I45" s="200">
        <v>44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92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350000000000001" customHeight="1" x14ac:dyDescent="0.25">
      <c r="A46" s="193">
        <v>6</v>
      </c>
      <c r="B46" s="194" t="e">
        <f>AVERAGE(D46:G46)</f>
        <v>#DIV/0!</v>
      </c>
      <c r="C46" s="195" t="e">
        <f t="shared" ref="C46" si="8">AVERAGE(I46:K46)</f>
        <v>#DIV/0!</v>
      </c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92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ht="16.350000000000001" customHeight="1" x14ac:dyDescent="0.25">
      <c r="A47" s="193" t="s">
        <v>15</v>
      </c>
      <c r="B47" s="194"/>
      <c r="C47" s="195"/>
      <c r="D47" s="200"/>
      <c r="E47" s="198"/>
      <c r="F47" s="198"/>
      <c r="G47" s="198"/>
      <c r="H47" s="199"/>
      <c r="I47" s="200"/>
      <c r="J47" s="198"/>
      <c r="K47" s="198"/>
      <c r="L47" s="198"/>
      <c r="M47" s="199"/>
      <c r="N47" s="163"/>
      <c r="O47" s="163"/>
      <c r="P47" s="163"/>
      <c r="Q47" s="163"/>
      <c r="R47" s="163"/>
      <c r="S47" s="163"/>
      <c r="T47" s="163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92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15.75" customHeight="1" thickBot="1" x14ac:dyDescent="0.3">
      <c r="A48" s="193">
        <v>7</v>
      </c>
      <c r="B48" s="194" t="e">
        <f>AVERAGE(D48:H48)</f>
        <v>#DIV/0!</v>
      </c>
      <c r="C48" s="195" t="e">
        <f>AVERAGE(I48:K48)</f>
        <v>#DIV/0!</v>
      </c>
      <c r="D48" s="198"/>
      <c r="E48" s="198"/>
      <c r="F48" s="198"/>
      <c r="G48" s="200"/>
      <c r="H48" s="198"/>
      <c r="I48" s="200"/>
      <c r="J48" s="198"/>
      <c r="K48" s="198"/>
      <c r="L48" s="198"/>
      <c r="M48" s="199"/>
      <c r="N48" s="163"/>
      <c r="O48" s="163"/>
      <c r="P48" s="163"/>
      <c r="Q48" s="163"/>
      <c r="R48" s="163"/>
      <c r="S48" s="163"/>
      <c r="T48" s="163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92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1" customHeight="1" x14ac:dyDescent="0.25">
      <c r="A49" s="291" t="s">
        <v>92</v>
      </c>
      <c r="B49" s="292"/>
      <c r="C49" s="292"/>
      <c r="D49" s="292"/>
      <c r="E49" s="292"/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163"/>
      <c r="R49" s="163"/>
      <c r="S49" s="163"/>
      <c r="T49" s="163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92"/>
      <c r="AH49" s="169"/>
      <c r="AI49" s="169"/>
      <c r="AJ49" s="169"/>
      <c r="AK49" s="169"/>
      <c r="AL49" s="169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</row>
    <row r="50" spans="1:58" ht="22.35" customHeight="1" x14ac:dyDescent="0.25">
      <c r="A50" s="265" t="s">
        <v>93</v>
      </c>
      <c r="B50" s="117" t="s">
        <v>94</v>
      </c>
      <c r="C50" s="117" t="s">
        <v>95</v>
      </c>
      <c r="D50" s="117" t="s">
        <v>96</v>
      </c>
      <c r="E50" s="117" t="s">
        <v>97</v>
      </c>
      <c r="F50" s="117" t="s">
        <v>98</v>
      </c>
      <c r="G50" s="117" t="s">
        <v>99</v>
      </c>
      <c r="H50" s="117" t="s">
        <v>100</v>
      </c>
      <c r="I50" s="117" t="s">
        <v>101</v>
      </c>
      <c r="J50" s="117" t="s">
        <v>102</v>
      </c>
      <c r="K50" s="117" t="s">
        <v>103</v>
      </c>
      <c r="L50" s="117" t="s">
        <v>104</v>
      </c>
      <c r="M50" s="117" t="s">
        <v>105</v>
      </c>
      <c r="N50" s="117" t="s">
        <v>106</v>
      </c>
      <c r="O50" s="117" t="s">
        <v>107</v>
      </c>
      <c r="P50" s="272" t="s">
        <v>108</v>
      </c>
      <c r="Q50" s="163"/>
      <c r="R50" s="163"/>
      <c r="S50" s="163"/>
      <c r="T50" s="163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92"/>
      <c r="AH50" s="169"/>
      <c r="AI50" s="169"/>
      <c r="AJ50" s="169"/>
      <c r="AK50" s="169"/>
      <c r="AL50" s="169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</row>
    <row r="51" spans="1:58" x14ac:dyDescent="0.25">
      <c r="A51" s="9">
        <v>1</v>
      </c>
      <c r="B51" s="191">
        <v>1.119</v>
      </c>
      <c r="C51" s="208">
        <v>1.097</v>
      </c>
      <c r="D51" s="202">
        <v>10</v>
      </c>
      <c r="E51" s="202">
        <v>10</v>
      </c>
      <c r="F51" s="10">
        <v>1.1282000000000001</v>
      </c>
      <c r="G51" s="10">
        <v>1.1067</v>
      </c>
      <c r="H51" s="202">
        <v>1</v>
      </c>
      <c r="I51" s="11">
        <f>(F51-B51)*1000*H51/D51</f>
        <v>0.9200000000000097</v>
      </c>
      <c r="J51" s="11">
        <f>(G51-C51)*1000*H51/E51</f>
        <v>0.97000000000000419</v>
      </c>
      <c r="K51" s="12">
        <f>AVERAGE(I51:J51)</f>
        <v>0.94500000000000695</v>
      </c>
      <c r="L51" s="203"/>
      <c r="M51" s="203"/>
      <c r="N51" s="204">
        <f>(F51-L51)/E51*1000000</f>
        <v>112820</v>
      </c>
      <c r="O51" s="205">
        <f>(G51-M51)/E51*1000000</f>
        <v>110670</v>
      </c>
      <c r="P51" s="206">
        <f>AVERAGE(O51)</f>
        <v>110670</v>
      </c>
      <c r="Q51" s="163"/>
      <c r="R51" s="163"/>
      <c r="S51" s="163"/>
      <c r="T51" s="163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</row>
    <row r="52" spans="1:58" ht="21" customHeight="1" x14ac:dyDescent="0.25">
      <c r="A52" s="9">
        <v>2</v>
      </c>
      <c r="B52" s="186">
        <v>1.117</v>
      </c>
      <c r="C52" s="191">
        <v>1.1079000000000001</v>
      </c>
      <c r="D52" s="202">
        <v>10</v>
      </c>
      <c r="E52" s="202">
        <v>10</v>
      </c>
      <c r="F52" s="10">
        <v>1.125</v>
      </c>
      <c r="G52" s="10">
        <v>1.1156999999999999</v>
      </c>
      <c r="H52" s="202">
        <v>1</v>
      </c>
      <c r="I52" s="11">
        <f>(F52-B52)*1000*H52/D52</f>
        <v>0.80000000000000071</v>
      </c>
      <c r="J52" s="11">
        <f>(G52-C52)*1000*H52/E52</f>
        <v>0.77999999999998071</v>
      </c>
      <c r="K52" s="12">
        <f>AVERAGE(I52:J52)</f>
        <v>0.78999999999999071</v>
      </c>
      <c r="L52" s="203"/>
      <c r="M52" s="203"/>
      <c r="N52" s="204">
        <f t="shared" ref="N52:N56" si="9">(F52-L52)/E52*1000000</f>
        <v>112500</v>
      </c>
      <c r="O52" s="205">
        <f t="shared" ref="O52:O56" si="10">(G52-M52)/E52*1000000</f>
        <v>111569.99999999999</v>
      </c>
      <c r="P52" s="206">
        <f>AVERAGE(N52:O52)</f>
        <v>112035</v>
      </c>
      <c r="Q52" s="163"/>
      <c r="R52" s="163"/>
      <c r="S52" s="163"/>
      <c r="T52" s="163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</row>
    <row r="53" spans="1:58" x14ac:dyDescent="0.25">
      <c r="A53" s="9">
        <v>3</v>
      </c>
      <c r="B53" s="186">
        <v>1.1106</v>
      </c>
      <c r="C53" s="191">
        <v>1.1041000000000001</v>
      </c>
      <c r="D53" s="202">
        <v>10</v>
      </c>
      <c r="E53" s="202">
        <v>10</v>
      </c>
      <c r="F53" s="10">
        <v>1.1175999999999999</v>
      </c>
      <c r="G53" s="10">
        <v>1.111</v>
      </c>
      <c r="H53" s="202">
        <v>1</v>
      </c>
      <c r="I53" s="11">
        <f>(F53-B53)*1000*H53/D53</f>
        <v>0.69999999999998952</v>
      </c>
      <c r="J53" s="11">
        <f>(G53-C53)*1000*H53/E53</f>
        <v>0.68999999999999062</v>
      </c>
      <c r="K53" s="12">
        <f>AVERAGE(I53:J53)</f>
        <v>0.69499999999999007</v>
      </c>
      <c r="L53" s="203"/>
      <c r="M53" s="203"/>
      <c r="N53" s="204">
        <f t="shared" si="9"/>
        <v>111760</v>
      </c>
      <c r="O53" s="205">
        <f t="shared" si="10"/>
        <v>111100</v>
      </c>
      <c r="P53" s="206">
        <f>AVERAGE(N53:O53)</f>
        <v>111430</v>
      </c>
      <c r="Q53" s="163"/>
      <c r="R53" s="163"/>
      <c r="S53" s="163"/>
      <c r="T53" s="163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</row>
    <row r="54" spans="1:58" x14ac:dyDescent="0.25">
      <c r="A54" s="9">
        <v>4</v>
      </c>
      <c r="B54" s="186">
        <v>1.109</v>
      </c>
      <c r="C54" s="186">
        <v>1.1009</v>
      </c>
      <c r="D54" s="202">
        <v>10</v>
      </c>
      <c r="E54" s="202">
        <v>10</v>
      </c>
      <c r="F54" s="50">
        <v>1.1151</v>
      </c>
      <c r="G54" s="49">
        <v>1.1071</v>
      </c>
      <c r="H54" s="202">
        <v>1</v>
      </c>
      <c r="I54" s="11">
        <f>(F54-B54)*1000*H54/D54</f>
        <v>0.60999999999999943</v>
      </c>
      <c r="J54" s="11">
        <f>(G54-C54)*1000*H54/E54</f>
        <v>0.61999999999999833</v>
      </c>
      <c r="K54" s="12">
        <f>AVERAGE(I54:J54)</f>
        <v>0.61499999999999888</v>
      </c>
      <c r="L54" s="203"/>
      <c r="M54" s="203"/>
      <c r="N54" s="204">
        <f t="shared" si="9"/>
        <v>111510</v>
      </c>
      <c r="O54" s="205">
        <f t="shared" si="10"/>
        <v>110710</v>
      </c>
      <c r="P54" s="206">
        <f>AVERAGE(O54)</f>
        <v>110710</v>
      </c>
      <c r="Q54" s="163"/>
      <c r="R54" s="163"/>
      <c r="S54" s="163"/>
      <c r="T54" s="163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</row>
    <row r="55" spans="1:58" x14ac:dyDescent="0.25">
      <c r="A55" s="9">
        <v>5</v>
      </c>
      <c r="B55" s="275">
        <v>1.087</v>
      </c>
      <c r="C55" s="208">
        <v>1.0871999999999999</v>
      </c>
      <c r="D55" s="202">
        <v>10</v>
      </c>
      <c r="E55" s="202">
        <v>10</v>
      </c>
      <c r="F55" s="276">
        <v>1.0909</v>
      </c>
      <c r="G55" s="10">
        <v>1.0909</v>
      </c>
      <c r="H55" s="202">
        <v>1</v>
      </c>
      <c r="I55" s="11">
        <f>(F55-B55)*1000*H55/D55</f>
        <v>0.39000000000000146</v>
      </c>
      <c r="J55" s="11">
        <f>(G55-C55)*1000*H55/E55</f>
        <v>0.37000000000000366</v>
      </c>
      <c r="K55" s="12">
        <f>AVERAGE(I55:J55)</f>
        <v>0.38000000000000256</v>
      </c>
      <c r="L55" s="277"/>
      <c r="M55" s="203"/>
      <c r="N55" s="204">
        <f t="shared" si="9"/>
        <v>109089.99999999999</v>
      </c>
      <c r="O55" s="205">
        <f t="shared" si="10"/>
        <v>109089.99999999999</v>
      </c>
      <c r="P55" s="206">
        <f>AVERAGE(O55)</f>
        <v>109089.99999999999</v>
      </c>
      <c r="Q55" s="163"/>
      <c r="R55" s="163"/>
      <c r="S55" s="163"/>
      <c r="T55" s="163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</row>
    <row r="56" spans="1:58" x14ac:dyDescent="0.25">
      <c r="A56" s="102">
        <v>6</v>
      </c>
      <c r="B56" s="191"/>
      <c r="C56" s="208"/>
      <c r="D56" s="202">
        <v>10</v>
      </c>
      <c r="E56" s="202">
        <v>10</v>
      </c>
      <c r="F56" s="10"/>
      <c r="G56" s="10"/>
      <c r="H56" s="202">
        <v>1</v>
      </c>
      <c r="I56" s="11">
        <f t="shared" ref="I56" si="11">(F56-B56)*1000*H56/D56</f>
        <v>0</v>
      </c>
      <c r="J56" s="11">
        <f t="shared" ref="J56" si="12">(G56-C56)*1000*H56/E56</f>
        <v>0</v>
      </c>
      <c r="K56" s="12">
        <f t="shared" ref="K56" si="13">AVERAGE(I56:J56)</f>
        <v>0</v>
      </c>
      <c r="L56" s="203"/>
      <c r="M56" s="203"/>
      <c r="N56" s="204">
        <f t="shared" si="9"/>
        <v>0</v>
      </c>
      <c r="O56" s="205">
        <f t="shared" si="10"/>
        <v>0</v>
      </c>
      <c r="P56" s="206"/>
      <c r="Q56" s="163"/>
      <c r="R56" s="163"/>
      <c r="S56" s="163"/>
      <c r="T56" s="163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</row>
    <row r="57" spans="1:58" ht="40.5" customHeight="1" thickBot="1" x14ac:dyDescent="0.3">
      <c r="A57" s="210" t="s">
        <v>109</v>
      </c>
      <c r="B57" s="191">
        <v>1.1032</v>
      </c>
      <c r="C57" s="208">
        <v>1.115</v>
      </c>
      <c r="D57" s="202">
        <v>10</v>
      </c>
      <c r="E57" s="202">
        <v>10</v>
      </c>
      <c r="F57" s="101">
        <v>1.1080000000000001</v>
      </c>
      <c r="G57" s="101">
        <v>1.1198999999999999</v>
      </c>
      <c r="H57" s="202">
        <v>1</v>
      </c>
      <c r="I57" s="11">
        <f>(F57-B57)*1000*H57/D57</f>
        <v>0.48000000000001375</v>
      </c>
      <c r="J57" s="11">
        <f>(G57-C57)*1000*H57/E57</f>
        <v>0.48999999999999044</v>
      </c>
      <c r="K57" s="12">
        <f>AVERAGE(I57:J57)</f>
        <v>0.4850000000000021</v>
      </c>
      <c r="L57" s="209"/>
      <c r="M57" s="209"/>
      <c r="N57" s="204">
        <f>(F57-L57)/E57*1000000</f>
        <v>110800.00000000001</v>
      </c>
      <c r="O57" s="205">
        <f>(G57-M57)/E57*1000000</f>
        <v>111989.99999999999</v>
      </c>
      <c r="P57" s="206">
        <f>AVERAGE(O57)</f>
        <v>111989.99999999999</v>
      </c>
      <c r="Q57" s="163"/>
      <c r="R57" s="163"/>
      <c r="S57" s="163"/>
      <c r="T57" s="163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ht="34.5" customHeight="1" x14ac:dyDescent="0.25">
      <c r="A58" s="163" t="s">
        <v>110</v>
      </c>
      <c r="B58" s="163"/>
      <c r="C58" s="214" t="s">
        <v>111</v>
      </c>
      <c r="D58" s="214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3"/>
      <c r="AI58" s="169"/>
      <c r="AJ58" s="169"/>
      <c r="AK58" s="169"/>
      <c r="AL58" s="169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ht="16.5" thickBot="1" x14ac:dyDescent="0.3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25">
      <c r="A60" s="293" t="s">
        <v>112</v>
      </c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5"/>
      <c r="P60" s="163"/>
      <c r="Q60" s="163"/>
      <c r="R60" s="163"/>
      <c r="S60" s="163"/>
      <c r="T60" s="163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25">
      <c r="A61" s="265" t="s">
        <v>93</v>
      </c>
      <c r="B61" s="117" t="s">
        <v>113</v>
      </c>
      <c r="C61" s="117" t="s">
        <v>114</v>
      </c>
      <c r="D61" s="117" t="s">
        <v>115</v>
      </c>
      <c r="E61" s="117" t="s">
        <v>116</v>
      </c>
      <c r="F61" s="117" t="s">
        <v>98</v>
      </c>
      <c r="G61" s="117" t="s">
        <v>99</v>
      </c>
      <c r="H61" s="117" t="s">
        <v>117</v>
      </c>
      <c r="I61" s="117" t="s">
        <v>118</v>
      </c>
      <c r="J61" s="117" t="s">
        <v>119</v>
      </c>
      <c r="K61" s="117" t="s">
        <v>104</v>
      </c>
      <c r="L61" s="117" t="s">
        <v>105</v>
      </c>
      <c r="M61" s="117" t="s">
        <v>120</v>
      </c>
      <c r="N61" s="117" t="s">
        <v>121</v>
      </c>
      <c r="O61" s="272" t="s">
        <v>122</v>
      </c>
      <c r="P61" s="163"/>
      <c r="Q61" s="163"/>
      <c r="R61" s="163"/>
      <c r="S61" s="163"/>
      <c r="T61" s="163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ht="16.5" thickBot="1" x14ac:dyDescent="0.3">
      <c r="A62" s="9">
        <v>1</v>
      </c>
      <c r="B62" s="49">
        <v>0.97560000000000002</v>
      </c>
      <c r="C62" s="49">
        <v>0.99309999999999998</v>
      </c>
      <c r="D62" s="49">
        <v>5.2625000000000002</v>
      </c>
      <c r="E62" s="49">
        <v>5.1581999999999999</v>
      </c>
      <c r="F62" s="50">
        <v>2.1556999999999999</v>
      </c>
      <c r="G62" s="49">
        <v>2.1198000000000001</v>
      </c>
      <c r="H62" s="181">
        <f t="shared" ref="H62:I69" si="14">(F62-B62)*100/(D62-B62)</f>
        <v>27.528050572674889</v>
      </c>
      <c r="I62" s="181">
        <f t="shared" si="14"/>
        <v>27.050971165158103</v>
      </c>
      <c r="J62" s="13">
        <f>AVERAGE(H62:I62)</f>
        <v>27.289510868916494</v>
      </c>
      <c r="K62" s="203"/>
      <c r="L62" s="203"/>
      <c r="M62" s="13">
        <f>((F62-K62)/D62)*100</f>
        <v>40.963420427553444</v>
      </c>
      <c r="N62" s="15">
        <f>((G62-L62)/E62)*100</f>
        <v>41.095731068977557</v>
      </c>
      <c r="O62" s="16">
        <f>AVERAGE(M62:N62)</f>
        <v>41.029575748265501</v>
      </c>
      <c r="P62" s="163"/>
      <c r="Q62" s="163"/>
      <c r="R62" s="163"/>
      <c r="S62" s="163"/>
      <c r="T62" s="163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25">
      <c r="A63" s="9">
        <v>2</v>
      </c>
      <c r="B63" s="46">
        <v>0.99670000000000003</v>
      </c>
      <c r="C63" s="46">
        <v>1.0009999999999999</v>
      </c>
      <c r="D63" s="46">
        <v>5.5872000000000002</v>
      </c>
      <c r="E63" s="48">
        <v>5.2972000000000001</v>
      </c>
      <c r="F63" s="47">
        <v>2.2831000000000001</v>
      </c>
      <c r="G63" s="48">
        <v>2.2107000000000001</v>
      </c>
      <c r="H63" s="181">
        <f t="shared" si="14"/>
        <v>28.023091166539587</v>
      </c>
      <c r="I63" s="181">
        <f t="shared" si="14"/>
        <v>28.157441459894791</v>
      </c>
      <c r="J63" s="13">
        <f t="shared" ref="J63:J69" si="15">AVERAGE(H63:I63)</f>
        <v>28.090266313217189</v>
      </c>
      <c r="K63" s="203"/>
      <c r="L63" s="203"/>
      <c r="M63" s="13">
        <f>((F63-K63)/D63)*100</f>
        <v>40.863044100801829</v>
      </c>
      <c r="N63" s="13">
        <f>((G63-L63)/E63)*100</f>
        <v>41.733368572075811</v>
      </c>
      <c r="O63" s="16">
        <f t="shared" ref="O63:O69" si="16">AVERAGE(M63:N63)</f>
        <v>41.298206336438824</v>
      </c>
      <c r="P63" s="163"/>
      <c r="Q63" s="163"/>
      <c r="R63" s="163"/>
      <c r="S63" s="163"/>
      <c r="T63" s="163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23"/>
      <c r="AI63" s="169"/>
      <c r="AJ63" s="169"/>
      <c r="AK63" s="169"/>
      <c r="AL63" s="169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x14ac:dyDescent="0.25">
      <c r="A64" s="9">
        <v>3</v>
      </c>
      <c r="B64" s="49">
        <v>0.98319999999999996</v>
      </c>
      <c r="C64" s="49">
        <v>0.98529999999999995</v>
      </c>
      <c r="D64" s="49">
        <v>5.5957999999999997</v>
      </c>
      <c r="E64" s="49">
        <v>5.024</v>
      </c>
      <c r="F64" s="47">
        <v>2.3374000000000001</v>
      </c>
      <c r="G64" s="48">
        <v>2.1905000000000001</v>
      </c>
      <c r="H64" s="181">
        <f t="shared" si="14"/>
        <v>29.358713090231113</v>
      </c>
      <c r="I64" s="181">
        <f t="shared" si="14"/>
        <v>29.841285562185853</v>
      </c>
      <c r="J64" s="13">
        <f t="shared" si="15"/>
        <v>29.599999326208483</v>
      </c>
      <c r="K64" s="203"/>
      <c r="L64" s="203"/>
      <c r="M64" s="13">
        <f>((F64-K64)/D65)*100</f>
        <v>41.995005300131155</v>
      </c>
      <c r="N64" s="15">
        <f>((G64-L64)/E63)*100</f>
        <v>41.352035037378236</v>
      </c>
      <c r="O64" s="16">
        <f t="shared" si="16"/>
        <v>41.673520168754692</v>
      </c>
      <c r="P64" s="163"/>
      <c r="Q64" s="163"/>
      <c r="R64" s="163"/>
      <c r="S64" s="163"/>
      <c r="T64" s="163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25">
      <c r="A65" s="9">
        <v>4</v>
      </c>
      <c r="B65" s="48">
        <v>0.9889</v>
      </c>
      <c r="C65" s="48">
        <v>0.9829</v>
      </c>
      <c r="D65" s="48">
        <v>5.5659000000000001</v>
      </c>
      <c r="E65" s="48">
        <v>5.7811000000000003</v>
      </c>
      <c r="F65" s="48">
        <v>2.2854000000000001</v>
      </c>
      <c r="G65" s="48">
        <v>2.3323</v>
      </c>
      <c r="H65" s="181">
        <f t="shared" si="14"/>
        <v>28.326414682106183</v>
      </c>
      <c r="I65" s="181">
        <f t="shared" si="14"/>
        <v>28.123046142303366</v>
      </c>
      <c r="J65" s="13">
        <f t="shared" si="15"/>
        <v>28.224730412204774</v>
      </c>
      <c r="K65" s="203"/>
      <c r="L65" s="203"/>
      <c r="M65" s="13">
        <f>((F65-K65)/D88)*100</f>
        <v>41.288480994363354</v>
      </c>
      <c r="N65" s="15">
        <f>((G65-L65)/E64)*100</f>
        <v>46.423168789808919</v>
      </c>
      <c r="O65" s="16">
        <f t="shared" si="16"/>
        <v>43.855824892086133</v>
      </c>
      <c r="P65" s="163"/>
      <c r="Q65" s="163"/>
      <c r="R65" s="163"/>
      <c r="S65" s="163"/>
      <c r="T65" s="163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25">
      <c r="A66" s="9">
        <v>5</v>
      </c>
      <c r="B66" s="49">
        <v>0.99639999999999995</v>
      </c>
      <c r="C66" s="49">
        <v>1.0082</v>
      </c>
      <c r="D66" s="49">
        <v>5.7172000000000001</v>
      </c>
      <c r="E66" s="49">
        <v>5.1685999999999996</v>
      </c>
      <c r="F66" s="49">
        <v>2.3601000000000001</v>
      </c>
      <c r="G66" s="50">
        <v>2.1894</v>
      </c>
      <c r="H66" s="181">
        <f t="shared" si="14"/>
        <v>28.88705304185731</v>
      </c>
      <c r="I66" s="181">
        <f t="shared" si="14"/>
        <v>28.391500817229119</v>
      </c>
      <c r="J66" s="13">
        <f t="shared" si="15"/>
        <v>28.639276929543215</v>
      </c>
      <c r="K66" s="203"/>
      <c r="L66" s="203"/>
      <c r="M66" s="13">
        <f t="shared" ref="M66:M69" si="17">((F66-K66)/D66)*100</f>
        <v>41.280696844609253</v>
      </c>
      <c r="N66" s="15">
        <f>((G66-L66)/E66)*100</f>
        <v>42.359633169523661</v>
      </c>
      <c r="O66" s="16">
        <f t="shared" si="16"/>
        <v>41.820165007066457</v>
      </c>
      <c r="P66" s="163"/>
      <c r="Q66" s="163"/>
      <c r="R66" s="163"/>
      <c r="S66" s="163"/>
      <c r="T66" s="163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25">
      <c r="A67" s="9">
        <v>6</v>
      </c>
      <c r="B67" s="49"/>
      <c r="C67" s="49"/>
      <c r="D67" s="49"/>
      <c r="E67" s="49"/>
      <c r="F67" s="50"/>
      <c r="G67" s="49"/>
      <c r="H67" s="181" t="e">
        <f t="shared" si="14"/>
        <v>#DIV/0!</v>
      </c>
      <c r="I67" s="181" t="e">
        <f t="shared" si="14"/>
        <v>#DIV/0!</v>
      </c>
      <c r="J67" s="13" t="e">
        <f t="shared" si="15"/>
        <v>#DIV/0!</v>
      </c>
      <c r="K67" s="203"/>
      <c r="L67" s="203"/>
      <c r="M67" s="13" t="e">
        <f t="shared" si="17"/>
        <v>#DIV/0!</v>
      </c>
      <c r="N67" s="15" t="e">
        <f>((G67-L67)/E67)*100</f>
        <v>#DIV/0!</v>
      </c>
      <c r="O67" s="16" t="e">
        <f t="shared" si="16"/>
        <v>#DIV/0!</v>
      </c>
      <c r="P67" s="163"/>
      <c r="Q67" s="163"/>
      <c r="R67" s="163"/>
      <c r="S67" s="163"/>
      <c r="T67" s="163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25">
      <c r="A68" s="215" t="s">
        <v>123</v>
      </c>
      <c r="B68" s="49">
        <v>0.99839999999999995</v>
      </c>
      <c r="C68" s="49">
        <v>0.98070000000000002</v>
      </c>
      <c r="D68" s="49">
        <v>5.6052999999999997</v>
      </c>
      <c r="E68" s="49">
        <v>5.0101000000000004</v>
      </c>
      <c r="F68" s="50">
        <v>2.3163999999999998</v>
      </c>
      <c r="G68" s="49">
        <v>2.1254</v>
      </c>
      <c r="H68" s="181">
        <f t="shared" si="14"/>
        <v>28.609260023008964</v>
      </c>
      <c r="I68" s="181">
        <f t="shared" si="14"/>
        <v>28.408696083784179</v>
      </c>
      <c r="J68" s="13">
        <f t="shared" si="15"/>
        <v>28.508978053396572</v>
      </c>
      <c r="K68" s="14"/>
      <c r="L68" s="14"/>
      <c r="M68" s="13">
        <f t="shared" si="17"/>
        <v>41.325174388525141</v>
      </c>
      <c r="N68" s="15">
        <f>((G68-L68)/E68)*100</f>
        <v>42.422306939981233</v>
      </c>
      <c r="O68" s="16">
        <f t="shared" si="16"/>
        <v>41.873740664253191</v>
      </c>
      <c r="P68" s="163"/>
      <c r="Q68" s="163"/>
      <c r="R68" s="163"/>
      <c r="S68" s="163"/>
      <c r="T68" s="163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69" spans="1:58" ht="16.5" thickBot="1" x14ac:dyDescent="0.3">
      <c r="A69" s="210" t="s">
        <v>124</v>
      </c>
      <c r="B69" s="51">
        <v>0.99560000000000004</v>
      </c>
      <c r="C69" s="51">
        <v>0.9869</v>
      </c>
      <c r="D69" s="51">
        <v>5.1992000000000003</v>
      </c>
      <c r="E69" s="51">
        <v>5.1841999999999997</v>
      </c>
      <c r="F69" s="51">
        <v>1.1536</v>
      </c>
      <c r="G69" s="51">
        <v>1.1455</v>
      </c>
      <c r="H69" s="181">
        <f t="shared" si="14"/>
        <v>3.7586830335902541</v>
      </c>
      <c r="I69" s="181">
        <f t="shared" si="14"/>
        <v>3.7786195887832652</v>
      </c>
      <c r="J69" s="13">
        <f t="shared" si="15"/>
        <v>3.7686513111867597</v>
      </c>
      <c r="K69" s="203"/>
      <c r="L69" s="18"/>
      <c r="M69" s="17">
        <f t="shared" si="17"/>
        <v>22.188028927527309</v>
      </c>
      <c r="N69" s="19">
        <f>((G69-L69)/E69)*100</f>
        <v>22.095983951236452</v>
      </c>
      <c r="O69" s="20">
        <f t="shared" si="16"/>
        <v>22.142006439381881</v>
      </c>
      <c r="P69" s="163"/>
      <c r="Q69" s="163"/>
      <c r="R69" s="163"/>
      <c r="S69" s="163"/>
      <c r="T69" s="163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</row>
    <row r="70" spans="1:58" x14ac:dyDescent="0.25">
      <c r="A70" s="9"/>
      <c r="B70" s="49"/>
      <c r="C70" s="49"/>
      <c r="D70" s="49"/>
      <c r="E70" s="49"/>
      <c r="F70" s="50"/>
      <c r="G70" s="49"/>
      <c r="H70" s="13"/>
      <c r="I70" s="13"/>
      <c r="J70" s="13"/>
      <c r="K70" s="203"/>
      <c r="L70" s="203"/>
      <c r="M70" s="13"/>
      <c r="N70" s="15"/>
      <c r="O70" s="16"/>
      <c r="P70" s="163"/>
      <c r="Q70" s="163"/>
      <c r="R70" s="163"/>
      <c r="S70" s="163"/>
      <c r="T70" s="163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</row>
    <row r="71" spans="1:58" x14ac:dyDescent="0.25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</row>
    <row r="72" spans="1:58" x14ac:dyDescent="0.25">
      <c r="A72" s="279" t="s">
        <v>295</v>
      </c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163"/>
      <c r="R72" s="163"/>
      <c r="S72" s="163"/>
      <c r="T72" s="163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</row>
    <row r="73" spans="1:58" ht="16.5" thickBot="1" x14ac:dyDescent="0.3">
      <c r="A73" s="278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163"/>
      <c r="R73" s="163"/>
      <c r="S73" s="163"/>
      <c r="T73" s="163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</row>
    <row r="74" spans="1:58" x14ac:dyDescent="0.25">
      <c r="A74" s="291" t="s">
        <v>92</v>
      </c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163"/>
      <c r="R74" s="163"/>
      <c r="S74" s="163"/>
      <c r="T74" s="163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</row>
    <row r="75" spans="1:58" ht="32.25" customHeight="1" x14ac:dyDescent="0.25">
      <c r="A75" s="4" t="s">
        <v>93</v>
      </c>
      <c r="B75" s="5" t="s">
        <v>296</v>
      </c>
      <c r="C75" s="5" t="s">
        <v>95</v>
      </c>
      <c r="D75" s="5" t="s">
        <v>96</v>
      </c>
      <c r="E75" s="5" t="s">
        <v>97</v>
      </c>
      <c r="F75" s="5" t="s">
        <v>297</v>
      </c>
      <c r="G75" s="5" t="s">
        <v>99</v>
      </c>
      <c r="H75" s="5" t="s">
        <v>100</v>
      </c>
      <c r="I75" s="5" t="s">
        <v>101</v>
      </c>
      <c r="J75" s="5" t="s">
        <v>102</v>
      </c>
      <c r="K75" s="5" t="s">
        <v>103</v>
      </c>
      <c r="L75" s="5" t="s">
        <v>104</v>
      </c>
      <c r="M75" s="5" t="s">
        <v>105</v>
      </c>
      <c r="N75" s="5" t="s">
        <v>106</v>
      </c>
      <c r="O75" s="5" t="s">
        <v>107</v>
      </c>
      <c r="P75" s="6" t="s">
        <v>108</v>
      </c>
      <c r="Q75" s="163"/>
      <c r="R75" s="163"/>
      <c r="S75" s="163"/>
      <c r="T75" s="163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92"/>
      <c r="AH75" s="169"/>
      <c r="AI75" s="169"/>
      <c r="AJ75" s="169"/>
      <c r="AK75" s="169"/>
      <c r="AL75" s="169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</row>
    <row r="76" spans="1:58" x14ac:dyDescent="0.25">
      <c r="A76" s="9">
        <v>1</v>
      </c>
      <c r="B76" s="275">
        <v>1.1032</v>
      </c>
      <c r="C76" s="208"/>
      <c r="D76" s="202">
        <v>10</v>
      </c>
      <c r="E76" s="202">
        <v>10</v>
      </c>
      <c r="F76" s="276">
        <v>1.1121000000000001</v>
      </c>
      <c r="G76" s="10"/>
      <c r="H76" s="202">
        <v>1</v>
      </c>
      <c r="I76" s="11">
        <f t="shared" ref="I76:I82" si="18">(F76-B76)*1000*H76/D76</f>
        <v>0.890000000000013</v>
      </c>
      <c r="J76" s="11">
        <f t="shared" ref="J76:J82" si="19">(G76-C76)*1000*H76/E76</f>
        <v>0</v>
      </c>
      <c r="K76" s="12">
        <f t="shared" ref="K76:K82" si="20">AVERAGE(I76:J76)</f>
        <v>0.4450000000000065</v>
      </c>
      <c r="L76" s="208"/>
      <c r="M76" s="203"/>
      <c r="N76" s="204">
        <f t="shared" ref="N76:N82" si="21">(F76-L76)/E76*1000000</f>
        <v>111210</v>
      </c>
      <c r="O76" s="205">
        <f>(G76-M76)/E76*1000000</f>
        <v>0</v>
      </c>
      <c r="P76" s="206">
        <f>AVERAGE(O76)</f>
        <v>0</v>
      </c>
      <c r="Q76" s="163"/>
      <c r="R76" s="163"/>
      <c r="S76" s="163"/>
      <c r="T76" s="163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</row>
    <row r="77" spans="1:58" ht="15.75" customHeight="1" x14ac:dyDescent="0.25">
      <c r="A77" s="9">
        <v>2</v>
      </c>
      <c r="B77" s="201">
        <v>1.1166</v>
      </c>
      <c r="C77" s="201"/>
      <c r="D77" s="202">
        <v>10</v>
      </c>
      <c r="E77" s="202">
        <v>10</v>
      </c>
      <c r="F77" s="10">
        <v>1.1273</v>
      </c>
      <c r="G77" s="10"/>
      <c r="H77" s="202">
        <v>1</v>
      </c>
      <c r="I77" s="11">
        <f t="shared" si="18"/>
        <v>1.0699999999999932</v>
      </c>
      <c r="J77" s="11">
        <f t="shared" si="19"/>
        <v>0</v>
      </c>
      <c r="K77" s="12">
        <f t="shared" si="20"/>
        <v>0.53499999999999659</v>
      </c>
      <c r="L77" s="201"/>
      <c r="M77" s="203"/>
      <c r="N77" s="204">
        <f t="shared" si="21"/>
        <v>112730</v>
      </c>
      <c r="O77" s="205">
        <f>(G77-M77)/E77*1000000</f>
        <v>0</v>
      </c>
      <c r="P77" s="206">
        <f>AVERAGE(N77:O77)</f>
        <v>56365</v>
      </c>
      <c r="Q77" s="163"/>
      <c r="R77" s="163"/>
      <c r="S77" s="163"/>
      <c r="T77" s="163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</row>
    <row r="78" spans="1:58" x14ac:dyDescent="0.25">
      <c r="A78" s="9">
        <v>3</v>
      </c>
      <c r="B78" s="186">
        <v>1.1187</v>
      </c>
      <c r="C78" s="191"/>
      <c r="D78" s="202">
        <v>10</v>
      </c>
      <c r="E78" s="202">
        <v>10</v>
      </c>
      <c r="F78" s="10">
        <v>1.1245000000000001</v>
      </c>
      <c r="G78" s="10"/>
      <c r="H78" s="202">
        <v>1</v>
      </c>
      <c r="I78" s="11">
        <f t="shared" si="18"/>
        <v>0.58000000000000274</v>
      </c>
      <c r="J78" s="11">
        <f t="shared" si="19"/>
        <v>0</v>
      </c>
      <c r="K78" s="12">
        <f t="shared" si="20"/>
        <v>0.29000000000000137</v>
      </c>
      <c r="L78" s="203"/>
      <c r="M78" s="203"/>
      <c r="N78" s="204">
        <f t="shared" si="21"/>
        <v>112450.00000000001</v>
      </c>
      <c r="O78" s="205">
        <f>(G78-M78)/E78*1000000</f>
        <v>0</v>
      </c>
      <c r="P78" s="206">
        <f>AVERAGE(N78:O78)</f>
        <v>56225.000000000007</v>
      </c>
      <c r="Q78" s="163"/>
      <c r="R78" s="163"/>
      <c r="S78" s="163"/>
      <c r="T78" s="163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</row>
    <row r="79" spans="1:58" x14ac:dyDescent="0.25">
      <c r="A79" s="9">
        <v>4</v>
      </c>
      <c r="B79" s="276">
        <v>1.1127</v>
      </c>
      <c r="C79" s="207"/>
      <c r="D79" s="202">
        <v>10</v>
      </c>
      <c r="E79" s="202">
        <v>10</v>
      </c>
      <c r="F79" s="276">
        <v>1.1175999999999999</v>
      </c>
      <c r="G79" s="10"/>
      <c r="H79" s="202">
        <v>1</v>
      </c>
      <c r="I79" s="11">
        <f t="shared" si="18"/>
        <v>0.48999999999999044</v>
      </c>
      <c r="J79" s="11">
        <f t="shared" si="19"/>
        <v>0</v>
      </c>
      <c r="K79" s="12">
        <f t="shared" si="20"/>
        <v>0.24499999999999522</v>
      </c>
      <c r="L79" s="277"/>
      <c r="M79" s="203"/>
      <c r="N79" s="204">
        <f t="shared" si="21"/>
        <v>111760</v>
      </c>
      <c r="O79" s="205">
        <f>(G79-M79)/E79*1000000</f>
        <v>0</v>
      </c>
      <c r="P79" s="206">
        <f>AVERAGE(O79)</f>
        <v>0</v>
      </c>
      <c r="Q79" s="163"/>
      <c r="R79" s="163"/>
      <c r="S79" s="163"/>
      <c r="T79" s="163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</row>
    <row r="80" spans="1:58" x14ac:dyDescent="0.25">
      <c r="A80" s="9">
        <v>5</v>
      </c>
      <c r="B80" s="275">
        <v>1.0889</v>
      </c>
      <c r="C80" s="208"/>
      <c r="D80" s="202">
        <v>10</v>
      </c>
      <c r="E80" s="202">
        <v>10</v>
      </c>
      <c r="F80" s="276">
        <v>1.0940000000000001</v>
      </c>
      <c r="G80" s="10"/>
      <c r="H80" s="202">
        <v>1</v>
      </c>
      <c r="I80" s="11">
        <f t="shared" si="18"/>
        <v>0.51000000000001044</v>
      </c>
      <c r="J80" s="11">
        <f t="shared" si="19"/>
        <v>0</v>
      </c>
      <c r="K80" s="12">
        <f t="shared" si="20"/>
        <v>0.25500000000000522</v>
      </c>
      <c r="L80" s="277"/>
      <c r="M80" s="203"/>
      <c r="N80" s="204">
        <f t="shared" si="21"/>
        <v>109400.00000000001</v>
      </c>
      <c r="O80" s="205">
        <f>(G80-M80)/E80*1000000</f>
        <v>0</v>
      </c>
      <c r="P80" s="206">
        <f>AVERAGE(O80)</f>
        <v>0</v>
      </c>
      <c r="Q80" s="163"/>
      <c r="R80" s="163"/>
      <c r="S80" s="163"/>
      <c r="T80" s="163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</row>
    <row r="81" spans="1:58" x14ac:dyDescent="0.25">
      <c r="A81" s="102">
        <v>6</v>
      </c>
      <c r="B81" s="191"/>
      <c r="C81" s="208"/>
      <c r="D81" s="202">
        <v>10</v>
      </c>
      <c r="E81" s="202">
        <v>10</v>
      </c>
      <c r="F81" s="10"/>
      <c r="G81" s="10"/>
      <c r="H81" s="202">
        <v>1</v>
      </c>
      <c r="I81" s="11">
        <f t="shared" si="18"/>
        <v>0</v>
      </c>
      <c r="J81" s="11">
        <f t="shared" si="19"/>
        <v>0</v>
      </c>
      <c r="K81" s="12">
        <f t="shared" si="20"/>
        <v>0</v>
      </c>
      <c r="L81" s="203"/>
      <c r="M81" s="203"/>
      <c r="N81" s="204">
        <f t="shared" si="21"/>
        <v>0</v>
      </c>
      <c r="O81" s="205"/>
      <c r="P81" s="206"/>
      <c r="Q81" s="163"/>
      <c r="R81" s="163"/>
      <c r="S81" s="163"/>
      <c r="T81" s="163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</row>
    <row r="82" spans="1:58" ht="15.75" customHeight="1" thickBot="1" x14ac:dyDescent="0.3">
      <c r="A82" s="210" t="s">
        <v>109</v>
      </c>
      <c r="B82" s="191">
        <v>1.1033999999999999</v>
      </c>
      <c r="C82" s="191"/>
      <c r="D82" s="202">
        <v>10</v>
      </c>
      <c r="E82" s="202">
        <v>10</v>
      </c>
      <c r="F82" s="101">
        <v>1.1083000000000001</v>
      </c>
      <c r="G82" s="101"/>
      <c r="H82" s="202">
        <v>1</v>
      </c>
      <c r="I82" s="11">
        <f t="shared" si="18"/>
        <v>0.49000000000001265</v>
      </c>
      <c r="J82" s="11">
        <f t="shared" si="19"/>
        <v>0</v>
      </c>
      <c r="K82" s="12">
        <f t="shared" si="20"/>
        <v>0.24500000000000632</v>
      </c>
      <c r="L82" s="203"/>
      <c r="M82" s="209"/>
      <c r="N82" s="204">
        <f t="shared" si="21"/>
        <v>110830.00000000001</v>
      </c>
      <c r="O82" s="205">
        <f>(G82-M82)/E82*1000000</f>
        <v>0</v>
      </c>
      <c r="P82" s="206">
        <f>AVERAGE(O82)</f>
        <v>0</v>
      </c>
      <c r="Q82" s="163"/>
      <c r="R82" s="163"/>
      <c r="S82" s="163"/>
      <c r="T82" s="163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</row>
    <row r="83" spans="1:58" x14ac:dyDescent="0.25">
      <c r="A83" s="266" t="s">
        <v>112</v>
      </c>
      <c r="B83" s="267"/>
      <c r="C83" s="267"/>
      <c r="D83" s="267"/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8"/>
      <c r="P83" s="163"/>
      <c r="Q83" s="163"/>
      <c r="R83" s="163"/>
      <c r="S83" s="163"/>
      <c r="T83" s="163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</row>
    <row r="84" spans="1:58" x14ac:dyDescent="0.25">
      <c r="A84" s="4" t="s">
        <v>93</v>
      </c>
      <c r="B84" s="5" t="s">
        <v>298</v>
      </c>
      <c r="C84" s="5" t="s">
        <v>114</v>
      </c>
      <c r="D84" s="5" t="s">
        <v>299</v>
      </c>
      <c r="E84" s="5" t="s">
        <v>116</v>
      </c>
      <c r="F84" s="5" t="s">
        <v>297</v>
      </c>
      <c r="G84" s="5" t="s">
        <v>99</v>
      </c>
      <c r="H84" s="5" t="s">
        <v>117</v>
      </c>
      <c r="I84" s="5" t="s">
        <v>118</v>
      </c>
      <c r="J84" s="5" t="s">
        <v>119</v>
      </c>
      <c r="K84" s="5" t="s">
        <v>104</v>
      </c>
      <c r="L84" s="5"/>
      <c r="M84" s="5" t="s">
        <v>120</v>
      </c>
      <c r="N84" s="5" t="s">
        <v>121</v>
      </c>
      <c r="O84" s="6" t="s">
        <v>122</v>
      </c>
      <c r="P84" s="163"/>
      <c r="Q84" s="163"/>
      <c r="R84" s="163"/>
      <c r="S84" s="163"/>
      <c r="T84" s="163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</row>
    <row r="85" spans="1:58" ht="16.5" thickBot="1" x14ac:dyDescent="0.3">
      <c r="A85" s="9">
        <v>1</v>
      </c>
      <c r="B85" s="49">
        <v>0.995</v>
      </c>
      <c r="C85" s="49"/>
      <c r="D85" s="49">
        <v>5.7236000000000002</v>
      </c>
      <c r="E85" s="49"/>
      <c r="F85" s="49">
        <v>2.2854000000000001</v>
      </c>
      <c r="G85" s="49"/>
      <c r="H85" s="181">
        <f t="shared" ref="H85:I92" si="22">(F85-B85)*100/(D85-B85)</f>
        <v>27.289261092077989</v>
      </c>
      <c r="I85" s="181" t="e">
        <f t="shared" si="22"/>
        <v>#DIV/0!</v>
      </c>
      <c r="J85" s="13" t="e">
        <f>AVERAGE(H85:I85)</f>
        <v>#DIV/0!</v>
      </c>
      <c r="K85" s="203"/>
      <c r="L85" s="203"/>
      <c r="M85" s="13">
        <f>((F85-K85)/D85)*100</f>
        <v>39.929415053462861</v>
      </c>
      <c r="N85" s="15" t="e">
        <f>((G85-L85)/E85)*100</f>
        <v>#DIV/0!</v>
      </c>
      <c r="O85" s="16" t="e">
        <f t="shared" ref="O85:O92" si="23">AVERAGE(M85:N85)</f>
        <v>#DIV/0!</v>
      </c>
      <c r="P85" s="163"/>
      <c r="Q85" s="163"/>
      <c r="R85" s="163"/>
      <c r="S85" s="163"/>
      <c r="T85" s="163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</row>
    <row r="86" spans="1:58" ht="16.5" thickBot="1" x14ac:dyDescent="0.3">
      <c r="A86" s="9">
        <v>2</v>
      </c>
      <c r="B86" s="46">
        <v>0.98660000000000003</v>
      </c>
      <c r="C86" s="46"/>
      <c r="D86" s="46">
        <v>5.1547000000000001</v>
      </c>
      <c r="E86" s="48"/>
      <c r="F86" s="48">
        <v>2.1604999999999999</v>
      </c>
      <c r="G86" s="48"/>
      <c r="H86" s="181">
        <f t="shared" si="22"/>
        <v>28.16391161440464</v>
      </c>
      <c r="I86" s="181" t="e">
        <f t="shared" si="22"/>
        <v>#DIV/0!</v>
      </c>
      <c r="J86" s="13" t="e">
        <f>AVERAGE(I86)</f>
        <v>#DIV/0!</v>
      </c>
      <c r="K86" s="203"/>
      <c r="L86" s="203"/>
      <c r="M86" s="13">
        <f>((F86-K86)/D86)*100</f>
        <v>41.913205424175992</v>
      </c>
      <c r="N86" s="13" t="e">
        <f>((G86-L86)/E86)*100</f>
        <v>#DIV/0!</v>
      </c>
      <c r="O86" s="16" t="e">
        <f t="shared" si="23"/>
        <v>#DIV/0!</v>
      </c>
      <c r="P86" s="163"/>
      <c r="Q86" s="163"/>
      <c r="R86" s="163"/>
      <c r="S86" s="163"/>
      <c r="T86" s="163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23"/>
      <c r="AI86" s="169"/>
      <c r="AJ86" s="169"/>
      <c r="AK86" s="169"/>
      <c r="AL86" s="169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</row>
    <row r="87" spans="1:58" x14ac:dyDescent="0.25">
      <c r="A87" s="9">
        <v>3</v>
      </c>
      <c r="B87" s="49">
        <v>0.99619999999999997</v>
      </c>
      <c r="C87" s="49"/>
      <c r="D87" s="46">
        <v>5.5758999999999999</v>
      </c>
      <c r="E87" s="48"/>
      <c r="F87" s="48">
        <v>2.3513999999999999</v>
      </c>
      <c r="G87" s="48"/>
      <c r="H87" s="181">
        <f t="shared" si="22"/>
        <v>29.591457955761292</v>
      </c>
      <c r="I87" s="181" t="e">
        <f>(G87-C88)*100/(E87-C88)</f>
        <v>#DIV/0!</v>
      </c>
      <c r="J87" s="13" t="e">
        <f t="shared" ref="J87:J92" si="24">AVERAGE(H87:I87)</f>
        <v>#DIV/0!</v>
      </c>
      <c r="K87" s="203"/>
      <c r="L87" s="203"/>
      <c r="M87" s="13" t="e">
        <f>((F87-K87)/#REF!)*100</f>
        <v>#REF!</v>
      </c>
      <c r="N87" s="15" t="e">
        <f>((G87-L87)/E86)*100</f>
        <v>#DIV/0!</v>
      </c>
      <c r="O87" s="16" t="e">
        <f t="shared" si="23"/>
        <v>#REF!</v>
      </c>
      <c r="P87" s="163"/>
      <c r="Q87" s="163"/>
      <c r="R87" s="163"/>
      <c r="S87" s="163"/>
      <c r="T87" s="163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</row>
    <row r="88" spans="1:58" x14ac:dyDescent="0.25">
      <c r="A88" s="9">
        <v>4</v>
      </c>
      <c r="B88" s="48">
        <v>0.98839999999999995</v>
      </c>
      <c r="C88" s="48"/>
      <c r="D88" s="49">
        <v>5.5351999999999997</v>
      </c>
      <c r="E88" s="48"/>
      <c r="F88" s="48">
        <v>2.2860999999999998</v>
      </c>
      <c r="G88" s="48"/>
      <c r="H88" s="181">
        <f t="shared" si="22"/>
        <v>28.540951878244041</v>
      </c>
      <c r="I88" s="181" t="e">
        <f>(G88-#REF!)*100/(E88-#REF!)</f>
        <v>#REF!</v>
      </c>
      <c r="J88" s="13" t="e">
        <f t="shared" si="24"/>
        <v>#REF!</v>
      </c>
      <c r="K88" s="203"/>
      <c r="L88" s="203"/>
      <c r="M88" s="13" t="e">
        <f>((F88-K88)/#REF!)*100</f>
        <v>#REF!</v>
      </c>
      <c r="N88" s="15" t="e">
        <f>((G88-L88)/E88)*100</f>
        <v>#DIV/0!</v>
      </c>
      <c r="O88" s="16" t="e">
        <f t="shared" si="23"/>
        <v>#REF!</v>
      </c>
      <c r="P88" s="163"/>
      <c r="Q88" s="163"/>
      <c r="R88" s="163"/>
      <c r="S88" s="163"/>
      <c r="T88" s="163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</row>
    <row r="89" spans="1:58" x14ac:dyDescent="0.25">
      <c r="A89" s="9">
        <v>5</v>
      </c>
      <c r="B89" s="49">
        <v>1.0018</v>
      </c>
      <c r="C89" s="49"/>
      <c r="D89" s="49">
        <v>5.4230999999999998</v>
      </c>
      <c r="E89" s="49"/>
      <c r="F89" s="49">
        <v>2.2625000000000002</v>
      </c>
      <c r="G89" s="49"/>
      <c r="H89" s="181">
        <f>(F89-B89)*100/(D89-B89)</f>
        <v>28.514237893832139</v>
      </c>
      <c r="I89" s="181" t="e">
        <f t="shared" si="22"/>
        <v>#DIV/0!</v>
      </c>
      <c r="J89" s="13" t="e">
        <f t="shared" si="24"/>
        <v>#DIV/0!</v>
      </c>
      <c r="K89" s="203"/>
      <c r="L89" s="203"/>
      <c r="M89" s="13">
        <f t="shared" ref="M89:M92" si="25">((F89-K89)/D89)*100</f>
        <v>41.71968062547252</v>
      </c>
      <c r="N89" s="15" t="e">
        <f>((G89-L89)/E89)*100</f>
        <v>#DIV/0!</v>
      </c>
      <c r="O89" s="16" t="e">
        <f t="shared" si="23"/>
        <v>#DIV/0!</v>
      </c>
      <c r="P89" s="163"/>
      <c r="Q89" s="163"/>
      <c r="R89" s="163"/>
      <c r="S89" s="163"/>
      <c r="T89" s="163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</row>
    <row r="90" spans="1:58" x14ac:dyDescent="0.25">
      <c r="A90" s="9">
        <v>6</v>
      </c>
      <c r="B90" s="49"/>
      <c r="C90" s="49"/>
      <c r="D90" s="49"/>
      <c r="E90" s="49"/>
      <c r="F90" s="49"/>
      <c r="G90" s="49"/>
      <c r="H90" s="181" t="e">
        <f t="shared" si="22"/>
        <v>#DIV/0!</v>
      </c>
      <c r="I90" s="181" t="e">
        <f t="shared" si="22"/>
        <v>#DIV/0!</v>
      </c>
      <c r="J90" s="13" t="e">
        <f t="shared" si="24"/>
        <v>#DIV/0!</v>
      </c>
      <c r="K90" s="203"/>
      <c r="L90" s="203"/>
      <c r="M90" s="13" t="e">
        <f t="shared" si="25"/>
        <v>#DIV/0!</v>
      </c>
      <c r="N90" s="15" t="e">
        <f>((G90-L90)/E90)*100</f>
        <v>#DIV/0!</v>
      </c>
      <c r="O90" s="16" t="e">
        <f t="shared" si="23"/>
        <v>#DIV/0!</v>
      </c>
      <c r="P90" s="163"/>
      <c r="Q90" s="163"/>
      <c r="R90" s="163"/>
      <c r="S90" s="163"/>
      <c r="T90" s="163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</row>
    <row r="91" spans="1:58" x14ac:dyDescent="0.25">
      <c r="A91" s="215" t="s">
        <v>123</v>
      </c>
      <c r="B91" s="49">
        <v>0.99739999999999995</v>
      </c>
      <c r="C91" s="49"/>
      <c r="D91" s="49">
        <v>5.5205000000000002</v>
      </c>
      <c r="E91" s="49"/>
      <c r="F91" s="49">
        <v>2.3025000000000002</v>
      </c>
      <c r="G91" s="49"/>
      <c r="H91" s="181">
        <f t="shared" si="22"/>
        <v>28.854104485861477</v>
      </c>
      <c r="I91" s="181" t="e">
        <f t="shared" si="22"/>
        <v>#DIV/0!</v>
      </c>
      <c r="J91" s="13" t="e">
        <f t="shared" si="24"/>
        <v>#DIV/0!</v>
      </c>
      <c r="K91" s="203"/>
      <c r="L91" s="14"/>
      <c r="M91" s="13">
        <f t="shared" si="25"/>
        <v>41.70817860701024</v>
      </c>
      <c r="N91" s="15" t="e">
        <f>((G91-L91)/E91)*100</f>
        <v>#DIV/0!</v>
      </c>
      <c r="O91" s="16" t="e">
        <f t="shared" si="23"/>
        <v>#DIV/0!</v>
      </c>
      <c r="P91" s="163"/>
      <c r="Q91" s="163"/>
      <c r="R91" s="163"/>
      <c r="S91" s="163"/>
      <c r="T91" s="163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</row>
    <row r="92" spans="1:58" ht="16.5" thickBot="1" x14ac:dyDescent="0.3">
      <c r="A92" s="210" t="s">
        <v>124</v>
      </c>
      <c r="B92" s="51">
        <v>0.99319999999999997</v>
      </c>
      <c r="C92" s="51"/>
      <c r="D92" s="51">
        <v>5.1102100000000004</v>
      </c>
      <c r="E92" s="51"/>
      <c r="F92" s="51">
        <v>1.1448</v>
      </c>
      <c r="G92" s="51"/>
      <c r="H92" s="181">
        <f t="shared" si="22"/>
        <v>3.6822839876512337</v>
      </c>
      <c r="I92" s="181" t="e">
        <f t="shared" si="22"/>
        <v>#DIV/0!</v>
      </c>
      <c r="J92" s="13" t="e">
        <f t="shared" si="24"/>
        <v>#DIV/0!</v>
      </c>
      <c r="K92" s="18"/>
      <c r="L92" s="18"/>
      <c r="M92" s="17">
        <f t="shared" si="25"/>
        <v>22.402210476673172</v>
      </c>
      <c r="N92" s="19" t="e">
        <f>((G92-L92)/E92)*100</f>
        <v>#DIV/0!</v>
      </c>
      <c r="O92" s="20" t="e">
        <f t="shared" si="23"/>
        <v>#DIV/0!</v>
      </c>
      <c r="P92" s="163"/>
      <c r="Q92" s="163"/>
      <c r="R92" s="163"/>
      <c r="S92" s="163"/>
      <c r="T92" s="163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</row>
    <row r="93" spans="1:58" x14ac:dyDescent="0.25">
      <c r="A93" s="264"/>
      <c r="B93" s="207"/>
      <c r="C93" s="271"/>
      <c r="D93" s="33"/>
      <c r="E93" s="187"/>
      <c r="F93" s="97"/>
      <c r="G93" s="97"/>
      <c r="H93" s="61">
        <f t="shared" ref="H93" si="26">F93-G93</f>
        <v>0</v>
      </c>
      <c r="I93" s="8" t="e">
        <f t="shared" ref="I93" si="27" xml:space="preserve"> (H93*$B$27*$B$19)/ (D93*$B$20*C93)</f>
        <v>#DIV/0!</v>
      </c>
      <c r="J93" s="32"/>
      <c r="K93" s="116"/>
      <c r="L93" s="32"/>
      <c r="M93" s="32"/>
      <c r="N93" s="188"/>
      <c r="O93" s="7"/>
      <c r="P93" s="187"/>
      <c r="Q93" s="187"/>
      <c r="R93" s="189"/>
      <c r="S93" s="190"/>
      <c r="T93" s="190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</row>
    <row r="94" spans="1:58" x14ac:dyDescent="0.25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</row>
    <row r="95" spans="1:58" ht="16.5" thickBot="1" x14ac:dyDescent="0.3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 t="s">
        <v>111</v>
      </c>
      <c r="M95" s="163"/>
      <c r="N95" s="163"/>
      <c r="O95" s="163"/>
    </row>
    <row r="96" spans="1:58" s="25" customFormat="1" ht="99" customHeight="1" thickBot="1" x14ac:dyDescent="0.3">
      <c r="A96" s="58" t="s">
        <v>77</v>
      </c>
      <c r="B96" s="59" t="s">
        <v>125</v>
      </c>
      <c r="C96" s="59" t="s">
        <v>126</v>
      </c>
      <c r="D96" s="53" t="s">
        <v>127</v>
      </c>
      <c r="E96" s="60" t="s">
        <v>128</v>
      </c>
      <c r="F96" s="52" t="s">
        <v>129</v>
      </c>
      <c r="G96" s="55" t="s">
        <v>130</v>
      </c>
      <c r="H96" s="53" t="s">
        <v>131</v>
      </c>
      <c r="I96" s="216" t="s">
        <v>132</v>
      </c>
      <c r="J96" s="104" t="s">
        <v>133</v>
      </c>
      <c r="K96" s="104" t="s">
        <v>134</v>
      </c>
      <c r="L96" s="104" t="s">
        <v>135</v>
      </c>
      <c r="M96" s="105" t="s">
        <v>133</v>
      </c>
      <c r="N96" s="105" t="s">
        <v>134</v>
      </c>
      <c r="O96" s="105" t="s">
        <v>135</v>
      </c>
      <c r="P96" s="105" t="s">
        <v>136</v>
      </c>
      <c r="Q96" s="106" t="s">
        <v>137</v>
      </c>
      <c r="R96" s="107" t="s">
        <v>129</v>
      </c>
      <c r="S96" s="108" t="s">
        <v>130</v>
      </c>
      <c r="T96" s="108" t="s">
        <v>131</v>
      </c>
      <c r="U96" s="108" t="s">
        <v>132</v>
      </c>
      <c r="V96" s="108" t="s">
        <v>133</v>
      </c>
      <c r="W96" s="108" t="s">
        <v>134</v>
      </c>
      <c r="X96" s="108" t="s">
        <v>135</v>
      </c>
      <c r="Y96" s="110" t="s">
        <v>133</v>
      </c>
      <c r="Z96" s="110" t="s">
        <v>134</v>
      </c>
      <c r="AA96" s="110" t="s">
        <v>135</v>
      </c>
      <c r="AB96" s="111" t="s">
        <v>136</v>
      </c>
      <c r="AC96" s="52" t="s">
        <v>129</v>
      </c>
      <c r="AD96" s="55" t="s">
        <v>130</v>
      </c>
      <c r="AE96" s="53" t="s">
        <v>131</v>
      </c>
      <c r="AF96" s="55" t="s">
        <v>132</v>
      </c>
      <c r="AG96" s="53" t="s">
        <v>138</v>
      </c>
      <c r="AH96" s="53" t="s">
        <v>139</v>
      </c>
      <c r="AI96" s="53" t="s">
        <v>140</v>
      </c>
      <c r="AJ96" s="53" t="s">
        <v>141</v>
      </c>
      <c r="AK96" s="53" t="s">
        <v>142</v>
      </c>
      <c r="AL96" s="53" t="s">
        <v>143</v>
      </c>
      <c r="AM96" s="53" t="s">
        <v>144</v>
      </c>
      <c r="AN96" s="56" t="s">
        <v>138</v>
      </c>
      <c r="AO96" s="56" t="s">
        <v>139</v>
      </c>
      <c r="AP96" s="57" t="s">
        <v>140</v>
      </c>
      <c r="AQ96" s="56" t="s">
        <v>145</v>
      </c>
      <c r="AR96" s="54" t="s">
        <v>146</v>
      </c>
      <c r="AS96" s="52" t="s">
        <v>147</v>
      </c>
      <c r="AT96" s="53" t="s">
        <v>148</v>
      </c>
      <c r="AU96" s="53" t="s">
        <v>149</v>
      </c>
      <c r="AV96" s="53" t="s">
        <v>150</v>
      </c>
      <c r="AW96" s="54"/>
      <c r="AX96" s="160" t="s">
        <v>151</v>
      </c>
      <c r="AY96" s="160" t="s">
        <v>152</v>
      </c>
    </row>
    <row r="97" spans="1:65" s="122" customFormat="1" x14ac:dyDescent="0.25">
      <c r="A97" s="217">
        <f t="shared" ref="A97:A101" si="28">I33</f>
        <v>16.998850350391223</v>
      </c>
      <c r="B97" s="218">
        <f t="shared" ref="B97:B100" si="29">C41</f>
        <v>61</v>
      </c>
      <c r="C97" s="218">
        <f t="shared" ref="C97:C100" si="30">B41</f>
        <v>105.5</v>
      </c>
      <c r="D97" s="218">
        <f t="shared" ref="D97:D100" si="31">J62</f>
        <v>27.289510868916494</v>
      </c>
      <c r="E97" s="219">
        <f t="shared" ref="E97:E100" si="32">K51*1000</f>
        <v>945.00000000000693</v>
      </c>
      <c r="F97" s="220">
        <f>AVERAGE(B97)</f>
        <v>61</v>
      </c>
      <c r="G97" s="218">
        <f>F97-B97</f>
        <v>0</v>
      </c>
      <c r="H97" s="218">
        <v>20</v>
      </c>
      <c r="I97" s="216">
        <f>IF(AND(G97&gt;H97,G98&gt;H98),1,2)</f>
        <v>2</v>
      </c>
      <c r="J97" s="216" t="e">
        <f>INDEX(A97:A102,MATCH(1,I97:I102,0))</f>
        <v>#N/A</v>
      </c>
      <c r="K97" s="216" t="e">
        <f>INDEX(D97:D102,MATCH(1,I97:I102,0))</f>
        <v>#N/A</v>
      </c>
      <c r="L97" s="216" t="e">
        <f>INDEX(E97:E102,MATCH(1,I97:I102,0))</f>
        <v>#N/A</v>
      </c>
      <c r="M97" s="216" t="e">
        <f>J97</f>
        <v>#N/A</v>
      </c>
      <c r="N97" s="216" t="e">
        <f>K97</f>
        <v>#N/A</v>
      </c>
      <c r="O97" s="216" t="e">
        <f>L97</f>
        <v>#N/A</v>
      </c>
      <c r="P97" s="216"/>
      <c r="Q97" s="252"/>
      <c r="R97" s="253">
        <f>AVERAGE(C97)</f>
        <v>105.5</v>
      </c>
      <c r="S97" s="249">
        <f>R97-C97</f>
        <v>0</v>
      </c>
      <c r="T97" s="248">
        <v>20</v>
      </c>
      <c r="U97" s="248">
        <f>IF(AND(S97&gt;T97,S98&lt;T98),1,2)</f>
        <v>2</v>
      </c>
      <c r="V97" s="248">
        <f>INDEX(A97:A101,MATCH(1,U97:U101,0))</f>
        <v>23.423112392560473</v>
      </c>
      <c r="W97" s="248">
        <f>INDEX(D97:D101,MATCH(1,U97:U101,0))</f>
        <v>28.224730412204774</v>
      </c>
      <c r="X97" s="248">
        <f>INDEX(E97:E101,MATCH(1,U97:U101,0))</f>
        <v>614.99999999999886</v>
      </c>
      <c r="Y97" s="250">
        <f>IF(AB97=1,INDEX(A97:A101,MATCH(1,AX97:AX101,0)),V97)</f>
        <v>23.423112392560473</v>
      </c>
      <c r="Z97" s="249">
        <f>IF(AB97=1,INDEX(D97:D101,MATCH(1,AX97:AX101,0)),W97)</f>
        <v>28.224730412204774</v>
      </c>
      <c r="AA97" s="249">
        <f>IF(AB97=1,INDEX(E97:E101,MATCH(1,AX97:AX101,0)),X97)</f>
        <v>614.99999999999886</v>
      </c>
      <c r="AB97" s="282">
        <v>1</v>
      </c>
      <c r="AC97" s="256">
        <f>AVERAGE(D97)</f>
        <v>27.289510868916494</v>
      </c>
      <c r="AD97" s="251">
        <v>0</v>
      </c>
      <c r="AE97" s="251">
        <v>1</v>
      </c>
      <c r="AF97" s="251">
        <f>IF(AND(AD97&gt;AE97,AD98&lt;AE98),1,2)</f>
        <v>2</v>
      </c>
      <c r="AG97" s="251">
        <f>INDEX(A97:A101,MATCH(1,AF97:AF101,0))</f>
        <v>25.255675568108494</v>
      </c>
      <c r="AH97" s="251">
        <f>INDEX(D97:D101,MATCH(1,AF97:AF101,0))</f>
        <v>28.639276929543215</v>
      </c>
      <c r="AI97" s="251">
        <f>INDEX(E97:E101,MATCH(1,AF97:AF101,0))</f>
        <v>380.00000000000256</v>
      </c>
      <c r="AJ97" s="251">
        <v>812</v>
      </c>
      <c r="AK97" s="262">
        <f>IF(AND(ISNUMBER(AG97), AG97&lt;AJ97), AI97,"")</f>
        <v>380.00000000000256</v>
      </c>
      <c r="AL97" s="251"/>
      <c r="AM97" s="262">
        <f>IF((AJ97&gt;AK97),1,2)</f>
        <v>1</v>
      </c>
      <c r="AN97" s="250">
        <f>IF(AQ97=1,INDEX(A97:A101,MATCH(1,AY97:AY101,0)),AG97)</f>
        <v>21.497774286692305</v>
      </c>
      <c r="AO97" s="251">
        <f>IF(AQ97=1,INDEX(D97:D101,MATCH(1,AY97:AY101,0)),AH97)</f>
        <v>29.599999326208483</v>
      </c>
      <c r="AP97" s="251">
        <f>IF(AQ97=1,INDEX(E97:E101,MATCH(1,AY97:AY101,0)),AI97)</f>
        <v>694.99999999999011</v>
      </c>
      <c r="AQ97" s="283">
        <v>1</v>
      </c>
      <c r="AR97" s="254"/>
      <c r="AS97" s="263">
        <f>D15</f>
        <v>23.342175066312997</v>
      </c>
      <c r="AT97" s="251">
        <f>J68</f>
        <v>28.508978053396572</v>
      </c>
      <c r="AU97" s="251">
        <f>K57*1000</f>
        <v>485.0000000000021</v>
      </c>
      <c r="AV97" s="251">
        <f>J69</f>
        <v>3.7686513111867597</v>
      </c>
      <c r="AW97" s="257"/>
      <c r="AX97" s="260"/>
      <c r="AY97" s="261"/>
      <c r="AZ97" s="225"/>
      <c r="BA97" s="225"/>
      <c r="BB97" s="225"/>
      <c r="BC97" s="225"/>
      <c r="BD97" s="225"/>
      <c r="BE97" s="225"/>
      <c r="BF97" s="225"/>
      <c r="BG97" s="225"/>
      <c r="BH97" s="225"/>
      <c r="BI97" s="225"/>
      <c r="BJ97" s="225"/>
      <c r="BK97" s="225"/>
      <c r="BL97" s="225"/>
      <c r="BM97" s="225"/>
    </row>
    <row r="98" spans="1:65" s="122" customFormat="1" x14ac:dyDescent="0.25">
      <c r="A98" s="217">
        <f t="shared" si="28"/>
        <v>19.0551448807066</v>
      </c>
      <c r="B98" s="218">
        <f t="shared" si="29"/>
        <v>58.3</v>
      </c>
      <c r="C98" s="218">
        <f t="shared" si="30"/>
        <v>71</v>
      </c>
      <c r="D98" s="218">
        <f t="shared" si="31"/>
        <v>28.090266313217189</v>
      </c>
      <c r="E98" s="219">
        <f t="shared" si="32"/>
        <v>789.99999999999068</v>
      </c>
      <c r="F98" s="220">
        <f>AVERAGE(B97:B98)</f>
        <v>59.65</v>
      </c>
      <c r="G98" s="218">
        <f>(F97-B98)*100/F97</f>
        <v>4.4262295081967258</v>
      </c>
      <c r="H98" s="218">
        <v>20</v>
      </c>
      <c r="I98" s="216">
        <f>IF(AND(G97&gt;H97,G98&gt;H98,G99&lt;H99),1,2)</f>
        <v>2</v>
      </c>
      <c r="J98" s="216"/>
      <c r="K98" s="216"/>
      <c r="L98" s="216"/>
      <c r="M98" s="226"/>
      <c r="N98" s="216"/>
      <c r="O98" s="216"/>
      <c r="P98" s="216"/>
      <c r="Q98" s="252"/>
      <c r="R98" s="253">
        <f t="shared" ref="R98:R101" si="33">AVERAGE(C97:C98)</f>
        <v>88.25</v>
      </c>
      <c r="S98" s="249">
        <f t="shared" ref="S98:S101" si="34">(R97-C98)*100/R97</f>
        <v>32.70142180094787</v>
      </c>
      <c r="T98" s="248">
        <v>20</v>
      </c>
      <c r="U98" s="248">
        <f>IF(AND(S97&gt;T97,S98&gt;T98,S99&lt;T99),1,2)</f>
        <v>2</v>
      </c>
      <c r="V98" s="248"/>
      <c r="W98" s="248"/>
      <c r="X98" s="248"/>
      <c r="Y98" s="249"/>
      <c r="Z98" s="249"/>
      <c r="AA98" s="249"/>
      <c r="AB98" s="255"/>
      <c r="AC98" s="256">
        <f t="shared" ref="AC98:AC101" si="35">AVERAGE(D97:D98)</f>
        <v>27.68988859106684</v>
      </c>
      <c r="AD98" s="251">
        <v>7.8009136625751321</v>
      </c>
      <c r="AE98" s="251">
        <v>1</v>
      </c>
      <c r="AF98" s="251">
        <f>IF(AND(AD97&gt;AE97,AD98&gt;AE98,AD99&lt;AE99),1,2)</f>
        <v>2</v>
      </c>
      <c r="AG98" s="251"/>
      <c r="AH98" s="251"/>
      <c r="AI98" s="251"/>
      <c r="AJ98" s="251"/>
      <c r="AK98" s="251"/>
      <c r="AL98" s="251"/>
      <c r="AM98" s="251"/>
      <c r="AN98" s="251"/>
      <c r="AO98" s="251"/>
      <c r="AP98" s="251"/>
      <c r="AQ98" s="251"/>
      <c r="AR98" s="254"/>
      <c r="AS98" s="263"/>
      <c r="AT98" s="251"/>
      <c r="AU98" s="251"/>
      <c r="AV98" s="251"/>
      <c r="AW98" s="257"/>
      <c r="AX98" s="258"/>
      <c r="AY98" s="259"/>
      <c r="AZ98" s="225"/>
      <c r="BA98" s="225"/>
      <c r="BB98" s="225"/>
      <c r="BC98" s="225"/>
      <c r="BD98" s="225"/>
      <c r="BE98" s="225"/>
      <c r="BF98" s="225"/>
      <c r="BG98" s="225"/>
      <c r="BH98" s="225"/>
      <c r="BI98" s="225"/>
      <c r="BJ98" s="225"/>
      <c r="BK98" s="225"/>
      <c r="BL98" s="225"/>
      <c r="BM98" s="225"/>
    </row>
    <row r="99" spans="1:65" s="122" customFormat="1" x14ac:dyDescent="0.25">
      <c r="A99" s="217">
        <f t="shared" si="28"/>
        <v>21.497774286692305</v>
      </c>
      <c r="B99" s="218">
        <f t="shared" si="29"/>
        <v>48.4</v>
      </c>
      <c r="C99" s="218">
        <f t="shared" si="30"/>
        <v>55</v>
      </c>
      <c r="D99" s="218">
        <f t="shared" si="31"/>
        <v>29.599999326208483</v>
      </c>
      <c r="E99" s="219">
        <f t="shared" si="32"/>
        <v>694.99999999999011</v>
      </c>
      <c r="F99" s="220">
        <f>AVERAGE(B98:B99)</f>
        <v>53.349999999999994</v>
      </c>
      <c r="G99" s="218">
        <f>(F98-B99)*100/F98</f>
        <v>18.860016764459345</v>
      </c>
      <c r="H99" s="218">
        <v>20</v>
      </c>
      <c r="I99" s="216">
        <f>IF(AND(G98&gt;H98,G99&gt;H99,G100&lt;H100),1,2)</f>
        <v>2</v>
      </c>
      <c r="J99" s="216"/>
      <c r="K99" s="216"/>
      <c r="L99" s="216"/>
      <c r="M99" s="216"/>
      <c r="N99" s="216"/>
      <c r="O99" s="216"/>
      <c r="P99" s="216"/>
      <c r="Q99" s="252"/>
      <c r="R99" s="253">
        <f t="shared" si="33"/>
        <v>63</v>
      </c>
      <c r="S99" s="249">
        <f t="shared" si="34"/>
        <v>37.677053824362609</v>
      </c>
      <c r="T99" s="248">
        <v>20</v>
      </c>
      <c r="U99" s="248">
        <f>IF(AND(S98&gt;T98,S99&gt;T99,S100&lt;T100),1,2)</f>
        <v>2</v>
      </c>
      <c r="V99" s="248"/>
      <c r="W99" s="248"/>
      <c r="X99" s="248"/>
      <c r="Y99" s="249"/>
      <c r="Z99" s="249"/>
      <c r="AA99" s="249"/>
      <c r="AB99" s="255"/>
      <c r="AC99" s="256">
        <f t="shared" si="35"/>
        <v>28.845132819712838</v>
      </c>
      <c r="AD99" s="251">
        <v>5.5282039457338481</v>
      </c>
      <c r="AE99" s="251">
        <v>1</v>
      </c>
      <c r="AF99" s="251">
        <f>IF(AND(AD98&gt;AE98,AD99&gt;AE99,AD100&lt;AE100),1,2)</f>
        <v>2</v>
      </c>
      <c r="AG99" s="251"/>
      <c r="AH99" s="251"/>
      <c r="AI99" s="251"/>
      <c r="AJ99" s="251"/>
      <c r="AK99" s="251"/>
      <c r="AL99" s="251"/>
      <c r="AM99" s="251"/>
      <c r="AN99" s="251"/>
      <c r="AO99" s="251"/>
      <c r="AP99" s="251"/>
      <c r="AQ99" s="251"/>
      <c r="AR99" s="254"/>
      <c r="AS99" s="263"/>
      <c r="AT99" s="251"/>
      <c r="AU99" s="251"/>
      <c r="AV99" s="251"/>
      <c r="AW99" s="257"/>
      <c r="AX99" s="258"/>
      <c r="AY99" s="259">
        <v>1</v>
      </c>
      <c r="AZ99" s="225"/>
      <c r="BA99" s="225"/>
      <c r="BB99" s="225"/>
      <c r="BC99" s="225"/>
      <c r="BD99" s="225"/>
      <c r="BE99" s="225"/>
      <c r="BF99" s="225"/>
      <c r="BG99" s="225"/>
      <c r="BH99" s="225"/>
      <c r="BI99" s="225"/>
      <c r="BJ99" s="225"/>
      <c r="BK99" s="225"/>
      <c r="BL99" s="225"/>
      <c r="BM99" s="225"/>
    </row>
    <row r="100" spans="1:65" s="122" customFormat="1" x14ac:dyDescent="0.25">
      <c r="A100" s="217">
        <f t="shared" si="28"/>
        <v>23.423112392560473</v>
      </c>
      <c r="B100" s="218">
        <f t="shared" si="29"/>
        <v>36.1</v>
      </c>
      <c r="C100" s="218">
        <f t="shared" si="30"/>
        <v>32.4</v>
      </c>
      <c r="D100" s="218">
        <f t="shared" si="31"/>
        <v>28.224730412204774</v>
      </c>
      <c r="E100" s="219">
        <f t="shared" si="32"/>
        <v>614.99999999999886</v>
      </c>
      <c r="F100" s="220">
        <f>AVERAGE(B99:B100)</f>
        <v>42.25</v>
      </c>
      <c r="G100" s="218">
        <f>(F99-B100)*100/F99</f>
        <v>32.333645735707584</v>
      </c>
      <c r="H100" s="218">
        <v>20</v>
      </c>
      <c r="I100" s="216">
        <f>IF(AND(G99&gt;H99,G100&gt;H100,G101&lt;H101),1,2)</f>
        <v>2</v>
      </c>
      <c r="J100" s="216"/>
      <c r="K100" s="216"/>
      <c r="L100" s="216"/>
      <c r="M100" s="216"/>
      <c r="N100" s="216"/>
      <c r="O100" s="216"/>
      <c r="P100" s="216"/>
      <c r="Q100" s="252"/>
      <c r="R100" s="253">
        <f t="shared" si="33"/>
        <v>43.7</v>
      </c>
      <c r="S100" s="249">
        <f t="shared" si="34"/>
        <v>48.571428571428569</v>
      </c>
      <c r="T100" s="248">
        <v>20</v>
      </c>
      <c r="U100" s="248">
        <f>IF(AND(S99&gt;T99,S100&gt;T100,S101&lt;T101),1,2)</f>
        <v>1</v>
      </c>
      <c r="V100" s="248"/>
      <c r="W100" s="248"/>
      <c r="X100" s="248"/>
      <c r="Y100" s="249"/>
      <c r="Z100" s="249"/>
      <c r="AA100" s="249"/>
      <c r="AB100" s="255"/>
      <c r="AC100" s="256">
        <f t="shared" si="35"/>
        <v>28.912364869206627</v>
      </c>
      <c r="AD100" s="251">
        <v>2.4617467123040333</v>
      </c>
      <c r="AE100" s="251">
        <v>1</v>
      </c>
      <c r="AF100" s="251">
        <f>IF(AND(AD99&gt;AE99,AD100&gt;AE100,AD101&lt;AE101),1,2)</f>
        <v>2</v>
      </c>
      <c r="AG100" s="251"/>
      <c r="AH100" s="251"/>
      <c r="AI100" s="251"/>
      <c r="AJ100" s="251"/>
      <c r="AK100" s="251"/>
      <c r="AL100" s="251"/>
      <c r="AM100" s="251"/>
      <c r="AN100" s="251"/>
      <c r="AO100" s="251"/>
      <c r="AP100" s="251"/>
      <c r="AQ100" s="251"/>
      <c r="AR100" s="254"/>
      <c r="AS100" s="263"/>
      <c r="AT100" s="251"/>
      <c r="AU100" s="251"/>
      <c r="AV100" s="251"/>
      <c r="AW100" s="257"/>
      <c r="AX100" s="258">
        <v>1</v>
      </c>
      <c r="AY100" s="259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5"/>
      <c r="BJ100" s="225"/>
      <c r="BK100" s="225"/>
      <c r="BL100" s="225"/>
      <c r="BM100" s="225"/>
    </row>
    <row r="101" spans="1:65" s="122" customFormat="1" x14ac:dyDescent="0.25">
      <c r="A101" s="217">
        <f t="shared" si="28"/>
        <v>25.255675568108494</v>
      </c>
      <c r="B101" s="218">
        <f>C45</f>
        <v>44</v>
      </c>
      <c r="C101" s="218">
        <f>B45</f>
        <v>40</v>
      </c>
      <c r="D101" s="218">
        <f>J66</f>
        <v>28.639276929543215</v>
      </c>
      <c r="E101" s="219">
        <f>K55*1000</f>
        <v>380.00000000000256</v>
      </c>
      <c r="F101" s="220">
        <f>AVERAGE(B100:B101)</f>
        <v>40.049999999999997</v>
      </c>
      <c r="G101" s="218">
        <f>(F100-B101)*100/F100</f>
        <v>-4.1420118343195265</v>
      </c>
      <c r="H101" s="218">
        <v>20</v>
      </c>
      <c r="I101" s="216">
        <f>IF(AND(G100&gt;H100,G101&gt;H101),1,2)</f>
        <v>2</v>
      </c>
      <c r="J101" s="216"/>
      <c r="K101" s="216"/>
      <c r="L101" s="216"/>
      <c r="M101" s="216"/>
      <c r="N101" s="216"/>
      <c r="O101" s="216"/>
      <c r="P101" s="216"/>
      <c r="Q101" s="252"/>
      <c r="R101" s="253">
        <f t="shared" si="33"/>
        <v>36.200000000000003</v>
      </c>
      <c r="S101" s="249">
        <f t="shared" si="34"/>
        <v>8.4668192219679685</v>
      </c>
      <c r="T101" s="248">
        <v>20</v>
      </c>
      <c r="U101" s="248">
        <f>IF(AND(S100&gt;T100,S101&gt;T101),1,2)</f>
        <v>2</v>
      </c>
      <c r="V101" s="248"/>
      <c r="W101" s="248"/>
      <c r="X101" s="248"/>
      <c r="Y101" s="249"/>
      <c r="Z101" s="249"/>
      <c r="AA101" s="249"/>
      <c r="AB101" s="255"/>
      <c r="AC101" s="256">
        <f t="shared" si="35"/>
        <v>28.432003670873996</v>
      </c>
      <c r="AD101" s="251">
        <v>1.1534192292633458</v>
      </c>
      <c r="AE101" s="251">
        <v>1</v>
      </c>
      <c r="AF101" s="251">
        <f>IF(AND(AD100&gt;AE100,AD101&gt;AE101),1,2)</f>
        <v>1</v>
      </c>
      <c r="AG101" s="251"/>
      <c r="AH101" s="251"/>
      <c r="AI101" s="251"/>
      <c r="AJ101" s="251"/>
      <c r="AK101" s="251"/>
      <c r="AL101" s="251"/>
      <c r="AM101" s="251"/>
      <c r="AN101" s="251"/>
      <c r="AO101" s="251"/>
      <c r="AP101" s="251"/>
      <c r="AQ101" s="251"/>
      <c r="AR101" s="254"/>
      <c r="AS101" s="263"/>
      <c r="AT101" s="251"/>
      <c r="AU101" s="251"/>
      <c r="AV101" s="251"/>
      <c r="AW101" s="257"/>
      <c r="AX101" s="258"/>
      <c r="AY101" s="259"/>
      <c r="AZ101" s="225"/>
      <c r="BA101" s="225"/>
      <c r="BB101" s="225"/>
      <c r="BC101" s="225"/>
      <c r="BD101" s="225"/>
      <c r="BE101" s="225"/>
      <c r="BF101" s="225"/>
      <c r="BG101" s="225"/>
      <c r="BH101" s="225"/>
      <c r="BI101" s="225"/>
      <c r="BJ101" s="225"/>
      <c r="BK101" s="225"/>
      <c r="BL101" s="225"/>
      <c r="BM101" s="225"/>
    </row>
    <row r="102" spans="1:65" s="122" customFormat="1" ht="17.45" customHeight="1" x14ac:dyDescent="0.25">
      <c r="A102" s="217"/>
      <c r="B102" s="218"/>
      <c r="C102" s="218"/>
      <c r="D102" s="218"/>
      <c r="E102" s="219"/>
      <c r="F102" s="220"/>
      <c r="G102" s="218"/>
      <c r="H102" s="218"/>
      <c r="I102" s="216"/>
      <c r="J102" s="216"/>
      <c r="K102" s="216"/>
      <c r="L102" s="216"/>
      <c r="M102" s="216"/>
      <c r="N102" s="216"/>
      <c r="O102" s="216"/>
      <c r="P102" s="216"/>
      <c r="Q102" s="252"/>
      <c r="R102" s="253"/>
      <c r="S102" s="249"/>
      <c r="T102" s="248"/>
      <c r="U102" s="248"/>
      <c r="V102" s="248"/>
      <c r="W102" s="248"/>
      <c r="X102" s="248"/>
      <c r="Y102" s="249"/>
      <c r="Z102" s="249"/>
      <c r="AA102" s="249"/>
      <c r="AB102" s="255"/>
      <c r="AC102" s="256"/>
      <c r="AD102" s="251"/>
      <c r="AE102" s="251"/>
      <c r="AF102" s="251"/>
      <c r="AG102" s="251"/>
      <c r="AH102" s="251"/>
      <c r="AI102" s="251"/>
      <c r="AJ102" s="251"/>
      <c r="AK102" s="251"/>
      <c r="AL102" s="251"/>
      <c r="AM102" s="251"/>
      <c r="AN102" s="251"/>
      <c r="AO102" s="251"/>
      <c r="AP102" s="251"/>
      <c r="AQ102" s="251"/>
      <c r="AR102" s="254"/>
      <c r="AS102" s="263"/>
      <c r="AT102" s="251"/>
      <c r="AU102" s="251"/>
      <c r="AV102" s="251"/>
      <c r="AW102" s="257"/>
      <c r="AX102" s="258"/>
      <c r="AY102" s="259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5"/>
      <c r="BJ102" s="225"/>
      <c r="BK102" s="225"/>
      <c r="BL102" s="225"/>
      <c r="BM102" s="225"/>
    </row>
    <row r="103" spans="1:65" s="122" customFormat="1" ht="17.45" customHeight="1" x14ac:dyDescent="0.25">
      <c r="A103" s="217"/>
      <c r="B103" s="218"/>
      <c r="C103" s="218"/>
      <c r="D103" s="218"/>
      <c r="E103" s="219"/>
      <c r="F103" s="220"/>
      <c r="G103" s="218"/>
      <c r="H103" s="218"/>
      <c r="I103" s="216"/>
      <c r="J103" s="216"/>
      <c r="K103" s="216"/>
      <c r="L103" s="216"/>
      <c r="M103" s="216"/>
      <c r="N103" s="216"/>
      <c r="O103" s="216"/>
      <c r="P103" s="216"/>
      <c r="Q103" s="252"/>
      <c r="R103" s="253"/>
      <c r="S103" s="249"/>
      <c r="T103" s="248"/>
      <c r="U103" s="248"/>
      <c r="V103" s="248"/>
      <c r="W103" s="248"/>
      <c r="X103" s="248"/>
      <c r="Y103" s="249"/>
      <c r="Z103" s="249"/>
      <c r="AA103" s="249"/>
      <c r="AB103" s="255"/>
      <c r="AC103" s="256"/>
      <c r="AD103" s="251"/>
      <c r="AE103" s="251"/>
      <c r="AF103" s="251"/>
      <c r="AG103" s="251"/>
      <c r="AH103" s="251"/>
      <c r="AI103" s="251"/>
      <c r="AJ103" s="251"/>
      <c r="AK103" s="251"/>
      <c r="AL103" s="251"/>
      <c r="AM103" s="251"/>
      <c r="AN103" s="251"/>
      <c r="AO103" s="251"/>
      <c r="AP103" s="251"/>
      <c r="AQ103" s="251"/>
      <c r="AR103" s="254"/>
      <c r="AS103" s="263"/>
      <c r="AT103" s="251"/>
      <c r="AU103" s="251"/>
      <c r="AV103" s="251"/>
      <c r="AW103" s="257"/>
      <c r="AX103" s="258"/>
      <c r="AY103" s="259"/>
      <c r="AZ103" s="225"/>
      <c r="BA103" s="225"/>
      <c r="BB103" s="225"/>
      <c r="BC103" s="225"/>
      <c r="BD103" s="225"/>
      <c r="BE103" s="225"/>
      <c r="BF103" s="225"/>
      <c r="BG103" s="225"/>
      <c r="BH103" s="225"/>
      <c r="BI103" s="225"/>
      <c r="BJ103" s="225"/>
      <c r="BK103" s="225"/>
      <c r="BL103" s="225"/>
      <c r="BM103" s="225"/>
    </row>
    <row r="108" spans="1:65" x14ac:dyDescent="0.25">
      <c r="I108" s="182" t="s">
        <v>153</v>
      </c>
    </row>
  </sheetData>
  <mergeCells count="23">
    <mergeCell ref="V13:W13"/>
    <mergeCell ref="U5:AL7"/>
    <mergeCell ref="A6:D6"/>
    <mergeCell ref="F6:J6"/>
    <mergeCell ref="V10:X11"/>
    <mergeCell ref="AI10:AK11"/>
    <mergeCell ref="A31:R31"/>
    <mergeCell ref="V14:W14"/>
    <mergeCell ref="AF16:AK17"/>
    <mergeCell ref="A17:C17"/>
    <mergeCell ref="AF18:AG20"/>
    <mergeCell ref="AF21:AG21"/>
    <mergeCell ref="AF22:AG22"/>
    <mergeCell ref="A23:C23"/>
    <mergeCell ref="AF23:AG23"/>
    <mergeCell ref="AF24:AG24"/>
    <mergeCell ref="AF25:AG25"/>
    <mergeCell ref="A26:C26"/>
    <mergeCell ref="D40:H40"/>
    <mergeCell ref="I40:M40"/>
    <mergeCell ref="A49:P49"/>
    <mergeCell ref="A60:O60"/>
    <mergeCell ref="A74:P74"/>
  </mergeCells>
  <conditionalFormatting sqref="AI21">
    <cfRule type="cellIs" dxfId="35" priority="1" operator="lessThan">
      <formula>3</formula>
    </cfRule>
    <cfRule type="cellIs" dxfId="34" priority="2" operator="greaterThan">
      <formula>3.9</formula>
    </cfRule>
    <cfRule type="cellIs" dxfId="33" priority="3" operator="between">
      <formula>3</formula>
      <formula>3.9</formula>
    </cfRule>
    <cfRule type="cellIs" dxfId="32" priority="4" operator="between">
      <formula>3</formula>
      <formula>3.9</formula>
    </cfRule>
    <cfRule type="cellIs" dxfId="31" priority="8" operator="between">
      <formula>3.15</formula>
      <formula>3.85</formula>
    </cfRule>
  </conditionalFormatting>
  <conditionalFormatting sqref="AI25">
    <cfRule type="cellIs" dxfId="30" priority="7" operator="lessThan">
      <formula>812</formula>
    </cfRule>
  </conditionalFormatting>
  <conditionalFormatting sqref="AI25:AK25">
    <cfRule type="cellIs" dxfId="29" priority="5" operator="greaterThan">
      <formula>1000</formula>
    </cfRule>
  </conditionalFormatting>
  <conditionalFormatting sqref="AJ25:AK25">
    <cfRule type="cellIs" dxfId="28" priority="6" operator="lessThan">
      <formula>1000</formula>
    </cfRule>
  </conditionalFormatting>
  <printOptions horizontalCentered="1"/>
  <pageMargins left="0.25" right="0.25" top="0" bottom="0" header="0.3" footer="0.3"/>
  <pageSetup paperSize="9" scale="39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E279E-C399-45B4-93D4-0BC9AB31CCE6}">
  <sheetPr codeName="Sheet51">
    <pageSetUpPr fitToPage="1"/>
  </sheetPr>
  <dimension ref="A1:BF75"/>
  <sheetViews>
    <sheetView workbookViewId="0"/>
  </sheetViews>
  <sheetFormatPr defaultColWidth="8.7109375" defaultRowHeight="15.75" outlineLevelRow="2" x14ac:dyDescent="0.25"/>
  <cols>
    <col min="1" max="1" width="39.42578125" style="22" customWidth="1"/>
    <col min="2" max="2" width="26.28515625" style="22" customWidth="1"/>
    <col min="3" max="3" width="32.28515625" style="22" customWidth="1"/>
    <col min="4" max="4" width="22.28515625" style="22" bestFit="1" customWidth="1"/>
    <col min="5" max="5" width="23.28515625" style="22" bestFit="1" customWidth="1"/>
    <col min="6" max="6" width="25.7109375" style="22" bestFit="1" customWidth="1"/>
    <col min="7" max="8" width="16.7109375" style="22" bestFit="1" customWidth="1"/>
    <col min="9" max="9" width="18.42578125" style="22" customWidth="1"/>
    <col min="10" max="10" width="15.7109375" style="22" bestFit="1" customWidth="1"/>
    <col min="11" max="11" width="16.42578125" style="22" bestFit="1" customWidth="1"/>
    <col min="12" max="12" width="16.7109375" style="22" bestFit="1" customWidth="1"/>
    <col min="13" max="13" width="17.28515625" style="22" bestFit="1" customWidth="1"/>
    <col min="14" max="14" width="10.28515625" style="22" bestFit="1" customWidth="1"/>
    <col min="15" max="15" width="11" style="22" bestFit="1" customWidth="1"/>
    <col min="16" max="16" width="18.7109375" style="22" bestFit="1" customWidth="1"/>
    <col min="17" max="17" width="11" style="22" bestFit="1" customWidth="1"/>
    <col min="18" max="18" width="11.7109375" style="22" bestFit="1" customWidth="1"/>
    <col min="19" max="21" width="11.7109375" style="22" customWidth="1"/>
    <col min="22" max="22" width="22.28515625" style="22" bestFit="1" customWidth="1"/>
    <col min="23" max="25" width="11.7109375" style="22" customWidth="1"/>
    <col min="26" max="26" width="21.28515625" style="22" bestFit="1" customWidth="1"/>
    <col min="27" max="35" width="11.7109375" style="22" customWidth="1"/>
    <col min="36" max="36" width="13.28515625" style="22" bestFit="1" customWidth="1"/>
    <col min="37" max="37" width="14.7109375" style="22" bestFit="1" customWidth="1"/>
    <col min="38" max="38" width="11.7109375" style="22" customWidth="1"/>
    <col min="39" max="39" width="9.42578125" style="22" customWidth="1"/>
    <col min="40" max="40" width="8.28515625" style="22" bestFit="1" customWidth="1"/>
    <col min="41" max="41" width="7.42578125" style="22" bestFit="1" customWidth="1"/>
    <col min="42" max="43" width="8.7109375" style="22"/>
    <col min="44" max="44" width="8.42578125" style="22" bestFit="1" customWidth="1"/>
    <col min="45" max="64" width="8.7109375" style="22"/>
    <col min="65" max="65" width="8.7109375" style="22" customWidth="1"/>
    <col min="66" max="16384" width="8.7109375" style="22"/>
  </cols>
  <sheetData>
    <row r="1" spans="1:58" x14ac:dyDescent="0.25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25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25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25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25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322" t="s">
        <v>306</v>
      </c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324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ht="16.5" thickBot="1" x14ac:dyDescent="0.3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325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6"/>
      <c r="AL6" s="327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ht="16.5" thickBot="1" x14ac:dyDescent="0.3">
      <c r="A7" s="328" t="s">
        <v>6</v>
      </c>
      <c r="B7" s="329"/>
      <c r="C7" s="329"/>
      <c r="D7" s="330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68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70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ht="16.5" thickBot="1" x14ac:dyDescent="0.3">
      <c r="A8" s="168" t="s">
        <v>10</v>
      </c>
      <c r="B8" s="26" t="s">
        <v>305</v>
      </c>
      <c r="C8" s="166" t="s">
        <v>11</v>
      </c>
      <c r="D8" s="167">
        <f>D10*B11*8.34*10000</f>
        <v>336.68913599999996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2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ht="16.5" thickBot="1" x14ac:dyDescent="0.3">
      <c r="A9" s="2" t="s">
        <v>12</v>
      </c>
      <c r="B9" s="26">
        <v>0.17499999999999999</v>
      </c>
      <c r="C9" s="170" t="s">
        <v>13</v>
      </c>
      <c r="D9" s="171">
        <f>B9*B10</f>
        <v>14.017499999999998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234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ht="16.5" thickBot="1" x14ac:dyDescent="0.3">
      <c r="A10" s="2" t="s">
        <v>18</v>
      </c>
      <c r="B10" s="27">
        <v>80.099999999999994</v>
      </c>
      <c r="C10" s="170" t="s">
        <v>19</v>
      </c>
      <c r="D10" s="171">
        <f>D9*1440/1000000</f>
        <v>2.0185199999999997E-2</v>
      </c>
      <c r="E10" s="163"/>
      <c r="F10" s="64" t="s">
        <v>20</v>
      </c>
      <c r="G10" s="65" t="s">
        <v>21</v>
      </c>
      <c r="H10" s="71">
        <f>J67</f>
        <v>-23.335884758055798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234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ht="16.5" thickBot="1" x14ac:dyDescent="0.3">
      <c r="A11" s="2" t="s">
        <v>24</v>
      </c>
      <c r="B11" s="43">
        <v>0.2</v>
      </c>
      <c r="C11" s="170" t="s">
        <v>25</v>
      </c>
      <c r="D11" s="171">
        <f>B10*1440/1000000</f>
        <v>0.11534399999999999</v>
      </c>
      <c r="E11" s="163"/>
      <c r="F11" s="64" t="s">
        <v>26</v>
      </c>
      <c r="G11" s="65" t="s">
        <v>27</v>
      </c>
      <c r="H11" s="73">
        <f>B9</f>
        <v>0.17499999999999999</v>
      </c>
      <c r="I11" s="73">
        <f>B9</f>
        <v>0.17499999999999999</v>
      </c>
      <c r="J11" s="73">
        <f>B9</f>
        <v>0.17499999999999999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234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ht="16.5" thickBot="1" x14ac:dyDescent="0.3">
      <c r="A12" s="2" t="s">
        <v>28</v>
      </c>
      <c r="B12" s="44">
        <v>6.1</v>
      </c>
      <c r="C12" s="170" t="s">
        <v>29</v>
      </c>
      <c r="D12" s="171">
        <f>(B12/(1+(B15/B14)))</f>
        <v>3.7798488664987406</v>
      </c>
      <c r="E12" s="163"/>
      <c r="F12" s="64" t="s">
        <v>30</v>
      </c>
      <c r="G12" s="65" t="s">
        <v>31</v>
      </c>
      <c r="H12" s="172">
        <f>AT70</f>
        <v>19.943019943019944</v>
      </c>
      <c r="I12" s="70">
        <f>Y70</f>
        <v>19.974</v>
      </c>
      <c r="J12" s="70">
        <f>AO70</f>
        <v>22.138863392645668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234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ht="16.5" thickBot="1" x14ac:dyDescent="0.3">
      <c r="A13" s="2" t="s">
        <v>33</v>
      </c>
      <c r="B13" s="45">
        <v>3.51</v>
      </c>
      <c r="C13" s="170" t="s">
        <v>34</v>
      </c>
      <c r="D13" s="171">
        <f>D11*D12*8.34*(10000/2000)</f>
        <v>18.18048641531486</v>
      </c>
      <c r="E13" s="163"/>
      <c r="F13" s="64" t="s">
        <v>35</v>
      </c>
      <c r="G13" s="65" t="s">
        <v>21</v>
      </c>
      <c r="H13" s="71">
        <f>J66</f>
        <v>-23.319650759965022</v>
      </c>
      <c r="I13" s="70">
        <f>Z70</f>
        <v>-24.06077205948921</v>
      </c>
      <c r="J13" s="70">
        <f>AP70</f>
        <v>-24.06077205948921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234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32.25" thickBot="1" x14ac:dyDescent="0.3">
      <c r="A14" s="2" t="s">
        <v>40</v>
      </c>
      <c r="B14" s="28">
        <v>492</v>
      </c>
      <c r="C14" s="170" t="s">
        <v>41</v>
      </c>
      <c r="D14" s="171">
        <f>D8/D13</f>
        <v>18.519258963081434</v>
      </c>
      <c r="E14" s="163"/>
      <c r="F14" s="64" t="s">
        <v>42</v>
      </c>
      <c r="G14" s="65" t="s">
        <v>39</v>
      </c>
      <c r="H14" s="71">
        <f>AV70</f>
        <v>0</v>
      </c>
      <c r="I14" s="70">
        <f>AA70</f>
        <v>0</v>
      </c>
      <c r="J14" s="70">
        <f>AQ70</f>
        <v>0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234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32.25" thickBot="1" x14ac:dyDescent="0.45">
      <c r="A15" s="3" t="s">
        <v>46</v>
      </c>
      <c r="B15" s="29">
        <v>302</v>
      </c>
      <c r="C15" s="173" t="s">
        <v>47</v>
      </c>
      <c r="D15" s="112">
        <f>((B9*B11)/B13)*2000</f>
        <v>19.943019943019944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234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ht="16.5" thickBot="1" x14ac:dyDescent="0.3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234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149999999999999" customHeight="1" outlineLevel="2" thickBot="1" x14ac:dyDescent="0.3">
      <c r="A17" s="302" t="s">
        <v>48</v>
      </c>
      <c r="B17" s="303"/>
      <c r="C17" s="304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234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outlineLevel="2" x14ac:dyDescent="0.25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234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outlineLevel="2" x14ac:dyDescent="0.25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234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outlineLevel="2" x14ac:dyDescent="0.25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234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outlineLevel="2" x14ac:dyDescent="0.25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234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" outlineLevel="2" x14ac:dyDescent="0.25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34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" outlineLevel="2" x14ac:dyDescent="0.25">
      <c r="A23" s="315" t="s">
        <v>58</v>
      </c>
      <c r="B23" s="316"/>
      <c r="C23" s="317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234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outlineLevel="2" x14ac:dyDescent="0.25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234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25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234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25">
      <c r="A26" s="315" t="s">
        <v>63</v>
      </c>
      <c r="B26" s="316"/>
      <c r="C26" s="317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234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25">
      <c r="A27" s="177" t="s">
        <v>64</v>
      </c>
      <c r="B27" s="181">
        <v>0.2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234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82"/>
    </row>
    <row r="28" spans="1:58" ht="16.5" outlineLevel="2" thickBot="1" x14ac:dyDescent="0.3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234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82"/>
    </row>
    <row r="29" spans="1:58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234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82"/>
    </row>
    <row r="30" spans="1:58" ht="16.5" thickBot="1" x14ac:dyDescent="0.3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234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82"/>
    </row>
    <row r="31" spans="1:58" ht="18.75" x14ac:dyDescent="0.3">
      <c r="A31" s="296" t="s">
        <v>68</v>
      </c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234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82"/>
    </row>
    <row r="32" spans="1:58" ht="63" x14ac:dyDescent="0.25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234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82"/>
    </row>
    <row r="33" spans="1:57" x14ac:dyDescent="0.25">
      <c r="A33" s="30">
        <v>1</v>
      </c>
      <c r="B33" s="31">
        <v>15.5</v>
      </c>
      <c r="C33" s="31">
        <v>3.51</v>
      </c>
      <c r="D33" s="31">
        <v>501.57</v>
      </c>
      <c r="E33" s="187">
        <f t="shared" ref="E33:E38" si="0">(B33*D33*$B$20*C33)/($B$19*$B$27)</f>
        <v>68.219770073149121</v>
      </c>
      <c r="F33" s="33">
        <v>70.66</v>
      </c>
      <c r="G33" s="33">
        <v>1.95</v>
      </c>
      <c r="H33" s="61">
        <f t="shared" ref="H33:H38" si="1">F33-G33</f>
        <v>68.709999999999994</v>
      </c>
      <c r="I33" s="8">
        <f t="shared" ref="I33:I38" si="2" xml:space="preserve"> (H33*$B$27*$B$19)/ (D33*$B$20*C33)</f>
        <v>15.611383604166958</v>
      </c>
      <c r="J33" s="31">
        <v>214.3</v>
      </c>
      <c r="K33" s="31">
        <v>413.52</v>
      </c>
      <c r="L33" s="31">
        <v>365.73</v>
      </c>
      <c r="M33" s="31">
        <v>782.27</v>
      </c>
      <c r="N33" s="187">
        <v>100</v>
      </c>
      <c r="O33" s="7">
        <f t="shared" ref="O33:P38" si="3">L33-J33</f>
        <v>151.43</v>
      </c>
      <c r="P33" s="187">
        <f t="shared" si="3"/>
        <v>368.75</v>
      </c>
      <c r="Q33" s="187">
        <f t="shared" ref="Q33:Q38" si="4">((O33+P33)/O33)*(D33/(D33+H33))*C33</f>
        <v>10.604550290179542</v>
      </c>
      <c r="R33" s="189">
        <f t="shared" ref="R33:R38" si="5">$B$24/Q33*100</f>
        <v>59.641593288043957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234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25">
      <c r="A34" s="30">
        <v>2</v>
      </c>
      <c r="B34" s="31">
        <v>18.5</v>
      </c>
      <c r="C34" s="31">
        <v>3.51</v>
      </c>
      <c r="D34" s="32">
        <v>503.08</v>
      </c>
      <c r="E34" s="187">
        <f t="shared" si="0"/>
        <v>81.668726093665541</v>
      </c>
      <c r="F34" s="34">
        <v>84.35</v>
      </c>
      <c r="G34" s="34">
        <v>1.841</v>
      </c>
      <c r="H34" s="13">
        <f t="shared" si="1"/>
        <v>82.509</v>
      </c>
      <c r="I34" s="8">
        <f t="shared" si="2"/>
        <v>18.690342962486749</v>
      </c>
      <c r="J34" s="32">
        <v>209.93</v>
      </c>
      <c r="K34" s="32">
        <v>409.1</v>
      </c>
      <c r="L34" s="32">
        <v>367</v>
      </c>
      <c r="M34" s="32">
        <v>796.9</v>
      </c>
      <c r="N34" s="187">
        <v>100</v>
      </c>
      <c r="O34" s="7">
        <f t="shared" si="3"/>
        <v>157.07</v>
      </c>
      <c r="P34" s="187">
        <f t="shared" si="3"/>
        <v>387.79999999999995</v>
      </c>
      <c r="Q34" s="187">
        <f t="shared" si="4"/>
        <v>10.460463094818515</v>
      </c>
      <c r="R34" s="189">
        <f t="shared" si="5"/>
        <v>60.463123828885323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234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25">
      <c r="A35" s="30">
        <v>3</v>
      </c>
      <c r="B35" s="103">
        <v>19.974</v>
      </c>
      <c r="C35" s="31">
        <v>3.51</v>
      </c>
      <c r="D35" s="32">
        <v>500.1</v>
      </c>
      <c r="E35" s="187">
        <f t="shared" si="0"/>
        <v>87.653427063444568</v>
      </c>
      <c r="F35" s="34">
        <v>90.28</v>
      </c>
      <c r="G35" s="34">
        <v>2.23</v>
      </c>
      <c r="H35" s="13">
        <f t="shared" si="1"/>
        <v>88.05</v>
      </c>
      <c r="I35" s="8">
        <f t="shared" si="2"/>
        <v>20.064368946202464</v>
      </c>
      <c r="J35" s="32">
        <v>165.82</v>
      </c>
      <c r="K35" s="32">
        <v>409.48</v>
      </c>
      <c r="L35" s="32">
        <v>305.35000000000002</v>
      </c>
      <c r="M35" s="32">
        <v>828.5</v>
      </c>
      <c r="N35" s="187">
        <v>100</v>
      </c>
      <c r="O35" s="7">
        <f t="shared" si="3"/>
        <v>139.53000000000003</v>
      </c>
      <c r="P35" s="187">
        <f t="shared" si="3"/>
        <v>419.02</v>
      </c>
      <c r="Q35" s="187">
        <f t="shared" si="4"/>
        <v>11.947315473945181</v>
      </c>
      <c r="R35" s="189">
        <f t="shared" si="5"/>
        <v>52.93844268101887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234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25">
      <c r="A36" s="30">
        <v>4</v>
      </c>
      <c r="B36" s="31">
        <v>22</v>
      </c>
      <c r="C36" s="31">
        <v>3.51</v>
      </c>
      <c r="D36" s="32">
        <v>500.39</v>
      </c>
      <c r="E36" s="187">
        <f t="shared" si="0"/>
        <v>96.600261814273239</v>
      </c>
      <c r="F36" s="34">
        <v>98.81</v>
      </c>
      <c r="G36" s="34">
        <v>1.6</v>
      </c>
      <c r="H36" s="13">
        <f t="shared" si="1"/>
        <v>97.210000000000008</v>
      </c>
      <c r="I36" s="8">
        <f t="shared" si="2"/>
        <v>22.138863392645668</v>
      </c>
      <c r="J36" s="32">
        <v>408.72</v>
      </c>
      <c r="K36" s="32">
        <v>397.05</v>
      </c>
      <c r="L36" s="32">
        <v>580.17999999999995</v>
      </c>
      <c r="M36" s="32">
        <v>780.15</v>
      </c>
      <c r="N36" s="187">
        <v>100</v>
      </c>
      <c r="O36" s="7">
        <f t="shared" si="3"/>
        <v>171.45999999999992</v>
      </c>
      <c r="P36" s="187">
        <f t="shared" si="3"/>
        <v>383.09999999999997</v>
      </c>
      <c r="Q36" s="187">
        <f t="shared" si="4"/>
        <v>9.505848125032502</v>
      </c>
      <c r="R36" s="189">
        <f t="shared" si="5"/>
        <v>66.535070526106722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234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25">
      <c r="A37" s="30">
        <v>5</v>
      </c>
      <c r="B37" s="31">
        <v>25</v>
      </c>
      <c r="C37" s="31">
        <v>3.51</v>
      </c>
      <c r="D37" s="32">
        <v>503.58</v>
      </c>
      <c r="E37" s="187">
        <f t="shared" si="0"/>
        <v>110.47283083838178</v>
      </c>
      <c r="F37" s="34">
        <v>114.5</v>
      </c>
      <c r="G37" s="34">
        <v>2.5499999999999998</v>
      </c>
      <c r="H37" s="13">
        <f t="shared" si="1"/>
        <v>111.95</v>
      </c>
      <c r="I37" s="8">
        <f t="shared" si="2"/>
        <v>25.33428335962968</v>
      </c>
      <c r="J37" s="32">
        <v>462.55</v>
      </c>
      <c r="K37" s="32">
        <v>360.64</v>
      </c>
      <c r="L37" s="32">
        <v>630.64</v>
      </c>
      <c r="M37" s="32">
        <v>773.4</v>
      </c>
      <c r="N37" s="187">
        <v>100</v>
      </c>
      <c r="O37" s="7">
        <f t="shared" si="3"/>
        <v>168.08999999999997</v>
      </c>
      <c r="P37" s="187">
        <f t="shared" si="3"/>
        <v>412.76</v>
      </c>
      <c r="Q37" s="187">
        <f t="shared" si="4"/>
        <v>9.9231254501854789</v>
      </c>
      <c r="R37" s="189">
        <f t="shared" si="5"/>
        <v>63.737204430653946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234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ht="16.5" thickBot="1" x14ac:dyDescent="0.3">
      <c r="A38" s="94">
        <v>6</v>
      </c>
      <c r="B38" s="95"/>
      <c r="C38" s="95"/>
      <c r="D38" s="96"/>
      <c r="E38" s="245">
        <f t="shared" si="0"/>
        <v>0</v>
      </c>
      <c r="F38" s="97"/>
      <c r="G38" s="97"/>
      <c r="H38" s="13">
        <f t="shared" si="1"/>
        <v>0</v>
      </c>
      <c r="I38" s="8" t="e">
        <f t="shared" si="2"/>
        <v>#DIV/0!</v>
      </c>
      <c r="J38" s="32"/>
      <c r="K38" s="32"/>
      <c r="L38" s="96"/>
      <c r="M38" s="96"/>
      <c r="N38" s="187">
        <v>100</v>
      </c>
      <c r="O38" s="7">
        <f t="shared" si="3"/>
        <v>0</v>
      </c>
      <c r="P38" s="187">
        <f t="shared" si="3"/>
        <v>0</v>
      </c>
      <c r="Q38" s="187" t="e">
        <f t="shared" si="4"/>
        <v>#DIV/0!</v>
      </c>
      <c r="R38" s="189" t="e">
        <f t="shared" si="5"/>
        <v>#DIV/0!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234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thickBot="1" x14ac:dyDescent="0.35">
      <c r="A39" s="347" t="s">
        <v>87</v>
      </c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9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234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149999999999999" customHeight="1" thickBot="1" x14ac:dyDescent="0.3">
      <c r="A40" s="5" t="s">
        <v>69</v>
      </c>
      <c r="B40" s="5" t="s">
        <v>88</v>
      </c>
      <c r="C40" s="21" t="s">
        <v>89</v>
      </c>
      <c r="D40" s="350" t="s">
        <v>90</v>
      </c>
      <c r="E40" s="351"/>
      <c r="F40" s="351"/>
      <c r="G40" s="351"/>
      <c r="H40" s="352"/>
      <c r="I40" s="353" t="s">
        <v>91</v>
      </c>
      <c r="J40" s="354"/>
      <c r="K40" s="354"/>
      <c r="L40" s="354"/>
      <c r="M40" s="355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234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x14ac:dyDescent="0.25">
      <c r="A41" s="193">
        <v>1</v>
      </c>
      <c r="B41" s="194">
        <f>AVERAGE(D41:H41)</f>
        <v>83.3</v>
      </c>
      <c r="C41" s="195">
        <f>AVERAGE(I41:K41)</f>
        <v>45.7</v>
      </c>
      <c r="D41" s="229">
        <v>83.3</v>
      </c>
      <c r="E41" s="196"/>
      <c r="F41" s="196"/>
      <c r="G41" s="196"/>
      <c r="H41" s="197"/>
      <c r="I41" s="200">
        <v>45.7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234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ht="16.5" thickBot="1" x14ac:dyDescent="0.3">
      <c r="A42" s="193">
        <v>2</v>
      </c>
      <c r="B42" s="194">
        <f>AVERAGE(D42:H42)</f>
        <v>66.599999999999994</v>
      </c>
      <c r="C42" s="195">
        <f>AVERAGE(I42:K42)</f>
        <v>45.4</v>
      </c>
      <c r="D42" s="200">
        <v>66.599999999999994</v>
      </c>
      <c r="E42" s="200"/>
      <c r="F42" s="198"/>
      <c r="G42" s="198"/>
      <c r="H42" s="199"/>
      <c r="I42" s="200">
        <v>45.4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169"/>
      <c r="AD42" s="235"/>
      <c r="AE42" s="235"/>
      <c r="AF42" s="235"/>
      <c r="AG42" s="235"/>
      <c r="AH42" s="235"/>
      <c r="AI42" s="235"/>
      <c r="AJ42" s="235"/>
      <c r="AK42" s="235"/>
      <c r="AL42" s="236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ht="34.5" customHeight="1" x14ac:dyDescent="0.25">
      <c r="A43" s="193">
        <v>3</v>
      </c>
      <c r="B43" s="194">
        <f>AVERAGE(D43:F43)</f>
        <v>55.5</v>
      </c>
      <c r="C43" s="195">
        <f>AVERAGE(I43:K43)</f>
        <v>44.2</v>
      </c>
      <c r="D43" s="200">
        <v>55.5</v>
      </c>
      <c r="E43" s="200"/>
      <c r="F43" s="198"/>
      <c r="G43" s="198"/>
      <c r="H43" s="199"/>
      <c r="I43" s="200">
        <v>44.2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356" t="s">
        <v>307</v>
      </c>
      <c r="V43" s="357"/>
      <c r="W43" s="357"/>
      <c r="X43" s="357"/>
      <c r="Y43" s="357"/>
      <c r="Z43" s="357"/>
      <c r="AA43" s="357"/>
      <c r="AB43" s="357"/>
      <c r="AC43" s="358"/>
      <c r="AD43" s="362" t="s">
        <v>308</v>
      </c>
      <c r="AE43" s="363"/>
      <c r="AF43" s="363"/>
      <c r="AG43" s="363"/>
      <c r="AH43" s="363"/>
      <c r="AI43" s="363"/>
      <c r="AJ43" s="363"/>
      <c r="AK43" s="363"/>
      <c r="AL43" s="364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149999999999999" customHeight="1" x14ac:dyDescent="0.25">
      <c r="A44" s="193">
        <v>4</v>
      </c>
      <c r="B44" s="194">
        <f>AVERAGE(D44:F44)</f>
        <v>46.1</v>
      </c>
      <c r="C44" s="195">
        <f>AVERAGE(I44:K44)</f>
        <v>30.8</v>
      </c>
      <c r="D44" s="200">
        <v>46.1</v>
      </c>
      <c r="E44" s="198"/>
      <c r="F44" s="198"/>
      <c r="G44" s="198"/>
      <c r="H44" s="199"/>
      <c r="I44" s="200">
        <v>30.8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359"/>
      <c r="V44" s="360"/>
      <c r="W44" s="360"/>
      <c r="X44" s="360"/>
      <c r="Y44" s="360"/>
      <c r="Z44" s="360"/>
      <c r="AA44" s="360"/>
      <c r="AB44" s="360"/>
      <c r="AC44" s="361"/>
      <c r="AD44" s="359"/>
      <c r="AE44" s="360"/>
      <c r="AF44" s="360"/>
      <c r="AG44" s="360"/>
      <c r="AH44" s="360"/>
      <c r="AI44" s="360"/>
      <c r="AJ44" s="360"/>
      <c r="AK44" s="360"/>
      <c r="AL44" s="361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6.149999999999999" customHeight="1" x14ac:dyDescent="0.25">
      <c r="A45" s="193">
        <v>5</v>
      </c>
      <c r="B45" s="194">
        <f>AVERAGE(D45:F45)</f>
        <v>44.7</v>
      </c>
      <c r="C45" s="195">
        <f>AVERAGE(I45:K45)</f>
        <v>36.9</v>
      </c>
      <c r="D45" s="198">
        <v>44.7</v>
      </c>
      <c r="E45" s="198"/>
      <c r="F45" s="199"/>
      <c r="G45" s="199"/>
      <c r="H45" s="199"/>
      <c r="I45" s="200">
        <v>36.9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169"/>
      <c r="AC45" s="237"/>
      <c r="AD45" s="169"/>
      <c r="AE45" s="169"/>
      <c r="AF45" s="169"/>
      <c r="AG45" s="169"/>
      <c r="AH45" s="169"/>
      <c r="AI45" s="169"/>
      <c r="AJ45" s="169"/>
      <c r="AK45" s="169"/>
      <c r="AL45" s="238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149999999999999" customHeight="1" x14ac:dyDescent="0.25">
      <c r="A46" s="193">
        <v>6</v>
      </c>
      <c r="B46" s="194"/>
      <c r="C46" s="195"/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169"/>
      <c r="AC46" s="237"/>
      <c r="AD46" s="169"/>
      <c r="AE46" s="169"/>
      <c r="AF46" s="169"/>
      <c r="AG46" s="169"/>
      <c r="AH46" s="169"/>
      <c r="AI46" s="169"/>
      <c r="AJ46" s="169"/>
      <c r="AK46" s="169"/>
      <c r="AL46" s="238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ht="16.5" thickBot="1" x14ac:dyDescent="0.3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65" t="s">
        <v>23</v>
      </c>
      <c r="Y47" s="366"/>
      <c r="Z47" s="367"/>
      <c r="AA47" s="169"/>
      <c r="AB47" s="169"/>
      <c r="AC47" s="237"/>
      <c r="AD47" s="169"/>
      <c r="AE47" s="169"/>
      <c r="AF47" s="169"/>
      <c r="AG47" s="169"/>
      <c r="AH47" s="169"/>
      <c r="AI47" s="169"/>
      <c r="AJ47" s="169"/>
      <c r="AK47" s="169"/>
      <c r="AL47" s="238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21" customHeight="1" x14ac:dyDescent="0.25">
      <c r="A48" s="291" t="s">
        <v>92</v>
      </c>
      <c r="B48" s="292"/>
      <c r="C48" s="292"/>
      <c r="D48" s="292"/>
      <c r="E48" s="292"/>
      <c r="F48" s="292"/>
      <c r="G48" s="292"/>
      <c r="H48" s="292"/>
      <c r="I48" s="292"/>
      <c r="J48" s="292"/>
      <c r="K48" s="292"/>
      <c r="L48" s="292"/>
      <c r="M48" s="292"/>
      <c r="N48" s="292"/>
      <c r="O48" s="292"/>
      <c r="P48" s="292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169"/>
      <c r="AC48" s="237"/>
      <c r="AD48" s="169"/>
      <c r="AE48" s="169"/>
      <c r="AF48" s="169"/>
      <c r="AG48" s="169"/>
      <c r="AH48" s="169"/>
      <c r="AI48" s="169"/>
      <c r="AJ48" s="169"/>
      <c r="AK48" s="169"/>
      <c r="AL48" s="238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2.15" customHeight="1" x14ac:dyDescent="0.25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169"/>
      <c r="AC49" s="237"/>
      <c r="AD49" s="169"/>
      <c r="AE49" s="169"/>
      <c r="AF49" s="169"/>
      <c r="AG49" s="169"/>
      <c r="AH49" s="169"/>
      <c r="AI49" s="169"/>
      <c r="AJ49" s="169"/>
      <c r="AK49" s="169"/>
      <c r="AL49" s="238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82"/>
    </row>
    <row r="50" spans="1:58" ht="21" customHeight="1" x14ac:dyDescent="0.25">
      <c r="A50" s="9">
        <v>1</v>
      </c>
      <c r="B50" s="186"/>
      <c r="C50" s="186"/>
      <c r="D50" s="202">
        <v>10</v>
      </c>
      <c r="E50" s="202">
        <v>10</v>
      </c>
      <c r="F50" s="10"/>
      <c r="G50" s="10"/>
      <c r="H50" s="202">
        <v>1</v>
      </c>
      <c r="I50" s="11">
        <f>(F50-B50)*1000*H50/D50</f>
        <v>0</v>
      </c>
      <c r="J50" s="11">
        <f>(G50-C50)*1000*H50/E50</f>
        <v>0</v>
      </c>
      <c r="K50" s="12">
        <f>AVERAGE(J50)</f>
        <v>0</v>
      </c>
      <c r="L50" s="203"/>
      <c r="M50" s="203"/>
      <c r="N50" s="204">
        <f t="shared" ref="N50:N56" si="6">(F50-L50)/E50*1000000</f>
        <v>0</v>
      </c>
      <c r="O50" s="205">
        <f t="shared" ref="O50:O56" si="7">(G50-M50)/E50*1000000</f>
        <v>0</v>
      </c>
      <c r="P50" s="206">
        <f>AVERAGE(N50:O50)</f>
        <v>0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169"/>
      <c r="AC50" s="237"/>
      <c r="AD50" s="169"/>
      <c r="AE50" s="169"/>
      <c r="AF50" s="169"/>
      <c r="AG50" s="169"/>
      <c r="AH50" s="169"/>
      <c r="AI50" s="169"/>
      <c r="AJ50" s="169"/>
      <c r="AK50" s="169"/>
      <c r="AL50" s="238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82"/>
    </row>
    <row r="51" spans="1:58" ht="16.5" thickBot="1" x14ac:dyDescent="0.3">
      <c r="A51" s="9">
        <v>2</v>
      </c>
      <c r="B51" s="186"/>
      <c r="C51" s="191"/>
      <c r="D51" s="202">
        <v>10</v>
      </c>
      <c r="E51" s="202">
        <v>10</v>
      </c>
      <c r="F51" s="10"/>
      <c r="G51" s="10"/>
      <c r="H51" s="202">
        <v>1</v>
      </c>
      <c r="I51" s="11">
        <f t="shared" ref="I51:I56" si="8">(F51-B51)*1000*H51/D51</f>
        <v>0</v>
      </c>
      <c r="J51" s="11">
        <f>(G51-C51)*1000*H51/E51</f>
        <v>0</v>
      </c>
      <c r="K51" s="12">
        <f>AVERAGE(I51:J51)</f>
        <v>0</v>
      </c>
      <c r="L51" s="203"/>
      <c r="M51" s="203"/>
      <c r="N51" s="204">
        <f t="shared" si="6"/>
        <v>0</v>
      </c>
      <c r="O51" s="205">
        <f t="shared" si="7"/>
        <v>0</v>
      </c>
      <c r="P51" s="206">
        <f>AVERAGE(N51:O51)</f>
        <v>0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169"/>
      <c r="AC51" s="237"/>
      <c r="AD51" s="169"/>
      <c r="AE51" s="169"/>
      <c r="AF51" s="169"/>
      <c r="AG51" s="169"/>
      <c r="AH51" s="169"/>
      <c r="AI51" s="169"/>
      <c r="AJ51" s="169"/>
      <c r="AK51" s="169"/>
      <c r="AL51" s="238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82"/>
    </row>
    <row r="52" spans="1:58" x14ac:dyDescent="0.25">
      <c r="A52" s="9">
        <v>3</v>
      </c>
      <c r="B52" s="186"/>
      <c r="C52" s="207"/>
      <c r="D52" s="202">
        <v>10</v>
      </c>
      <c r="E52" s="202">
        <v>10</v>
      </c>
      <c r="F52" s="10"/>
      <c r="G52" s="10"/>
      <c r="H52" s="202">
        <v>1</v>
      </c>
      <c r="I52" s="11">
        <f t="shared" si="8"/>
        <v>0</v>
      </c>
      <c r="J52" s="11">
        <f>(G52-C52)*1000*H52/E52</f>
        <v>0</v>
      </c>
      <c r="K52" s="12">
        <f>AVERAGE(I52:J52)</f>
        <v>0</v>
      </c>
      <c r="L52" s="203"/>
      <c r="M52" s="203"/>
      <c r="N52" s="204">
        <f t="shared" si="6"/>
        <v>0</v>
      </c>
      <c r="O52" s="205">
        <f t="shared" si="7"/>
        <v>0</v>
      </c>
      <c r="P52" s="206">
        <f>AVERAGE(N52:O52)</f>
        <v>0</v>
      </c>
      <c r="Q52" s="163"/>
      <c r="R52" s="163"/>
      <c r="S52" s="163"/>
      <c r="T52" s="163"/>
      <c r="U52" s="233"/>
      <c r="V52" s="344" t="s">
        <v>7</v>
      </c>
      <c r="W52" s="345"/>
      <c r="X52" s="345"/>
      <c r="Y52" s="345"/>
      <c r="Z52" s="346"/>
      <c r="AA52" s="169"/>
      <c r="AB52" s="169"/>
      <c r="AC52" s="237"/>
      <c r="AD52" s="169"/>
      <c r="AE52" s="169"/>
      <c r="AF52" s="169"/>
      <c r="AG52" s="169"/>
      <c r="AH52" s="169"/>
      <c r="AI52" s="169"/>
      <c r="AJ52" s="169"/>
      <c r="AK52" s="169"/>
      <c r="AL52" s="238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82"/>
    </row>
    <row r="53" spans="1:58" x14ac:dyDescent="0.25">
      <c r="A53" s="9">
        <v>4</v>
      </c>
      <c r="B53" s="191"/>
      <c r="C53" s="208"/>
      <c r="D53" s="202">
        <v>10</v>
      </c>
      <c r="E53" s="202">
        <v>10</v>
      </c>
      <c r="F53" s="10"/>
      <c r="G53" s="10"/>
      <c r="H53" s="202">
        <v>1</v>
      </c>
      <c r="I53" s="11">
        <f t="shared" si="8"/>
        <v>0</v>
      </c>
      <c r="J53" s="11">
        <f>(G53-C53)*1000*H53/E53</f>
        <v>0</v>
      </c>
      <c r="K53" s="12">
        <f>AVERAGE(I53:J53)</f>
        <v>0</v>
      </c>
      <c r="L53" s="203"/>
      <c r="M53" s="203"/>
      <c r="N53" s="204">
        <f t="shared" si="6"/>
        <v>0</v>
      </c>
      <c r="O53" s="205">
        <f t="shared" si="7"/>
        <v>0</v>
      </c>
      <c r="P53" s="206">
        <f>AVERAGE(N53:O53)</f>
        <v>0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169"/>
      <c r="AC53" s="237"/>
      <c r="AD53" s="169"/>
      <c r="AE53" s="169"/>
      <c r="AF53" s="169"/>
      <c r="AG53" s="169"/>
      <c r="AH53" s="169"/>
      <c r="AI53" s="169"/>
      <c r="AJ53" s="169"/>
      <c r="AK53" s="169"/>
      <c r="AL53" s="234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82"/>
    </row>
    <row r="54" spans="1:58" x14ac:dyDescent="0.25">
      <c r="A54" s="9">
        <v>5</v>
      </c>
      <c r="B54" s="191"/>
      <c r="C54" s="208"/>
      <c r="D54" s="202">
        <v>10</v>
      </c>
      <c r="E54" s="202">
        <v>10</v>
      </c>
      <c r="F54" s="10"/>
      <c r="G54" s="10"/>
      <c r="H54" s="202">
        <v>1</v>
      </c>
      <c r="I54" s="11">
        <f t="shared" si="8"/>
        <v>0</v>
      </c>
      <c r="J54" s="11">
        <f>(G54-C54)*1000*H54/E54</f>
        <v>0</v>
      </c>
      <c r="K54" s="12">
        <f>AVERAGE(I54:J54)</f>
        <v>0</v>
      </c>
      <c r="L54" s="203"/>
      <c r="M54" s="203"/>
      <c r="N54" s="204">
        <f t="shared" si="6"/>
        <v>0</v>
      </c>
      <c r="O54" s="205">
        <f t="shared" si="7"/>
        <v>0</v>
      </c>
      <c r="P54" s="206">
        <f>AVERAGE(N54:O54)</f>
        <v>0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169"/>
      <c r="AC54" s="237"/>
      <c r="AD54" s="169"/>
      <c r="AE54" s="169"/>
      <c r="AF54" s="169"/>
      <c r="AG54" s="192"/>
      <c r="AH54" s="169"/>
      <c r="AI54" s="169"/>
      <c r="AJ54" s="169"/>
      <c r="AK54" s="169"/>
      <c r="AL54" s="234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82"/>
    </row>
    <row r="55" spans="1:58" x14ac:dyDescent="0.25">
      <c r="A55" s="102"/>
      <c r="B55" s="191"/>
      <c r="C55" s="208"/>
      <c r="D55" s="202"/>
      <c r="E55" s="202"/>
      <c r="F55" s="101"/>
      <c r="G55" s="101"/>
      <c r="H55" s="202"/>
      <c r="I55" s="11"/>
      <c r="J55" s="11"/>
      <c r="K55" s="12"/>
      <c r="L55" s="209"/>
      <c r="M55" s="209"/>
      <c r="N55" s="204"/>
      <c r="O55" s="205"/>
      <c r="P55" s="206"/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169"/>
      <c r="AC55" s="237"/>
      <c r="AD55" s="169"/>
      <c r="AE55" s="169"/>
      <c r="AF55" s="169"/>
      <c r="AG55" s="192"/>
      <c r="AH55" s="169"/>
      <c r="AI55" s="169"/>
      <c r="AJ55" s="169"/>
      <c r="AK55" s="169"/>
      <c r="AL55" s="234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82"/>
    </row>
    <row r="56" spans="1:58" ht="40.5" customHeight="1" thickBot="1" x14ac:dyDescent="0.3">
      <c r="A56" s="210" t="s">
        <v>109</v>
      </c>
      <c r="B56" s="191"/>
      <c r="C56" s="208"/>
      <c r="D56" s="211">
        <v>10</v>
      </c>
      <c r="E56" s="211">
        <v>10</v>
      </c>
      <c r="F56" s="212"/>
      <c r="G56" s="212"/>
      <c r="H56" s="202">
        <v>1</v>
      </c>
      <c r="I56" s="11">
        <f t="shared" si="8"/>
        <v>0</v>
      </c>
      <c r="J56" s="11">
        <f>(G56-C56)*1000*H56/E56</f>
        <v>0</v>
      </c>
      <c r="K56" s="12">
        <f>AVERAGE(I56:J56)</f>
        <v>0</v>
      </c>
      <c r="L56" s="213"/>
      <c r="M56" s="213"/>
      <c r="N56" s="184">
        <f t="shared" si="6"/>
        <v>0</v>
      </c>
      <c r="O56" s="205">
        <f t="shared" si="7"/>
        <v>0</v>
      </c>
      <c r="P56" s="206">
        <f>AVERAGE(N56:O56)</f>
        <v>0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-23.335884758055798</v>
      </c>
      <c r="Y56" s="79"/>
      <c r="Z56" s="86"/>
      <c r="AA56" s="169"/>
      <c r="AB56" s="169"/>
      <c r="AC56" s="237"/>
      <c r="AD56" s="169"/>
      <c r="AE56" s="169"/>
      <c r="AF56" s="169"/>
      <c r="AG56" s="169"/>
      <c r="AH56" s="169"/>
      <c r="AI56" s="169"/>
      <c r="AJ56" s="169"/>
      <c r="AK56" s="169"/>
      <c r="AL56" s="234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</row>
    <row r="57" spans="1:58" ht="34.5" customHeight="1" x14ac:dyDescent="0.25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0.17499999999999999</v>
      </c>
      <c r="Y57" s="80">
        <f>I11</f>
        <v>0.17499999999999999</v>
      </c>
      <c r="Z57" s="87">
        <f>J11</f>
        <v>0.17499999999999999</v>
      </c>
      <c r="AA57" s="169"/>
      <c r="AB57" s="169"/>
      <c r="AC57" s="237"/>
      <c r="AD57" s="169"/>
      <c r="AE57" s="169"/>
      <c r="AF57" s="169"/>
      <c r="AG57" s="169"/>
      <c r="AH57" s="169"/>
      <c r="AI57" s="169"/>
      <c r="AJ57" s="169"/>
      <c r="AK57" s="169"/>
      <c r="AL57" s="234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ht="16.5" thickBot="1" x14ac:dyDescent="0.3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19.943019943019944</v>
      </c>
      <c r="Y58" s="240">
        <f>I12</f>
        <v>19.974</v>
      </c>
      <c r="Z58" s="240">
        <f>J12</f>
        <v>22.138863392645668</v>
      </c>
      <c r="AA58" s="169"/>
      <c r="AB58" s="169"/>
      <c r="AC58" s="237"/>
      <c r="AD58" s="169"/>
      <c r="AE58" s="169"/>
      <c r="AF58" s="169"/>
      <c r="AG58" s="169"/>
      <c r="AH58" s="169"/>
      <c r="AI58" s="169"/>
      <c r="AJ58" s="169"/>
      <c r="AK58" s="169"/>
      <c r="AL58" s="234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25">
      <c r="A59" s="293" t="s">
        <v>112</v>
      </c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5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9">H13</f>
        <v>-23.319650759965022</v>
      </c>
      <c r="Y59" s="81">
        <f t="shared" si="9"/>
        <v>-24.06077205948921</v>
      </c>
      <c r="Z59" s="88">
        <f t="shared" si="9"/>
        <v>-24.06077205948921</v>
      </c>
      <c r="AA59" s="169"/>
      <c r="AB59" s="169"/>
      <c r="AC59" s="237"/>
      <c r="AD59" s="169"/>
      <c r="AE59" s="169"/>
      <c r="AF59" s="169"/>
      <c r="AG59" s="169"/>
      <c r="AH59" s="169"/>
      <c r="AI59" s="169"/>
      <c r="AJ59" s="169"/>
      <c r="AK59" s="169"/>
      <c r="AL59" s="234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ht="16.5" thickBot="1" x14ac:dyDescent="0.3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/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9"/>
        <v>0</v>
      </c>
      <c r="Y60" s="91">
        <f t="shared" si="9"/>
        <v>0</v>
      </c>
      <c r="Z60" s="92">
        <f t="shared" si="9"/>
        <v>0</v>
      </c>
      <c r="AA60" s="169"/>
      <c r="AB60" s="169"/>
      <c r="AC60" s="237"/>
      <c r="AD60" s="169"/>
      <c r="AE60" s="169"/>
      <c r="AF60" s="169"/>
      <c r="AG60" s="169"/>
      <c r="AH60" s="169"/>
      <c r="AI60" s="169"/>
      <c r="AJ60" s="169"/>
      <c r="AK60" s="169"/>
      <c r="AL60" s="234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25">
      <c r="A61" s="9">
        <v>1</v>
      </c>
      <c r="B61" s="186">
        <v>0.98450000000000004</v>
      </c>
      <c r="C61" s="186">
        <v>1.0037</v>
      </c>
      <c r="D61" s="46">
        <v>5.1314000000000002</v>
      </c>
      <c r="E61" s="46">
        <v>5.2995999999999999</v>
      </c>
      <c r="F61" s="47"/>
      <c r="G61" s="48"/>
      <c r="H61" s="13">
        <f t="shared" ref="H61:I67" si="10">(F61-B61)*100/(D61-B61)</f>
        <v>-23.74062552750247</v>
      </c>
      <c r="I61" s="13">
        <f t="shared" si="10"/>
        <v>-23.364137898926888</v>
      </c>
      <c r="J61" s="13">
        <f t="shared" ref="J61:J67" si="11">AVERAGE(H61:I61)</f>
        <v>-23.552381713214679</v>
      </c>
      <c r="K61" s="198"/>
      <c r="L61" s="198"/>
      <c r="M61" s="13">
        <f t="shared" ref="M61:N67" si="12">((F61-K61)/D61)*100</f>
        <v>0</v>
      </c>
      <c r="N61" s="15">
        <f t="shared" si="12"/>
        <v>0</v>
      </c>
      <c r="O61" s="16">
        <f t="shared" ref="O61:O67" si="13">AVERAGE(M61:N61)</f>
        <v>0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2"/>
      <c r="AC61" s="243"/>
      <c r="AD61" s="242"/>
      <c r="AE61" s="242"/>
      <c r="AF61" s="242"/>
      <c r="AG61" s="242"/>
      <c r="AH61" s="93"/>
      <c r="AI61" s="242"/>
      <c r="AJ61" s="242"/>
      <c r="AK61" s="242"/>
      <c r="AL61" s="244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25">
      <c r="A62" s="9">
        <v>2</v>
      </c>
      <c r="B62" s="186">
        <v>0.98880000000000001</v>
      </c>
      <c r="C62" s="191">
        <v>0.98370000000000002</v>
      </c>
      <c r="D62" s="48">
        <v>5.0061</v>
      </c>
      <c r="E62" s="48">
        <v>5.1802000000000001</v>
      </c>
      <c r="F62" s="47"/>
      <c r="G62" s="48"/>
      <c r="H62" s="13">
        <f t="shared" si="10"/>
        <v>-24.6135464117691</v>
      </c>
      <c r="I62" s="13">
        <f t="shared" si="10"/>
        <v>-23.440962707017754</v>
      </c>
      <c r="J62" s="13">
        <f t="shared" si="11"/>
        <v>-24.027254559393427</v>
      </c>
      <c r="K62" s="14"/>
      <c r="L62" s="14"/>
      <c r="M62" s="13">
        <f t="shared" si="12"/>
        <v>0</v>
      </c>
      <c r="N62" s="15">
        <f t="shared" si="12"/>
        <v>0</v>
      </c>
      <c r="O62" s="16">
        <f t="shared" si="13"/>
        <v>0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25">
      <c r="A63" s="9">
        <v>3</v>
      </c>
      <c r="B63" s="186">
        <v>0.97929999999999995</v>
      </c>
      <c r="C63" s="207">
        <v>0.99890000000000001</v>
      </c>
      <c r="D63" s="48">
        <v>5.1439000000000004</v>
      </c>
      <c r="E63" s="48">
        <v>5.0822000000000003</v>
      </c>
      <c r="F63" s="47"/>
      <c r="G63" s="48"/>
      <c r="H63" s="13">
        <f t="shared" si="10"/>
        <v>-23.514863372232625</v>
      </c>
      <c r="I63" s="13">
        <f t="shared" si="10"/>
        <v>-24.463056841280334</v>
      </c>
      <c r="J63" s="13">
        <f t="shared" si="11"/>
        <v>-23.98896010675648</v>
      </c>
      <c r="K63" s="14"/>
      <c r="L63" s="14"/>
      <c r="M63" s="13">
        <f t="shared" si="12"/>
        <v>0</v>
      </c>
      <c r="N63" s="15">
        <f t="shared" si="12"/>
        <v>0</v>
      </c>
      <c r="O63" s="16">
        <f t="shared" si="13"/>
        <v>0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ht="24.6" customHeight="1" x14ac:dyDescent="0.25">
      <c r="A64" s="9">
        <v>4</v>
      </c>
      <c r="B64" s="191">
        <v>1.0036</v>
      </c>
      <c r="C64" s="208">
        <v>0.99780000000000002</v>
      </c>
      <c r="D64" s="49">
        <v>5.1211000000000002</v>
      </c>
      <c r="E64" s="49">
        <v>5.1994999999999996</v>
      </c>
      <c r="F64" s="50"/>
      <c r="G64" s="49"/>
      <c r="H64" s="13">
        <f t="shared" si="10"/>
        <v>-24.374013357619916</v>
      </c>
      <c r="I64" s="13">
        <f t="shared" si="10"/>
        <v>-23.747530761358501</v>
      </c>
      <c r="J64" s="13">
        <f t="shared" si="11"/>
        <v>-24.06077205948921</v>
      </c>
      <c r="K64" s="14"/>
      <c r="L64" s="14"/>
      <c r="M64" s="13">
        <f t="shared" si="12"/>
        <v>0</v>
      </c>
      <c r="N64" s="15">
        <f t="shared" si="12"/>
        <v>0</v>
      </c>
      <c r="O64" s="16">
        <f t="shared" si="13"/>
        <v>0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25">
      <c r="A65" s="9">
        <v>5</v>
      </c>
      <c r="B65" s="191">
        <v>1.0016</v>
      </c>
      <c r="C65" s="208">
        <v>0.99729999999999996</v>
      </c>
      <c r="D65" s="49">
        <v>5.0865</v>
      </c>
      <c r="E65" s="49">
        <v>5.1143000000000001</v>
      </c>
      <c r="F65" s="50"/>
      <c r="G65" s="49"/>
      <c r="H65" s="13">
        <f t="shared" si="10"/>
        <v>-24.519572082547921</v>
      </c>
      <c r="I65" s="13">
        <f>(G65-C65)*100/(E65-C65)</f>
        <v>-24.223949477775076</v>
      </c>
      <c r="J65" s="13">
        <f>AVERAGE(H65:I65)</f>
        <v>-24.371760780161498</v>
      </c>
      <c r="K65" s="14"/>
      <c r="L65" s="14"/>
      <c r="M65" s="13">
        <f t="shared" si="12"/>
        <v>0</v>
      </c>
      <c r="N65" s="15">
        <f t="shared" si="12"/>
        <v>0</v>
      </c>
      <c r="O65" s="16">
        <f t="shared" si="13"/>
        <v>0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25">
      <c r="A66" s="215" t="s">
        <v>123</v>
      </c>
      <c r="B66" s="49">
        <v>1.0042</v>
      </c>
      <c r="C66" s="49">
        <v>0.99729999999999996</v>
      </c>
      <c r="D66" s="49">
        <v>5.3612000000000002</v>
      </c>
      <c r="E66" s="49">
        <v>5.2247000000000003</v>
      </c>
      <c r="F66" s="49"/>
      <c r="G66" s="49"/>
      <c r="H66" s="13">
        <f t="shared" si="10"/>
        <v>-23.04796878586183</v>
      </c>
      <c r="I66" s="13">
        <f t="shared" si="10"/>
        <v>-23.591332734068217</v>
      </c>
      <c r="J66" s="13">
        <f t="shared" si="11"/>
        <v>-23.319650759965022</v>
      </c>
      <c r="K66" s="14"/>
      <c r="L66" s="14"/>
      <c r="M66" s="13">
        <f t="shared" si="12"/>
        <v>0</v>
      </c>
      <c r="N66" s="15">
        <f t="shared" si="12"/>
        <v>0</v>
      </c>
      <c r="O66" s="16">
        <f t="shared" si="13"/>
        <v>0</v>
      </c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ht="16.5" thickBot="1" x14ac:dyDescent="0.3">
      <c r="A67" s="210" t="s">
        <v>124</v>
      </c>
      <c r="B67" s="51">
        <v>1.0065</v>
      </c>
      <c r="C67" s="51">
        <v>0.99729999999999996</v>
      </c>
      <c r="D67" s="51">
        <v>5.2287999999999997</v>
      </c>
      <c r="E67" s="51">
        <v>5.3648999999999996</v>
      </c>
      <c r="F67" s="51"/>
      <c r="G67" s="51"/>
      <c r="H67" s="13">
        <f>(F67-B67)*100/(D67-B67)</f>
        <v>-23.837718778864598</v>
      </c>
      <c r="I67" s="13">
        <f t="shared" si="10"/>
        <v>-22.834050737247001</v>
      </c>
      <c r="J67" s="13">
        <f t="shared" si="11"/>
        <v>-23.335884758055798</v>
      </c>
      <c r="K67" s="18"/>
      <c r="L67" s="18"/>
      <c r="M67" s="17">
        <f t="shared" si="12"/>
        <v>0</v>
      </c>
      <c r="N67" s="19">
        <f t="shared" si="12"/>
        <v>0</v>
      </c>
      <c r="O67" s="20">
        <f t="shared" si="13"/>
        <v>0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9" spans="1:58" s="25" customFormat="1" ht="99" customHeight="1" x14ac:dyDescent="0.25">
      <c r="A69" s="58" t="s">
        <v>77</v>
      </c>
      <c r="B69" s="59" t="s">
        <v>125</v>
      </c>
      <c r="C69" s="59" t="s">
        <v>126</v>
      </c>
      <c r="D69" s="53" t="s">
        <v>127</v>
      </c>
      <c r="E69" s="60" t="s">
        <v>128</v>
      </c>
      <c r="F69" s="52" t="s">
        <v>129</v>
      </c>
      <c r="G69" s="55" t="s">
        <v>130</v>
      </c>
      <c r="H69" s="53" t="s">
        <v>131</v>
      </c>
      <c r="I69" s="218" t="s">
        <v>132</v>
      </c>
      <c r="J69" s="104" t="s">
        <v>133</v>
      </c>
      <c r="K69" s="104" t="s">
        <v>134</v>
      </c>
      <c r="L69" s="104" t="s">
        <v>135</v>
      </c>
      <c r="M69" s="105" t="s">
        <v>133</v>
      </c>
      <c r="N69" s="105" t="s">
        <v>134</v>
      </c>
      <c r="O69" s="105" t="s">
        <v>135</v>
      </c>
      <c r="P69" s="105" t="s">
        <v>136</v>
      </c>
      <c r="Q69" s="106" t="s">
        <v>137</v>
      </c>
      <c r="R69" s="107" t="s">
        <v>129</v>
      </c>
      <c r="S69" s="108" t="s">
        <v>130</v>
      </c>
      <c r="T69" s="109" t="s">
        <v>131</v>
      </c>
      <c r="U69" s="108" t="s">
        <v>132</v>
      </c>
      <c r="V69" s="109" t="s">
        <v>133</v>
      </c>
      <c r="W69" s="109" t="s">
        <v>134</v>
      </c>
      <c r="X69" s="109" t="s">
        <v>135</v>
      </c>
      <c r="Y69" s="110" t="s">
        <v>133</v>
      </c>
      <c r="Z69" s="110" t="s">
        <v>134</v>
      </c>
      <c r="AA69" s="110" t="s">
        <v>135</v>
      </c>
      <c r="AB69" s="113"/>
      <c r="AC69" s="111" t="s">
        <v>310</v>
      </c>
      <c r="AD69" s="52" t="s">
        <v>129</v>
      </c>
      <c r="AE69" s="55" t="s">
        <v>130</v>
      </c>
      <c r="AF69" s="53" t="s">
        <v>131</v>
      </c>
      <c r="AG69" s="55" t="s">
        <v>132</v>
      </c>
      <c r="AH69" s="53" t="s">
        <v>138</v>
      </c>
      <c r="AI69" s="53" t="s">
        <v>139</v>
      </c>
      <c r="AJ69" s="53" t="s">
        <v>140</v>
      </c>
      <c r="AK69" s="53" t="s">
        <v>141</v>
      </c>
      <c r="AL69" s="53" t="s">
        <v>142</v>
      </c>
      <c r="AM69" s="53" t="s">
        <v>143</v>
      </c>
      <c r="AN69" s="53" t="s">
        <v>144</v>
      </c>
      <c r="AO69" s="56" t="s">
        <v>138</v>
      </c>
      <c r="AP69" s="56" t="s">
        <v>139</v>
      </c>
      <c r="AQ69" s="57" t="s">
        <v>140</v>
      </c>
      <c r="AR69" s="56" t="s">
        <v>145</v>
      </c>
      <c r="AS69" s="54" t="s">
        <v>146</v>
      </c>
      <c r="AT69" s="52" t="s">
        <v>147</v>
      </c>
      <c r="AU69" s="53" t="s">
        <v>148</v>
      </c>
      <c r="AV69" s="53" t="s">
        <v>149</v>
      </c>
      <c r="AW69" s="53" t="s">
        <v>150</v>
      </c>
      <c r="AX69" s="54"/>
    </row>
    <row r="70" spans="1:58" s="35" customFormat="1" x14ac:dyDescent="0.25">
      <c r="A70" s="220">
        <f>I33</f>
        <v>15.611383604166958</v>
      </c>
      <c r="B70" s="218">
        <f>C41</f>
        <v>45.7</v>
      </c>
      <c r="C70" s="218">
        <f>B41</f>
        <v>83.3</v>
      </c>
      <c r="D70" s="218">
        <f>J61</f>
        <v>-23.552381713214679</v>
      </c>
      <c r="E70" s="219">
        <f>K50*1000</f>
        <v>0</v>
      </c>
      <c r="F70" s="220">
        <f>AVERAGE(B70)</f>
        <v>45.7</v>
      </c>
      <c r="G70" s="218">
        <f>F70-B70</f>
        <v>0</v>
      </c>
      <c r="H70" s="218">
        <v>20</v>
      </c>
      <c r="I70" s="218">
        <f>IF(AND(G70&gt;H70,G71&gt;H71),1,2)</f>
        <v>2</v>
      </c>
      <c r="J70" s="216" t="e">
        <f>INDEX(A70:A75,MATCH(1,I70:I75,0))</f>
        <v>#N/A</v>
      </c>
      <c r="K70" s="216" t="e">
        <f>INDEX(D70:D75,MATCH(1,I70:I75,0))</f>
        <v>#N/A</v>
      </c>
      <c r="L70" s="216" t="e">
        <f>INDEX(E70:E75,MATCH(1,I70:I75,0))</f>
        <v>#N/A</v>
      </c>
      <c r="M70" s="216" t="e">
        <f>J70</f>
        <v>#N/A</v>
      </c>
      <c r="N70" s="216" t="e">
        <f>K70</f>
        <v>#N/A</v>
      </c>
      <c r="O70" s="216" t="e">
        <f>L70</f>
        <v>#N/A</v>
      </c>
      <c r="P70" s="216"/>
      <c r="Q70" s="221"/>
      <c r="R70" s="222">
        <f>AVERAGE(C70)</f>
        <v>83.3</v>
      </c>
      <c r="S70" s="223">
        <f>R70-C70</f>
        <v>0</v>
      </c>
      <c r="T70" s="223">
        <v>20</v>
      </c>
      <c r="U70" s="218">
        <f>IF(AND(S70&gt;T70,S71&gt;T71),1,2)</f>
        <v>2</v>
      </c>
      <c r="V70" s="223">
        <f>INDEX(A70:A74,MATCH(1,U70:U75,0))</f>
        <v>22.138863392645668</v>
      </c>
      <c r="W70" s="223">
        <f>INDEX(D70:D75,MATCH(1,U70:U75,0))</f>
        <v>-24.06077205948921</v>
      </c>
      <c r="X70" s="223">
        <f>INDEX(E70:E74,MATCH(1,U70:U74,0))</f>
        <v>0</v>
      </c>
      <c r="Y70" s="223">
        <f>B35</f>
        <v>19.974</v>
      </c>
      <c r="Z70" s="223">
        <f>W70</f>
        <v>-24.06077205948921</v>
      </c>
      <c r="AA70" s="223">
        <f>X70</f>
        <v>0</v>
      </c>
      <c r="AB70" s="228" t="s">
        <v>311</v>
      </c>
      <c r="AC70" s="227"/>
      <c r="AD70" s="220">
        <f>AVERAGE(D70)</f>
        <v>-23.552381713214679</v>
      </c>
      <c r="AE70" s="218">
        <f>AD70-D70</f>
        <v>0</v>
      </c>
      <c r="AF70" s="218">
        <v>20</v>
      </c>
      <c r="AG70" s="218">
        <f>IF(AND(AE70&gt;AF70,AE71&gt;AF71),1,2)</f>
        <v>2</v>
      </c>
      <c r="AH70" s="218">
        <f>A71</f>
        <v>18.690342962486749</v>
      </c>
      <c r="AI70" s="218" t="e">
        <f>INDEX(D70:D74,MATCH(1,AG70:AG75,0))</f>
        <v>#N/A</v>
      </c>
      <c r="AJ70" s="218" t="e">
        <f>INDEX(E70:E74,MATCH(1,AG70:AG74,0))</f>
        <v>#N/A</v>
      </c>
      <c r="AK70" s="218">
        <v>812</v>
      </c>
      <c r="AL70" s="224" t="e">
        <f>IF(AND(ISNUMBER(AH70), AH70&lt;AK70), AJ70,"")</f>
        <v>#N/A</v>
      </c>
      <c r="AM70" s="218"/>
      <c r="AN70" s="218" t="e">
        <f>IF((AK70&gt;AL70),1,2)</f>
        <v>#N/A</v>
      </c>
      <c r="AO70" s="218">
        <f>A73</f>
        <v>22.138863392645668</v>
      </c>
      <c r="AP70" s="218">
        <f>D73</f>
        <v>-24.06077205948921</v>
      </c>
      <c r="AQ70" s="218">
        <f>E73</f>
        <v>0</v>
      </c>
      <c r="AR70" s="218" t="s">
        <v>311</v>
      </c>
      <c r="AS70" s="219"/>
      <c r="AT70" s="220">
        <f>D15</f>
        <v>19.943019943019944</v>
      </c>
      <c r="AU70" s="218">
        <f>J66</f>
        <v>-23.319650759965022</v>
      </c>
      <c r="AV70" s="218">
        <f>P56</f>
        <v>0</v>
      </c>
      <c r="AW70" s="218">
        <f>J67</f>
        <v>-23.335884758055798</v>
      </c>
      <c r="AX70" s="219"/>
      <c r="AY70" s="225"/>
      <c r="AZ70" s="225"/>
      <c r="BA70" s="225"/>
      <c r="BB70" s="225"/>
      <c r="BC70" s="225"/>
      <c r="BD70" s="225"/>
      <c r="BE70" s="225"/>
      <c r="BF70" s="225"/>
    </row>
    <row r="71" spans="1:58" s="35" customFormat="1" x14ac:dyDescent="0.25">
      <c r="A71" s="220">
        <f>I34</f>
        <v>18.690342962486749</v>
      </c>
      <c r="B71" s="218">
        <f>C42</f>
        <v>45.4</v>
      </c>
      <c r="C71" s="218">
        <f>B42</f>
        <v>66.599999999999994</v>
      </c>
      <c r="D71" s="218">
        <f>J62</f>
        <v>-24.027254559393427</v>
      </c>
      <c r="E71" s="219">
        <f>K51*1000</f>
        <v>0</v>
      </c>
      <c r="F71" s="220">
        <f>AVERAGE(B70:B71)</f>
        <v>45.55</v>
      </c>
      <c r="G71" s="218">
        <f>(F70-B71)*100/F70</f>
        <v>0.65645514223195678</v>
      </c>
      <c r="H71" s="218">
        <v>20</v>
      </c>
      <c r="I71" s="218">
        <f>IF(AND(G70&gt;H70,G71&gt;H71,G72&lt;H72),1,2)</f>
        <v>2</v>
      </c>
      <c r="J71" s="216"/>
      <c r="K71" s="216"/>
      <c r="L71" s="216"/>
      <c r="M71" s="226"/>
      <c r="N71" s="216"/>
      <c r="O71" s="216"/>
      <c r="P71" s="216"/>
      <c r="Q71" s="221"/>
      <c r="R71" s="222">
        <f>AVERAGE(C70:C71)</f>
        <v>74.949999999999989</v>
      </c>
      <c r="S71" s="223">
        <f>(R70-C71)*100/R70</f>
        <v>20.048019207683076</v>
      </c>
      <c r="T71" s="223">
        <v>20</v>
      </c>
      <c r="U71" s="218">
        <f>IF(AND(S70&gt;T70,S71&gt;T71,S72&lt;T72),1,2)</f>
        <v>2</v>
      </c>
      <c r="V71" s="223"/>
      <c r="W71" s="223"/>
      <c r="X71" s="223"/>
      <c r="Y71" s="223"/>
      <c r="Z71" s="223"/>
      <c r="AA71" s="223"/>
      <c r="AB71" s="228"/>
      <c r="AC71" s="227"/>
      <c r="AD71" s="220">
        <f>AVERAGE(D70:D71)</f>
        <v>-23.789818136304053</v>
      </c>
      <c r="AE71" s="218">
        <f>(AD70-D71)*100/AD70</f>
        <v>-2.0162412955132605</v>
      </c>
      <c r="AF71" s="218">
        <v>20</v>
      </c>
      <c r="AG71" s="218">
        <f>IF(AND(AE70&gt;AF70,AE71&gt;AF71,AE72&lt;AF72),1,2)</f>
        <v>2</v>
      </c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9"/>
      <c r="AT71" s="220"/>
      <c r="AU71" s="218"/>
      <c r="AV71" s="218"/>
      <c r="AW71" s="218"/>
      <c r="AX71" s="219"/>
      <c r="AY71" s="225"/>
      <c r="AZ71" s="225"/>
      <c r="BA71" s="225"/>
      <c r="BB71" s="225"/>
      <c r="BC71" s="225"/>
      <c r="BD71" s="225"/>
      <c r="BE71" s="225"/>
      <c r="BF71" s="225"/>
    </row>
    <row r="72" spans="1:58" s="35" customFormat="1" x14ac:dyDescent="0.25">
      <c r="A72" s="220">
        <f>I35</f>
        <v>20.064368946202464</v>
      </c>
      <c r="B72" s="218">
        <f>C43</f>
        <v>44.2</v>
      </c>
      <c r="C72" s="218">
        <f>B43</f>
        <v>55.5</v>
      </c>
      <c r="D72" s="218">
        <f>J63</f>
        <v>-23.98896010675648</v>
      </c>
      <c r="E72" s="219">
        <f>K52*1000</f>
        <v>0</v>
      </c>
      <c r="F72" s="220">
        <f>AVERAGE(B71:B72)</f>
        <v>44.8</v>
      </c>
      <c r="G72" s="218">
        <f>(F71-B72)*100/F71</f>
        <v>2.9637760702524574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16"/>
      <c r="N72" s="216"/>
      <c r="O72" s="216"/>
      <c r="P72" s="216"/>
      <c r="Q72" s="221"/>
      <c r="R72" s="222">
        <f>AVERAGE(C71:C72)</f>
        <v>61.05</v>
      </c>
      <c r="S72" s="223">
        <f>(R71-C72)*100/R71</f>
        <v>25.950633755837213</v>
      </c>
      <c r="T72" s="223">
        <v>20</v>
      </c>
      <c r="U72" s="218">
        <f>IF(AND(S71&gt;T71,S72&gt;T72,S73&lt;T73),1,2)</f>
        <v>2</v>
      </c>
      <c r="V72" s="223"/>
      <c r="W72" s="223"/>
      <c r="X72" s="223"/>
      <c r="Y72" s="223"/>
      <c r="Z72" s="223"/>
      <c r="AA72" s="223"/>
      <c r="AB72" s="228"/>
      <c r="AC72" s="227"/>
      <c r="AD72" s="220">
        <f>AVERAGE(D71:D72)</f>
        <v>-24.008107333074953</v>
      </c>
      <c r="AE72" s="218">
        <f>(AD71-D72)*100/AD71</f>
        <v>-0.83708908286494887</v>
      </c>
      <c r="AF72" s="218">
        <v>20</v>
      </c>
      <c r="AG72" s="218">
        <f>IF(AND(AE71&gt;AF71,AE72&gt;AF72,AE73&lt;AF73),1,2)</f>
        <v>2</v>
      </c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9"/>
      <c r="AT72" s="220"/>
      <c r="AU72" s="218"/>
      <c r="AV72" s="218"/>
      <c r="AW72" s="218"/>
      <c r="AX72" s="219"/>
      <c r="AY72" s="225"/>
      <c r="AZ72" s="225"/>
      <c r="BA72" s="225"/>
      <c r="BB72" s="225"/>
      <c r="BC72" s="225"/>
      <c r="BD72" s="225"/>
      <c r="BE72" s="225"/>
      <c r="BF72" s="225"/>
    </row>
    <row r="73" spans="1:58" s="35" customFormat="1" x14ac:dyDescent="0.25">
      <c r="A73" s="220">
        <f>I36</f>
        <v>22.138863392645668</v>
      </c>
      <c r="B73" s="218">
        <f>C44</f>
        <v>30.8</v>
      </c>
      <c r="C73" s="218">
        <f>B44</f>
        <v>46.1</v>
      </c>
      <c r="D73" s="218">
        <f>J64</f>
        <v>-24.06077205948921</v>
      </c>
      <c r="E73" s="219">
        <f>K53*1000</f>
        <v>0</v>
      </c>
      <c r="F73" s="220">
        <f>AVERAGE(B72:B73)</f>
        <v>37.5</v>
      </c>
      <c r="G73" s="218">
        <f>(F72-B73)*100/F72</f>
        <v>31.249999999999993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50.8</v>
      </c>
      <c r="S73" s="223">
        <f>(R72-C73)*100/R72</f>
        <v>24.48812448812448</v>
      </c>
      <c r="T73" s="223">
        <v>20</v>
      </c>
      <c r="U73" s="218">
        <f>IF(AND(S72&gt;T72,S73&gt;T73,S74&lt;T74),1,2)</f>
        <v>1</v>
      </c>
      <c r="V73" s="223"/>
      <c r="W73" s="223"/>
      <c r="X73" s="223"/>
      <c r="Y73" s="223"/>
      <c r="Z73" s="223"/>
      <c r="AA73" s="223"/>
      <c r="AB73" s="228"/>
      <c r="AC73" s="227"/>
      <c r="AD73" s="220">
        <f>AVERAGE(D72:D73)</f>
        <v>-24.024866083122845</v>
      </c>
      <c r="AE73" s="218">
        <f>(AD72-D73)*100/AD72</f>
        <v>-0.21936225827224134</v>
      </c>
      <c r="AF73" s="218">
        <v>20</v>
      </c>
      <c r="AG73" s="218">
        <f>IF(AND(AE72&gt;AF72,AE73&gt;AF73,AE74&lt;AF74),1,2)</f>
        <v>2</v>
      </c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9"/>
      <c r="AT73" s="220"/>
      <c r="AU73" s="218"/>
      <c r="AV73" s="218"/>
      <c r="AW73" s="218"/>
      <c r="AX73" s="219"/>
      <c r="AY73" s="225"/>
      <c r="AZ73" s="225"/>
      <c r="BA73" s="225"/>
      <c r="BB73" s="225"/>
      <c r="BC73" s="225"/>
      <c r="BD73" s="225"/>
      <c r="BE73" s="225"/>
      <c r="BF73" s="225"/>
    </row>
    <row r="74" spans="1:58" s="35" customFormat="1" x14ac:dyDescent="0.25">
      <c r="A74" s="220">
        <f>I37</f>
        <v>25.33428335962968</v>
      </c>
      <c r="B74" s="218">
        <f>C45</f>
        <v>36.9</v>
      </c>
      <c r="C74" s="218">
        <f>B45</f>
        <v>44.7</v>
      </c>
      <c r="D74" s="218">
        <f>J65</f>
        <v>-24.371760780161498</v>
      </c>
      <c r="E74" s="219">
        <f>K54*1000</f>
        <v>0</v>
      </c>
      <c r="F74" s="220">
        <f>AVERAGE(B73:B74)</f>
        <v>33.85</v>
      </c>
      <c r="G74" s="218">
        <f>(F73-B74)*100/F73</f>
        <v>1.6000000000000039</v>
      </c>
      <c r="H74" s="218">
        <v>20</v>
      </c>
      <c r="I74" s="218">
        <f>IF(AND(G73&gt;H73,G74&gt;H74),1,2)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45.400000000000006</v>
      </c>
      <c r="S74" s="223">
        <f>(R73-C74)*100/R73</f>
        <v>12.007874015748021</v>
      </c>
      <c r="T74" s="223">
        <v>20</v>
      </c>
      <c r="U74" s="218">
        <f>IF(AND(S73&gt;T73,S74&gt;T74),1,2)</f>
        <v>2</v>
      </c>
      <c r="V74" s="223"/>
      <c r="W74" s="223"/>
      <c r="X74" s="223"/>
      <c r="Y74" s="223"/>
      <c r="Z74" s="223"/>
      <c r="AA74" s="223"/>
      <c r="AB74" s="228"/>
      <c r="AC74" s="227"/>
      <c r="AD74" s="220">
        <f>AVERAGE(D73:D74)</f>
        <v>-24.216266419825352</v>
      </c>
      <c r="AE74" s="218">
        <f>(AD73-D74)*100/AD73</f>
        <v>-1.4438985667534783</v>
      </c>
      <c r="AF74" s="218">
        <v>20</v>
      </c>
      <c r="AG74" s="218">
        <f>IF(AND(AE73&gt;AF73,AE74&gt;AF74,AE75&lt;AF75),1,2)</f>
        <v>2</v>
      </c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9"/>
      <c r="AT74" s="220"/>
      <c r="AU74" s="218"/>
      <c r="AV74" s="218"/>
      <c r="AW74" s="218"/>
      <c r="AX74" s="219"/>
      <c r="AY74" s="225"/>
      <c r="AZ74" s="225"/>
      <c r="BA74" s="225"/>
      <c r="BB74" s="225"/>
      <c r="BC74" s="225"/>
      <c r="BD74" s="225"/>
      <c r="BE74" s="225"/>
      <c r="BF74" s="225"/>
    </row>
    <row r="75" spans="1:58" s="35" customFormat="1" x14ac:dyDescent="0.25">
      <c r="A75" s="220"/>
      <c r="B75" s="218"/>
      <c r="C75" s="218"/>
      <c r="D75" s="218"/>
      <c r="E75" s="219"/>
      <c r="F75" s="220"/>
      <c r="G75" s="218"/>
      <c r="H75" s="218"/>
      <c r="I75" s="218"/>
      <c r="J75" s="216"/>
      <c r="K75" s="216"/>
      <c r="L75" s="216"/>
      <c r="M75" s="216"/>
      <c r="N75" s="216"/>
      <c r="O75" s="216"/>
      <c r="P75" s="216"/>
      <c r="Q75" s="221"/>
      <c r="R75" s="222"/>
      <c r="S75" s="223"/>
      <c r="T75" s="223"/>
      <c r="U75" s="223"/>
      <c r="V75" s="223"/>
      <c r="W75" s="223"/>
      <c r="X75" s="223"/>
      <c r="Y75" s="223"/>
      <c r="Z75" s="223"/>
      <c r="AA75" s="223"/>
      <c r="AB75" s="228"/>
      <c r="AC75" s="227"/>
      <c r="AD75" s="220"/>
      <c r="AE75" s="218"/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9"/>
      <c r="AT75" s="220"/>
      <c r="AU75" s="218"/>
      <c r="AV75" s="218"/>
      <c r="AW75" s="218"/>
      <c r="AX75" s="219"/>
      <c r="AY75" s="225"/>
      <c r="AZ75" s="225"/>
      <c r="BA75" s="225"/>
      <c r="BB75" s="225"/>
      <c r="BC75" s="225"/>
      <c r="BD75" s="225"/>
      <c r="BE75" s="225"/>
      <c r="BF75" s="225"/>
    </row>
  </sheetData>
  <mergeCells count="15">
    <mergeCell ref="AD43:AL44"/>
    <mergeCell ref="X47:Z47"/>
    <mergeCell ref="U5:AL7"/>
    <mergeCell ref="A7:D7"/>
    <mergeCell ref="A17:C17"/>
    <mergeCell ref="A23:C23"/>
    <mergeCell ref="A26:C26"/>
    <mergeCell ref="A31:R31"/>
    <mergeCell ref="A48:P48"/>
    <mergeCell ref="V52:Z52"/>
    <mergeCell ref="A59:O59"/>
    <mergeCell ref="A39:M39"/>
    <mergeCell ref="D40:H40"/>
    <mergeCell ref="I40:M40"/>
    <mergeCell ref="U43:AC44"/>
  </mergeCells>
  <conditionalFormatting sqref="X56">
    <cfRule type="cellIs" dxfId="27" priority="1" operator="lessThan">
      <formula>3</formula>
    </cfRule>
    <cfRule type="cellIs" dxfId="26" priority="2" operator="greaterThan">
      <formula>3.9</formula>
    </cfRule>
    <cfRule type="cellIs" dxfId="25" priority="3" operator="between">
      <formula>3</formula>
      <formula>3.9</formula>
    </cfRule>
    <cfRule type="cellIs" dxfId="24" priority="4" operator="between">
      <formula>3</formula>
      <formula>3.9</formula>
    </cfRule>
    <cfRule type="cellIs" dxfId="23" priority="8" operator="between">
      <formula>3.15</formula>
      <formula>3.85</formula>
    </cfRule>
  </conditionalFormatting>
  <conditionalFormatting sqref="X60:Z60">
    <cfRule type="cellIs" dxfId="22" priority="5" operator="greaterThan">
      <formula>812</formula>
    </cfRule>
    <cfRule type="cellIs" dxfId="21" priority="6" operator="lessThan">
      <formula>812</formula>
    </cfRule>
  </conditionalFormatting>
  <printOptions horizontalCentered="1"/>
  <pageMargins left="0.25" right="0.25" top="1.25" bottom="1" header="0.3" footer="0.3"/>
  <pageSetup paperSize="9" scale="42" orientation="portrait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B5F3-F59F-4F43-868B-F72C9B32008B}">
  <sheetPr codeName="Sheet50">
    <pageSetUpPr fitToPage="1"/>
  </sheetPr>
  <dimension ref="A1:BF76"/>
  <sheetViews>
    <sheetView workbookViewId="0"/>
  </sheetViews>
  <sheetFormatPr defaultColWidth="8.7109375" defaultRowHeight="15.75" outlineLevelRow="2" x14ac:dyDescent="0.25"/>
  <cols>
    <col min="1" max="1" width="39.42578125" style="22" customWidth="1"/>
    <col min="2" max="2" width="26.28515625" style="22" customWidth="1"/>
    <col min="3" max="3" width="32.28515625" style="22" customWidth="1"/>
    <col min="4" max="4" width="22.28515625" style="22" bestFit="1" customWidth="1"/>
    <col min="5" max="5" width="23.28515625" style="22" bestFit="1" customWidth="1"/>
    <col min="6" max="6" width="25.7109375" style="22" bestFit="1" customWidth="1"/>
    <col min="7" max="8" width="16.7109375" style="22" bestFit="1" customWidth="1"/>
    <col min="9" max="9" width="18.42578125" style="22" customWidth="1"/>
    <col min="10" max="10" width="15.7109375" style="22" bestFit="1" customWidth="1"/>
    <col min="11" max="11" width="16.42578125" style="22" bestFit="1" customWidth="1"/>
    <col min="12" max="12" width="16.7109375" style="22" bestFit="1" customWidth="1"/>
    <col min="13" max="13" width="17.28515625" style="22" bestFit="1" customWidth="1"/>
    <col min="14" max="14" width="10.28515625" style="22" bestFit="1" customWidth="1"/>
    <col min="15" max="15" width="11" style="22" bestFit="1" customWidth="1"/>
    <col min="16" max="16" width="18.7109375" style="22" bestFit="1" customWidth="1"/>
    <col min="17" max="17" width="11" style="22" bestFit="1" customWidth="1"/>
    <col min="18" max="18" width="11.7109375" style="22" bestFit="1" customWidth="1"/>
    <col min="19" max="21" width="11.7109375" style="22" customWidth="1"/>
    <col min="22" max="22" width="22.28515625" style="22" bestFit="1" customWidth="1"/>
    <col min="23" max="25" width="11.7109375" style="22" customWidth="1"/>
    <col min="26" max="26" width="21.28515625" style="22" bestFit="1" customWidth="1"/>
    <col min="27" max="35" width="11.7109375" style="22" customWidth="1"/>
    <col min="36" max="36" width="13.28515625" style="22" bestFit="1" customWidth="1"/>
    <col min="37" max="37" width="14.7109375" style="22" bestFit="1" customWidth="1"/>
    <col min="38" max="38" width="11.7109375" style="22" customWidth="1"/>
    <col min="39" max="39" width="9.42578125" style="22" customWidth="1"/>
    <col min="40" max="40" width="8.28515625" style="22" bestFit="1" customWidth="1"/>
    <col min="41" max="41" width="7.42578125" style="22" bestFit="1" customWidth="1"/>
    <col min="42" max="43" width="9.28515625" style="22"/>
    <col min="44" max="44" width="8.42578125" style="22" bestFit="1" customWidth="1"/>
    <col min="45" max="64" width="9.28515625" style="22"/>
    <col min="65" max="65" width="8.7109375" style="22" customWidth="1"/>
    <col min="66" max="16384" width="8.7109375" style="22"/>
  </cols>
  <sheetData>
    <row r="1" spans="1:58" x14ac:dyDescent="0.25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25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25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25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25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322" t="s">
        <v>306</v>
      </c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324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x14ac:dyDescent="0.25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325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6"/>
      <c r="AL6" s="327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x14ac:dyDescent="0.25">
      <c r="A7" s="328" t="s">
        <v>6</v>
      </c>
      <c r="B7" s="329"/>
      <c r="C7" s="329"/>
      <c r="D7" s="330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68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70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x14ac:dyDescent="0.25">
      <c r="A8" s="168" t="s">
        <v>10</v>
      </c>
      <c r="B8" s="26" t="s">
        <v>305</v>
      </c>
      <c r="C8" s="166" t="s">
        <v>11</v>
      </c>
      <c r="D8" s="167">
        <f>D10*B11*8.34*10000</f>
        <v>398.05819200000002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2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x14ac:dyDescent="0.25">
      <c r="A9" s="2" t="s">
        <v>12</v>
      </c>
      <c r="B9" s="26">
        <v>0.17499999999999999</v>
      </c>
      <c r="C9" s="170" t="s">
        <v>13</v>
      </c>
      <c r="D9" s="171">
        <f>B9*B10</f>
        <v>16.572499999999998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234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x14ac:dyDescent="0.25">
      <c r="A10" s="2" t="s">
        <v>18</v>
      </c>
      <c r="B10" s="27">
        <v>94.7</v>
      </c>
      <c r="C10" s="170" t="s">
        <v>19</v>
      </c>
      <c r="D10" s="171">
        <f>D9*1440/1000000</f>
        <v>2.3864399999999997E-2</v>
      </c>
      <c r="E10" s="163"/>
      <c r="F10" s="64" t="s">
        <v>20</v>
      </c>
      <c r="G10" s="65" t="s">
        <v>21</v>
      </c>
      <c r="H10" s="71">
        <f>J68</f>
        <v>3.8675091638916861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234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x14ac:dyDescent="0.25">
      <c r="A11" s="2" t="s">
        <v>24</v>
      </c>
      <c r="B11" s="43">
        <v>0.2</v>
      </c>
      <c r="C11" s="170" t="s">
        <v>25</v>
      </c>
      <c r="D11" s="171">
        <f>B10*1440/1000000</f>
        <v>0.13636799999999999</v>
      </c>
      <c r="E11" s="163"/>
      <c r="F11" s="64" t="s">
        <v>26</v>
      </c>
      <c r="G11" s="65" t="s">
        <v>27</v>
      </c>
      <c r="H11" s="73">
        <f>B9</f>
        <v>0.17499999999999999</v>
      </c>
      <c r="I11" s="73">
        <f>B9</f>
        <v>0.17499999999999999</v>
      </c>
      <c r="J11" s="73">
        <f>B9</f>
        <v>0.17499999999999999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234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x14ac:dyDescent="0.25">
      <c r="A12" s="2" t="s">
        <v>28</v>
      </c>
      <c r="B12" s="44">
        <v>6.1</v>
      </c>
      <c r="C12" s="170" t="s">
        <v>29</v>
      </c>
      <c r="D12" s="171">
        <f>(B12/(1+(B15/B14)))</f>
        <v>3.8580223880597009</v>
      </c>
      <c r="E12" s="163"/>
      <c r="F12" s="64" t="s">
        <v>30</v>
      </c>
      <c r="G12" s="65" t="s">
        <v>31</v>
      </c>
      <c r="H12" s="172">
        <f>AT71</f>
        <v>19.943019943019944</v>
      </c>
      <c r="I12" s="70">
        <f>Y71</f>
        <v>20</v>
      </c>
      <c r="J12" s="70">
        <f>AO71</f>
        <v>22.565261086500762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234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x14ac:dyDescent="0.25">
      <c r="A13" s="2" t="s">
        <v>33</v>
      </c>
      <c r="B13" s="45">
        <v>3.51</v>
      </c>
      <c r="C13" s="170" t="s">
        <v>34</v>
      </c>
      <c r="D13" s="171">
        <f>D11*D12*8.34*(10000/2000)</f>
        <v>21.938820235522382</v>
      </c>
      <c r="E13" s="163"/>
      <c r="F13" s="64" t="s">
        <v>35</v>
      </c>
      <c r="G13" s="65" t="s">
        <v>21</v>
      </c>
      <c r="H13" s="71">
        <f>J67</f>
        <v>28.827781988287363</v>
      </c>
      <c r="I13" s="70" t="e">
        <f>Z71</f>
        <v>#N/A</v>
      </c>
      <c r="J13" s="70">
        <f>AP71</f>
        <v>27.976876447020381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234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31.5" x14ac:dyDescent="0.25">
      <c r="A14" s="2" t="s">
        <v>40</v>
      </c>
      <c r="B14" s="28">
        <v>339</v>
      </c>
      <c r="C14" s="170" t="s">
        <v>41</v>
      </c>
      <c r="D14" s="171">
        <f>D8/D13</f>
        <v>18.144010832245279</v>
      </c>
      <c r="E14" s="163"/>
      <c r="F14" s="64" t="s">
        <v>42</v>
      </c>
      <c r="G14" s="65" t="s">
        <v>39</v>
      </c>
      <c r="H14" s="71">
        <f>AV71</f>
        <v>609.99999999999943</v>
      </c>
      <c r="I14" s="70" t="e">
        <f>AA71</f>
        <v>#N/A</v>
      </c>
      <c r="J14" s="70">
        <f>AQ71</f>
        <v>474.9999999999921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234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31.5" x14ac:dyDescent="0.4">
      <c r="A15" s="3" t="s">
        <v>46</v>
      </c>
      <c r="B15" s="29">
        <v>197</v>
      </c>
      <c r="C15" s="173" t="s">
        <v>47</v>
      </c>
      <c r="D15" s="112">
        <f>((B9*B11)/B13)*2000</f>
        <v>19.943019943019944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234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x14ac:dyDescent="0.25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234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149999999999999" customHeight="1" outlineLevel="2" x14ac:dyDescent="0.25">
      <c r="A17" s="302" t="s">
        <v>48</v>
      </c>
      <c r="B17" s="303"/>
      <c r="C17" s="304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234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outlineLevel="2" x14ac:dyDescent="0.25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234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outlineLevel="2" x14ac:dyDescent="0.25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234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outlineLevel="2" x14ac:dyDescent="0.25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234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outlineLevel="2" x14ac:dyDescent="0.25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234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" outlineLevel="2" x14ac:dyDescent="0.25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34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" outlineLevel="2" x14ac:dyDescent="0.25">
      <c r="A23" s="315" t="s">
        <v>58</v>
      </c>
      <c r="B23" s="316"/>
      <c r="C23" s="317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234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outlineLevel="2" x14ac:dyDescent="0.25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234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25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234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25">
      <c r="A26" s="315" t="s">
        <v>63</v>
      </c>
      <c r="B26" s="316"/>
      <c r="C26" s="317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234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25">
      <c r="A27" s="177" t="s">
        <v>64</v>
      </c>
      <c r="B27" s="181">
        <v>0.1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234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82"/>
    </row>
    <row r="28" spans="1:58" outlineLevel="2" x14ac:dyDescent="0.25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234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82"/>
    </row>
    <row r="29" spans="1:58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234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82"/>
    </row>
    <row r="30" spans="1:58" x14ac:dyDescent="0.25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234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82"/>
    </row>
    <row r="31" spans="1:58" ht="18.75" x14ac:dyDescent="0.3">
      <c r="A31" s="296" t="s">
        <v>68</v>
      </c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234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82"/>
    </row>
    <row r="32" spans="1:58" ht="63" x14ac:dyDescent="0.25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234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82"/>
    </row>
    <row r="33" spans="1:57" x14ac:dyDescent="0.25">
      <c r="A33" s="30">
        <v>1</v>
      </c>
      <c r="B33" s="31">
        <v>15</v>
      </c>
      <c r="C33" s="31">
        <v>3.51</v>
      </c>
      <c r="D33" s="31">
        <v>500.93</v>
      </c>
      <c r="E33" s="187">
        <f t="shared" ref="E33:E38" si="0">(B33*D33*$B$20*C33)/($B$19*$B$27)</f>
        <v>131.86978470599448</v>
      </c>
      <c r="F33" s="33">
        <v>132.6</v>
      </c>
      <c r="G33" s="33">
        <v>1.25</v>
      </c>
      <c r="H33" s="61">
        <f t="shared" ref="H33:H38" si="1">F33-G33</f>
        <v>131.35</v>
      </c>
      <c r="I33" s="8">
        <f t="shared" ref="I33:I38" si="2" xml:space="preserve"> (H33*$B$27*$B$19)/ (D33*$B$20*C33)</f>
        <v>14.940875230764194</v>
      </c>
      <c r="J33" s="31">
        <v>163.01</v>
      </c>
      <c r="K33" s="31">
        <v>408.83</v>
      </c>
      <c r="L33" s="31">
        <v>257.52</v>
      </c>
      <c r="M33" s="31">
        <v>920.25</v>
      </c>
      <c r="N33" s="187">
        <v>100</v>
      </c>
      <c r="O33" s="7">
        <f t="shared" ref="O33:P38" si="3">L33-J33</f>
        <v>94.509999999999991</v>
      </c>
      <c r="P33" s="187">
        <f t="shared" si="3"/>
        <v>511.42</v>
      </c>
      <c r="Q33" s="187">
        <f t="shared" ref="Q33:Q38" si="4">((O33+P33)/O33)*(D33/(D33+H33))*C33</f>
        <v>17.828688851351618</v>
      </c>
      <c r="R33" s="189">
        <f t="shared" ref="R33:R38" si="5">$B$24/Q33*100</f>
        <v>35.474974109582277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234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25">
      <c r="A34" s="30">
        <v>2</v>
      </c>
      <c r="B34" s="31">
        <v>18</v>
      </c>
      <c r="C34" s="31">
        <v>3.51</v>
      </c>
      <c r="D34" s="32">
        <v>500.25</v>
      </c>
      <c r="E34" s="187">
        <f t="shared" si="0"/>
        <v>158.02892970875868</v>
      </c>
      <c r="F34" s="34">
        <v>160.19999999999999</v>
      </c>
      <c r="G34" s="34">
        <v>1.5</v>
      </c>
      <c r="H34" s="13">
        <f t="shared" si="1"/>
        <v>158.69999999999999</v>
      </c>
      <c r="I34" s="8">
        <f t="shared" si="2"/>
        <v>18.076437050257859</v>
      </c>
      <c r="J34" s="32">
        <v>401.8</v>
      </c>
      <c r="K34" s="32">
        <v>400.7</v>
      </c>
      <c r="L34" s="32">
        <v>559.01</v>
      </c>
      <c r="M34" s="32">
        <v>870</v>
      </c>
      <c r="N34" s="187">
        <v>100</v>
      </c>
      <c r="O34" s="7">
        <f t="shared" si="3"/>
        <v>157.20999999999998</v>
      </c>
      <c r="P34" s="187">
        <f t="shared" si="3"/>
        <v>469.3</v>
      </c>
      <c r="Q34" s="187">
        <f t="shared" si="4"/>
        <v>10.619145981747828</v>
      </c>
      <c r="R34" s="189">
        <f t="shared" si="5"/>
        <v>59.559617741067804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234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25">
      <c r="A35" s="30">
        <v>3</v>
      </c>
      <c r="B35" s="103">
        <v>20</v>
      </c>
      <c r="C35" s="31">
        <v>3.51</v>
      </c>
      <c r="D35" s="32">
        <v>500.45</v>
      </c>
      <c r="E35" s="187">
        <f t="shared" si="0"/>
        <v>175.65789965627914</v>
      </c>
      <c r="F35" s="34">
        <v>177.21</v>
      </c>
      <c r="G35" s="34">
        <v>0.97</v>
      </c>
      <c r="H35" s="13">
        <f t="shared" si="1"/>
        <v>176.24</v>
      </c>
      <c r="I35" s="8">
        <f t="shared" si="2"/>
        <v>20.066276591586249</v>
      </c>
      <c r="J35" s="32">
        <v>453.3</v>
      </c>
      <c r="K35" s="32">
        <v>361.49</v>
      </c>
      <c r="L35" s="32">
        <v>608.5</v>
      </c>
      <c r="M35" s="32">
        <v>841.7</v>
      </c>
      <c r="N35" s="187">
        <v>100</v>
      </c>
      <c r="O35" s="7">
        <f t="shared" si="3"/>
        <v>155.19999999999999</v>
      </c>
      <c r="P35" s="187">
        <f t="shared" si="3"/>
        <v>480.21000000000004</v>
      </c>
      <c r="Q35" s="187">
        <f t="shared" si="4"/>
        <v>10.627726755438808</v>
      </c>
      <c r="R35" s="189">
        <f t="shared" si="5"/>
        <v>59.511529602115999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234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25">
      <c r="A36" s="30">
        <v>4</v>
      </c>
      <c r="B36" s="31">
        <v>22.5</v>
      </c>
      <c r="C36" s="31">
        <v>3.51</v>
      </c>
      <c r="D36" s="32">
        <v>500.53</v>
      </c>
      <c r="E36" s="187">
        <f t="shared" si="0"/>
        <v>197.64672710426032</v>
      </c>
      <c r="F36" s="34">
        <v>199.12</v>
      </c>
      <c r="G36" s="34">
        <v>0.9</v>
      </c>
      <c r="H36" s="13">
        <f t="shared" si="1"/>
        <v>198.22</v>
      </c>
      <c r="I36" s="8">
        <f t="shared" si="2"/>
        <v>22.565261086500762</v>
      </c>
      <c r="J36" s="32">
        <v>206.75</v>
      </c>
      <c r="K36" s="32">
        <v>412.83</v>
      </c>
      <c r="L36" s="32">
        <v>358.7</v>
      </c>
      <c r="M36" s="32">
        <v>906.25</v>
      </c>
      <c r="N36" s="187">
        <v>100</v>
      </c>
      <c r="O36" s="7">
        <f t="shared" si="3"/>
        <v>151.94999999999999</v>
      </c>
      <c r="P36" s="187">
        <f t="shared" si="3"/>
        <v>493.42</v>
      </c>
      <c r="Q36" s="187">
        <f t="shared" si="4"/>
        <v>10.678825188457035</v>
      </c>
      <c r="R36" s="189">
        <f t="shared" si="5"/>
        <v>59.226765514726218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234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25">
      <c r="A37" s="30">
        <v>5</v>
      </c>
      <c r="B37" s="31">
        <v>25</v>
      </c>
      <c r="C37" s="31">
        <v>3.51</v>
      </c>
      <c r="D37" s="32">
        <v>500.49</v>
      </c>
      <c r="E37" s="187">
        <f t="shared" si="0"/>
        <v>219.58992456531908</v>
      </c>
      <c r="F37" s="34">
        <v>221.61</v>
      </c>
      <c r="G37" s="34">
        <v>0.73</v>
      </c>
      <c r="H37" s="13">
        <f t="shared" si="1"/>
        <v>220.88000000000002</v>
      </c>
      <c r="I37" s="8">
        <f t="shared" si="2"/>
        <v>25.146873249903731</v>
      </c>
      <c r="J37" s="32">
        <v>205.78</v>
      </c>
      <c r="K37" s="32">
        <v>408.04</v>
      </c>
      <c r="L37" s="32">
        <v>353.17</v>
      </c>
      <c r="M37" s="32">
        <v>927.4</v>
      </c>
      <c r="N37" s="187">
        <v>100</v>
      </c>
      <c r="O37" s="7">
        <f t="shared" si="3"/>
        <v>147.39000000000001</v>
      </c>
      <c r="P37" s="187">
        <f t="shared" si="3"/>
        <v>519.3599999999999</v>
      </c>
      <c r="Q37" s="187">
        <f t="shared" si="4"/>
        <v>11.01639372990558</v>
      </c>
      <c r="R37" s="189">
        <f t="shared" si="5"/>
        <v>57.411916359939106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234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25">
      <c r="A38" s="94">
        <v>6</v>
      </c>
      <c r="B38" s="95"/>
      <c r="C38" s="95"/>
      <c r="D38" s="96"/>
      <c r="E38" s="245">
        <f t="shared" si="0"/>
        <v>0</v>
      </c>
      <c r="F38" s="97"/>
      <c r="G38" s="97"/>
      <c r="H38" s="13">
        <f t="shared" si="1"/>
        <v>0</v>
      </c>
      <c r="I38" s="8" t="e">
        <f t="shared" si="2"/>
        <v>#DIV/0!</v>
      </c>
      <c r="J38" s="32"/>
      <c r="K38" s="32"/>
      <c r="L38" s="96"/>
      <c r="M38" s="96"/>
      <c r="N38" s="187">
        <v>100</v>
      </c>
      <c r="O38" s="7">
        <f t="shared" si="3"/>
        <v>0</v>
      </c>
      <c r="P38" s="187">
        <f t="shared" si="3"/>
        <v>0</v>
      </c>
      <c r="Q38" s="187" t="e">
        <f t="shared" si="4"/>
        <v>#DIV/0!</v>
      </c>
      <c r="R38" s="189" t="e">
        <f t="shared" si="5"/>
        <v>#DIV/0!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234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x14ac:dyDescent="0.3">
      <c r="A39" s="347" t="s">
        <v>87</v>
      </c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9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234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149999999999999" customHeight="1" x14ac:dyDescent="0.25">
      <c r="A40" s="5" t="s">
        <v>69</v>
      </c>
      <c r="B40" s="5" t="s">
        <v>88</v>
      </c>
      <c r="C40" s="21" t="s">
        <v>89</v>
      </c>
      <c r="D40" s="350" t="s">
        <v>90</v>
      </c>
      <c r="E40" s="351"/>
      <c r="F40" s="351"/>
      <c r="G40" s="351"/>
      <c r="H40" s="352"/>
      <c r="I40" s="353" t="s">
        <v>91</v>
      </c>
      <c r="J40" s="354"/>
      <c r="K40" s="354"/>
      <c r="L40" s="354"/>
      <c r="M40" s="355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234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x14ac:dyDescent="0.25">
      <c r="A41" s="193">
        <v>1</v>
      </c>
      <c r="B41" s="194">
        <f>AVERAGE(D41:H41)</f>
        <v>68.2</v>
      </c>
      <c r="C41" s="195">
        <f>AVERAGE(I41:K41)</f>
        <v>35.200000000000003</v>
      </c>
      <c r="D41" s="229">
        <v>68.2</v>
      </c>
      <c r="E41" s="196"/>
      <c r="F41" s="196"/>
      <c r="G41" s="196"/>
      <c r="H41" s="197"/>
      <c r="I41" s="200">
        <v>35.200000000000003</v>
      </c>
      <c r="J41" s="198"/>
      <c r="K41" s="198"/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234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25">
      <c r="A42" s="193">
        <v>2</v>
      </c>
      <c r="B42" s="194">
        <f>AVERAGE(D42:H42)</f>
        <v>64.099999999999994</v>
      </c>
      <c r="C42" s="195">
        <f>AVERAGE(I42:K42)</f>
        <v>37.299999999999997</v>
      </c>
      <c r="D42" s="200"/>
      <c r="E42" s="200">
        <v>64.099999999999994</v>
      </c>
      <c r="F42" s="198"/>
      <c r="G42" s="198"/>
      <c r="H42" s="199"/>
      <c r="I42" s="200">
        <v>37.299999999999997</v>
      </c>
      <c r="J42" s="198"/>
      <c r="K42" s="198"/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169"/>
      <c r="AD42" s="235"/>
      <c r="AE42" s="235"/>
      <c r="AF42" s="235"/>
      <c r="AG42" s="235"/>
      <c r="AH42" s="235"/>
      <c r="AI42" s="235"/>
      <c r="AJ42" s="235"/>
      <c r="AK42" s="235"/>
      <c r="AL42" s="236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ht="34.5" customHeight="1" x14ac:dyDescent="0.25">
      <c r="A43" s="193">
        <v>3</v>
      </c>
      <c r="B43" s="194">
        <f>AVERAGE(D43:F43)</f>
        <v>63.4</v>
      </c>
      <c r="C43" s="195">
        <f>AVERAGE(I43:K43)</f>
        <v>36.299999999999997</v>
      </c>
      <c r="D43" s="200"/>
      <c r="E43" s="200">
        <v>63.4</v>
      </c>
      <c r="F43" s="198"/>
      <c r="G43" s="198"/>
      <c r="H43" s="199"/>
      <c r="I43" s="200">
        <v>36.299999999999997</v>
      </c>
      <c r="J43" s="198"/>
      <c r="K43" s="198"/>
      <c r="L43" s="198"/>
      <c r="M43" s="199"/>
      <c r="N43" s="163"/>
      <c r="O43" s="163"/>
      <c r="P43" s="163"/>
      <c r="Q43" s="163"/>
      <c r="R43" s="163"/>
      <c r="S43" s="163"/>
      <c r="T43" s="163"/>
      <c r="U43" s="356" t="s">
        <v>307</v>
      </c>
      <c r="V43" s="357"/>
      <c r="W43" s="357"/>
      <c r="X43" s="357"/>
      <c r="Y43" s="357"/>
      <c r="Z43" s="357"/>
      <c r="AA43" s="357"/>
      <c r="AB43" s="357"/>
      <c r="AC43" s="358"/>
      <c r="AD43" s="362" t="s">
        <v>308</v>
      </c>
      <c r="AE43" s="363"/>
      <c r="AF43" s="363"/>
      <c r="AG43" s="363"/>
      <c r="AH43" s="363"/>
      <c r="AI43" s="363"/>
      <c r="AJ43" s="363"/>
      <c r="AK43" s="363"/>
      <c r="AL43" s="364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149999999999999" customHeight="1" x14ac:dyDescent="0.25">
      <c r="A44" s="193">
        <v>4</v>
      </c>
      <c r="B44" s="194">
        <f>AVERAGE(D44:F44)</f>
        <v>67.900000000000006</v>
      </c>
      <c r="C44" s="195">
        <f>AVERAGE(I44:K44)</f>
        <v>35.9</v>
      </c>
      <c r="D44" s="200"/>
      <c r="E44" s="198">
        <v>67.900000000000006</v>
      </c>
      <c r="F44" s="198"/>
      <c r="G44" s="198"/>
      <c r="H44" s="199"/>
      <c r="I44" s="200">
        <v>35.9</v>
      </c>
      <c r="J44" s="198"/>
      <c r="K44" s="198"/>
      <c r="L44" s="198"/>
      <c r="M44" s="199"/>
      <c r="N44" s="163"/>
      <c r="O44" s="163"/>
      <c r="P44" s="163"/>
      <c r="Q44" s="163"/>
      <c r="R44" s="163"/>
      <c r="S44" s="163"/>
      <c r="T44" s="163"/>
      <c r="U44" s="359"/>
      <c r="V44" s="360"/>
      <c r="W44" s="360"/>
      <c r="X44" s="360"/>
      <c r="Y44" s="360"/>
      <c r="Z44" s="360"/>
      <c r="AA44" s="360"/>
      <c r="AB44" s="360"/>
      <c r="AC44" s="361"/>
      <c r="AD44" s="359"/>
      <c r="AE44" s="360"/>
      <c r="AF44" s="360"/>
      <c r="AG44" s="360"/>
      <c r="AH44" s="360"/>
      <c r="AI44" s="360"/>
      <c r="AJ44" s="360"/>
      <c r="AK44" s="360"/>
      <c r="AL44" s="361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6.149999999999999" customHeight="1" x14ac:dyDescent="0.25">
      <c r="A45" s="193">
        <v>5</v>
      </c>
      <c r="B45" s="194">
        <f>AVERAGE(D45:F45)</f>
        <v>68.650000000000006</v>
      </c>
      <c r="C45" s="195">
        <f>AVERAGE(I45:K45)</f>
        <v>36.200000000000003</v>
      </c>
      <c r="D45" s="198">
        <v>61.8</v>
      </c>
      <c r="E45" s="198"/>
      <c r="F45" s="199">
        <v>75.5</v>
      </c>
      <c r="G45" s="199"/>
      <c r="H45" s="199"/>
      <c r="I45" s="200">
        <v>36.200000000000003</v>
      </c>
      <c r="J45" s="198"/>
      <c r="K45" s="198"/>
      <c r="L45" s="198"/>
      <c r="M45" s="199"/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169"/>
      <c r="AC45" s="237"/>
      <c r="AD45" s="169"/>
      <c r="AE45" s="169"/>
      <c r="AF45" s="169"/>
      <c r="AG45" s="169"/>
      <c r="AH45" s="169"/>
      <c r="AI45" s="169"/>
      <c r="AJ45" s="169"/>
      <c r="AK45" s="169"/>
      <c r="AL45" s="238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149999999999999" customHeight="1" x14ac:dyDescent="0.25">
      <c r="A46" s="193">
        <v>6</v>
      </c>
      <c r="B46" s="194"/>
      <c r="C46" s="195"/>
      <c r="D46" s="200"/>
      <c r="E46" s="198"/>
      <c r="F46" s="198"/>
      <c r="G46" s="198"/>
      <c r="H46" s="199"/>
      <c r="I46" s="200"/>
      <c r="J46" s="198"/>
      <c r="K46" s="198"/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169"/>
      <c r="AC46" s="237"/>
      <c r="AD46" s="169"/>
      <c r="AE46" s="169"/>
      <c r="AF46" s="169"/>
      <c r="AG46" s="169"/>
      <c r="AH46" s="169"/>
      <c r="AI46" s="169"/>
      <c r="AJ46" s="169"/>
      <c r="AK46" s="169"/>
      <c r="AL46" s="238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x14ac:dyDescent="0.25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65" t="s">
        <v>23</v>
      </c>
      <c r="Y47" s="366"/>
      <c r="Z47" s="367"/>
      <c r="AA47" s="169"/>
      <c r="AB47" s="169"/>
      <c r="AC47" s="237"/>
      <c r="AD47" s="169"/>
      <c r="AE47" s="169"/>
      <c r="AF47" s="169"/>
      <c r="AG47" s="169"/>
      <c r="AH47" s="169"/>
      <c r="AI47" s="169"/>
      <c r="AJ47" s="169"/>
      <c r="AK47" s="169"/>
      <c r="AL47" s="238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21" customHeight="1" x14ac:dyDescent="0.25">
      <c r="A48" s="291" t="s">
        <v>92</v>
      </c>
      <c r="B48" s="292"/>
      <c r="C48" s="292"/>
      <c r="D48" s="292"/>
      <c r="E48" s="292"/>
      <c r="F48" s="292"/>
      <c r="G48" s="292"/>
      <c r="H48" s="292"/>
      <c r="I48" s="292"/>
      <c r="J48" s="292"/>
      <c r="K48" s="292"/>
      <c r="L48" s="292"/>
      <c r="M48" s="292"/>
      <c r="N48" s="292"/>
      <c r="O48" s="292"/>
      <c r="P48" s="292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169"/>
      <c r="AC48" s="237"/>
      <c r="AD48" s="169"/>
      <c r="AE48" s="169"/>
      <c r="AF48" s="169"/>
      <c r="AG48" s="169"/>
      <c r="AH48" s="169"/>
      <c r="AI48" s="169"/>
      <c r="AJ48" s="169"/>
      <c r="AK48" s="169"/>
      <c r="AL48" s="238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2.15" customHeight="1" x14ac:dyDescent="0.25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169"/>
      <c r="AC49" s="237"/>
      <c r="AD49" s="169"/>
      <c r="AE49" s="169"/>
      <c r="AF49" s="169"/>
      <c r="AG49" s="169"/>
      <c r="AH49" s="169"/>
      <c r="AI49" s="169"/>
      <c r="AJ49" s="169"/>
      <c r="AK49" s="169"/>
      <c r="AL49" s="238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82"/>
    </row>
    <row r="50" spans="1:58" ht="21" customHeight="1" x14ac:dyDescent="0.25">
      <c r="A50" s="9">
        <v>1</v>
      </c>
      <c r="B50" s="186">
        <v>1.1344000000000001</v>
      </c>
      <c r="C50" s="186">
        <v>1.1339999999999999</v>
      </c>
      <c r="D50" s="202">
        <v>10</v>
      </c>
      <c r="E50" s="202">
        <v>10</v>
      </c>
      <c r="F50" s="10">
        <v>1.1478999999999999</v>
      </c>
      <c r="G50" s="10">
        <v>1.1398999999999999</v>
      </c>
      <c r="H50" s="202">
        <v>1</v>
      </c>
      <c r="I50" s="11">
        <f>(F50-B50)*1000*H50/D50</f>
        <v>1.3499999999999845</v>
      </c>
      <c r="J50" s="11">
        <f>(G50-C50)*1000*H50/E50</f>
        <v>0.59000000000000163</v>
      </c>
      <c r="K50" s="12">
        <f>AVERAGE(J50)</f>
        <v>0.59000000000000163</v>
      </c>
      <c r="L50" s="203">
        <v>1.1371</v>
      </c>
      <c r="M50" s="203">
        <v>1.1339999999999999</v>
      </c>
      <c r="N50" s="204">
        <f t="shared" ref="N50:N56" si="6">(F50-L50)/E50*1000000</f>
        <v>1079.999999999992</v>
      </c>
      <c r="O50" s="205">
        <f t="shared" ref="O50:O56" si="7">(G50-M50)/E50*1000000</f>
        <v>590.00000000000171</v>
      </c>
      <c r="P50" s="206">
        <f>AVERAGE(N50:O50)</f>
        <v>834.99999999999682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169"/>
      <c r="AC50" s="237"/>
      <c r="AD50" s="169"/>
      <c r="AE50" s="169"/>
      <c r="AF50" s="169"/>
      <c r="AG50" s="169"/>
      <c r="AH50" s="169"/>
      <c r="AI50" s="169"/>
      <c r="AJ50" s="169"/>
      <c r="AK50" s="169"/>
      <c r="AL50" s="238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82"/>
    </row>
    <row r="51" spans="1:58" x14ac:dyDescent="0.25">
      <c r="A51" s="9">
        <v>2</v>
      </c>
      <c r="B51" s="186">
        <v>1.1256999999999999</v>
      </c>
      <c r="C51" s="191">
        <v>1.1332</v>
      </c>
      <c r="D51" s="202">
        <v>10</v>
      </c>
      <c r="E51" s="202">
        <v>10</v>
      </c>
      <c r="F51" s="10">
        <v>1.1331</v>
      </c>
      <c r="G51" s="10">
        <v>1.1402000000000001</v>
      </c>
      <c r="H51" s="202">
        <v>1</v>
      </c>
      <c r="I51" s="11">
        <f t="shared" ref="I51:I56" si="8">(F51-B51)*1000*H51/D51</f>
        <v>0.74000000000000732</v>
      </c>
      <c r="J51" s="11">
        <f>(G51-C51)*1000*H51/E51</f>
        <v>0.70000000000001172</v>
      </c>
      <c r="K51" s="12">
        <f>AVERAGE(I51:J51)</f>
        <v>0.72000000000000952</v>
      </c>
      <c r="L51" s="203">
        <v>1.1264000000000001</v>
      </c>
      <c r="M51" s="203">
        <v>1.1335</v>
      </c>
      <c r="N51" s="204">
        <f t="shared" si="6"/>
        <v>669.99999999999284</v>
      </c>
      <c r="O51" s="205">
        <f t="shared" si="7"/>
        <v>670.00000000001501</v>
      </c>
      <c r="P51" s="206">
        <f>AVERAGE(N51:O51)</f>
        <v>670.00000000000387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169"/>
      <c r="AC51" s="237"/>
      <c r="AD51" s="169"/>
      <c r="AE51" s="169"/>
      <c r="AF51" s="169"/>
      <c r="AG51" s="169"/>
      <c r="AH51" s="169"/>
      <c r="AI51" s="169"/>
      <c r="AJ51" s="169"/>
      <c r="AK51" s="169"/>
      <c r="AL51" s="238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82"/>
    </row>
    <row r="52" spans="1:58" x14ac:dyDescent="0.25">
      <c r="A52" s="9">
        <v>3</v>
      </c>
      <c r="B52" s="186">
        <v>1.1175999999999999</v>
      </c>
      <c r="C52" s="207">
        <v>1.1088</v>
      </c>
      <c r="D52" s="202">
        <v>10</v>
      </c>
      <c r="E52" s="202">
        <v>10</v>
      </c>
      <c r="F52" s="10">
        <v>1.125</v>
      </c>
      <c r="G52" s="10">
        <v>1.1160000000000001</v>
      </c>
      <c r="H52" s="202">
        <v>1</v>
      </c>
      <c r="I52" s="11">
        <f t="shared" si="8"/>
        <v>0.74000000000000732</v>
      </c>
      <c r="J52" s="11">
        <f>(G52-C52)*1000*H52/E52</f>
        <v>0.72000000000000952</v>
      </c>
      <c r="K52" s="12">
        <f>AVERAGE(I52:J52)</f>
        <v>0.73000000000000842</v>
      </c>
      <c r="L52" s="203">
        <v>1.1185</v>
      </c>
      <c r="M52" s="203">
        <v>1.1094999999999999</v>
      </c>
      <c r="N52" s="204">
        <f t="shared" si="6"/>
        <v>649.999999999995</v>
      </c>
      <c r="O52" s="205">
        <f t="shared" si="7"/>
        <v>650.00000000001717</v>
      </c>
      <c r="P52" s="206">
        <f>AVERAGE(N52:O52)</f>
        <v>650.00000000000614</v>
      </c>
      <c r="Q52" s="163"/>
      <c r="R52" s="163"/>
      <c r="S52" s="163"/>
      <c r="T52" s="163"/>
      <c r="U52" s="233"/>
      <c r="V52" s="344" t="s">
        <v>7</v>
      </c>
      <c r="W52" s="345"/>
      <c r="X52" s="345"/>
      <c r="Y52" s="345"/>
      <c r="Z52" s="346"/>
      <c r="AA52" s="169"/>
      <c r="AB52" s="169"/>
      <c r="AC52" s="237"/>
      <c r="AD52" s="169"/>
      <c r="AE52" s="169"/>
      <c r="AF52" s="169"/>
      <c r="AG52" s="169"/>
      <c r="AH52" s="169"/>
      <c r="AI52" s="169"/>
      <c r="AJ52" s="169"/>
      <c r="AK52" s="169"/>
      <c r="AL52" s="238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82"/>
    </row>
    <row r="53" spans="1:58" x14ac:dyDescent="0.25">
      <c r="A53" s="9">
        <v>4</v>
      </c>
      <c r="B53" s="191">
        <v>1.1029</v>
      </c>
      <c r="C53" s="208">
        <v>1.1099000000000001</v>
      </c>
      <c r="D53" s="202">
        <v>10</v>
      </c>
      <c r="E53" s="202">
        <v>10</v>
      </c>
      <c r="F53" s="10">
        <v>1.1077999999999999</v>
      </c>
      <c r="G53" s="10">
        <v>1.1145</v>
      </c>
      <c r="H53" s="202">
        <v>1</v>
      </c>
      <c r="I53" s="11">
        <f t="shared" si="8"/>
        <v>0.48999999999999044</v>
      </c>
      <c r="J53" s="11">
        <f>(G53-C53)*1000*H53/E53</f>
        <v>0.45999999999999375</v>
      </c>
      <c r="K53" s="12">
        <f>AVERAGE(I53:J53)</f>
        <v>0.4749999999999921</v>
      </c>
      <c r="L53" s="203">
        <v>1.1032</v>
      </c>
      <c r="M53" s="203">
        <v>1.1107</v>
      </c>
      <c r="N53" s="204">
        <f t="shared" si="6"/>
        <v>459.99999999999375</v>
      </c>
      <c r="O53" s="205">
        <f t="shared" si="7"/>
        <v>380.00000000000256</v>
      </c>
      <c r="P53" s="206">
        <f>AVERAGE(N53:O53)</f>
        <v>419.99999999999818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169"/>
      <c r="AC53" s="237"/>
      <c r="AD53" s="169"/>
      <c r="AE53" s="169"/>
      <c r="AF53" s="169"/>
      <c r="AG53" s="169"/>
      <c r="AH53" s="169"/>
      <c r="AI53" s="169"/>
      <c r="AJ53" s="169"/>
      <c r="AK53" s="169"/>
      <c r="AL53" s="234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82"/>
    </row>
    <row r="54" spans="1:58" x14ac:dyDescent="0.25">
      <c r="A54" s="9">
        <v>5</v>
      </c>
      <c r="B54" s="191">
        <v>1.1214999999999999</v>
      </c>
      <c r="C54" s="208">
        <v>1.1153999999999999</v>
      </c>
      <c r="D54" s="202">
        <v>10</v>
      </c>
      <c r="E54" s="202">
        <v>10</v>
      </c>
      <c r="F54" s="10">
        <v>1.1247</v>
      </c>
      <c r="G54" s="10">
        <v>1.1186</v>
      </c>
      <c r="H54" s="202">
        <v>1</v>
      </c>
      <c r="I54" s="11">
        <f t="shared" si="8"/>
        <v>0.32000000000000917</v>
      </c>
      <c r="J54" s="11">
        <f>(G54-C54)*1000*H54/E54</f>
        <v>0.32000000000000917</v>
      </c>
      <c r="K54" s="12">
        <f>AVERAGE(I54:J54)</f>
        <v>0.32000000000000917</v>
      </c>
      <c r="L54" s="203">
        <v>1.1217999999999999</v>
      </c>
      <c r="M54" s="203">
        <v>1.1158999999999999</v>
      </c>
      <c r="N54" s="204">
        <f t="shared" si="6"/>
        <v>290.00000000001245</v>
      </c>
      <c r="O54" s="205">
        <f t="shared" si="7"/>
        <v>270.00000000001472</v>
      </c>
      <c r="P54" s="206">
        <f>AVERAGE(N54:O54)</f>
        <v>280.00000000001359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169"/>
      <c r="AC54" s="237"/>
      <c r="AD54" s="169"/>
      <c r="AE54" s="169"/>
      <c r="AF54" s="169"/>
      <c r="AG54" s="192"/>
      <c r="AH54" s="169"/>
      <c r="AI54" s="169"/>
      <c r="AJ54" s="169"/>
      <c r="AK54" s="169"/>
      <c r="AL54" s="234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82"/>
    </row>
    <row r="55" spans="1:58" x14ac:dyDescent="0.25">
      <c r="A55" s="102"/>
      <c r="B55" s="191"/>
      <c r="C55" s="208"/>
      <c r="D55" s="202"/>
      <c r="E55" s="202"/>
      <c r="F55" s="101"/>
      <c r="G55" s="101"/>
      <c r="H55" s="202"/>
      <c r="I55" s="11"/>
      <c r="J55" s="11"/>
      <c r="K55" s="12"/>
      <c r="L55" s="209"/>
      <c r="M55" s="209"/>
      <c r="N55" s="204"/>
      <c r="O55" s="205"/>
      <c r="P55" s="206"/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169"/>
      <c r="AC55" s="237"/>
      <c r="AD55" s="169"/>
      <c r="AE55" s="169"/>
      <c r="AF55" s="169"/>
      <c r="AG55" s="192"/>
      <c r="AH55" s="169"/>
      <c r="AI55" s="169"/>
      <c r="AJ55" s="169"/>
      <c r="AK55" s="169"/>
      <c r="AL55" s="234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82"/>
    </row>
    <row r="56" spans="1:58" ht="40.5" customHeight="1" x14ac:dyDescent="0.25">
      <c r="A56" s="210" t="s">
        <v>109</v>
      </c>
      <c r="B56" s="191">
        <v>1.1192</v>
      </c>
      <c r="C56" s="208">
        <v>1.1196999999999999</v>
      </c>
      <c r="D56" s="211">
        <v>10</v>
      </c>
      <c r="E56" s="211">
        <v>10</v>
      </c>
      <c r="F56" s="212">
        <v>1.1265000000000001</v>
      </c>
      <c r="G56" s="212">
        <v>1.1265000000000001</v>
      </c>
      <c r="H56" s="202">
        <v>1</v>
      </c>
      <c r="I56" s="11">
        <f t="shared" si="8"/>
        <v>0.73000000000000842</v>
      </c>
      <c r="J56" s="11">
        <f>(G56-C56)*1000*H56/E56</f>
        <v>0.68000000000001393</v>
      </c>
      <c r="K56" s="12">
        <f>AVERAGE(I56:J56)</f>
        <v>0.70500000000001117</v>
      </c>
      <c r="L56" s="213">
        <v>1.1204000000000001</v>
      </c>
      <c r="M56" s="213">
        <v>1.1204000000000001</v>
      </c>
      <c r="N56" s="184">
        <f t="shared" si="6"/>
        <v>609.99999999999943</v>
      </c>
      <c r="O56" s="205">
        <f t="shared" si="7"/>
        <v>609.99999999999943</v>
      </c>
      <c r="P56" s="206">
        <f>AVERAGE(N56:O56)</f>
        <v>609.99999999999943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3.8675091638916861</v>
      </c>
      <c r="Y56" s="79"/>
      <c r="Z56" s="86"/>
      <c r="AA56" s="169"/>
      <c r="AB56" s="169"/>
      <c r="AC56" s="237"/>
      <c r="AD56" s="169"/>
      <c r="AE56" s="169"/>
      <c r="AF56" s="169"/>
      <c r="AG56" s="169"/>
      <c r="AH56" s="169"/>
      <c r="AI56" s="169"/>
      <c r="AJ56" s="169"/>
      <c r="AK56" s="169"/>
      <c r="AL56" s="234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</row>
    <row r="57" spans="1:58" ht="34.5" customHeight="1" x14ac:dyDescent="0.25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0.17499999999999999</v>
      </c>
      <c r="Y57" s="80">
        <f>I11</f>
        <v>0.17499999999999999</v>
      </c>
      <c r="Z57" s="87">
        <f>J11</f>
        <v>0.17499999999999999</v>
      </c>
      <c r="AA57" s="169"/>
      <c r="AB57" s="169"/>
      <c r="AC57" s="237"/>
      <c r="AD57" s="169"/>
      <c r="AE57" s="169"/>
      <c r="AF57" s="169"/>
      <c r="AG57" s="169"/>
      <c r="AH57" s="169"/>
      <c r="AI57" s="169"/>
      <c r="AJ57" s="169"/>
      <c r="AK57" s="169"/>
      <c r="AL57" s="234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x14ac:dyDescent="0.25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19.943019943019944</v>
      </c>
      <c r="Y58" s="240">
        <f>I12</f>
        <v>20</v>
      </c>
      <c r="Z58" s="240">
        <f>J12</f>
        <v>22.565261086500762</v>
      </c>
      <c r="AA58" s="169"/>
      <c r="AB58" s="169"/>
      <c r="AC58" s="237"/>
      <c r="AD58" s="169"/>
      <c r="AE58" s="169"/>
      <c r="AF58" s="169"/>
      <c r="AG58" s="169"/>
      <c r="AH58" s="169"/>
      <c r="AI58" s="169"/>
      <c r="AJ58" s="169"/>
      <c r="AK58" s="169"/>
      <c r="AL58" s="234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25">
      <c r="A59" s="293" t="s">
        <v>112</v>
      </c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5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9">H13</f>
        <v>28.827781988287363</v>
      </c>
      <c r="Y59" s="81" t="e">
        <f t="shared" si="9"/>
        <v>#N/A</v>
      </c>
      <c r="Z59" s="88">
        <f t="shared" si="9"/>
        <v>27.976876447020381</v>
      </c>
      <c r="AA59" s="169"/>
      <c r="AB59" s="169"/>
      <c r="AC59" s="237"/>
      <c r="AD59" s="169"/>
      <c r="AE59" s="169"/>
      <c r="AF59" s="169"/>
      <c r="AG59" s="169"/>
      <c r="AH59" s="169"/>
      <c r="AI59" s="169"/>
      <c r="AJ59" s="169"/>
      <c r="AK59" s="169"/>
      <c r="AL59" s="234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25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/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9"/>
        <v>609.99999999999943</v>
      </c>
      <c r="Y60" s="91" t="e">
        <f t="shared" si="9"/>
        <v>#N/A</v>
      </c>
      <c r="Z60" s="92">
        <f t="shared" si="9"/>
        <v>474.9999999999921</v>
      </c>
      <c r="AA60" s="169"/>
      <c r="AB60" s="169"/>
      <c r="AC60" s="237"/>
      <c r="AD60" s="169"/>
      <c r="AE60" s="169"/>
      <c r="AF60" s="169"/>
      <c r="AG60" s="169"/>
      <c r="AH60" s="169"/>
      <c r="AI60" s="169"/>
      <c r="AJ60" s="169"/>
      <c r="AK60" s="169"/>
      <c r="AL60" s="234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25">
      <c r="A61" s="9">
        <v>1</v>
      </c>
      <c r="B61" s="46">
        <v>1.0107999999999999</v>
      </c>
      <c r="C61" s="46">
        <v>1.0177</v>
      </c>
      <c r="D61" s="46">
        <v>5.3811</v>
      </c>
      <c r="E61" s="46">
        <v>5.1253000000000002</v>
      </c>
      <c r="F61" s="47">
        <v>2.3075000000000001</v>
      </c>
      <c r="G61" s="48">
        <v>2.1842999999999999</v>
      </c>
      <c r="H61" s="13">
        <f>(F61-B61)*100/(D61-B61)</f>
        <v>29.670731986362494</v>
      </c>
      <c r="I61" s="13">
        <f t="shared" ref="H61:I68" si="10">(G61-C61)*100/(E61-C61)</f>
        <v>28.401012756840977</v>
      </c>
      <c r="J61" s="13">
        <f t="shared" ref="J61:J68" si="11">AVERAGE(H61:I61)</f>
        <v>29.035872371601734</v>
      </c>
      <c r="K61" s="198">
        <v>1.4749000000000001</v>
      </c>
      <c r="L61" s="198">
        <v>1.4392</v>
      </c>
      <c r="M61" s="13">
        <f t="shared" ref="M61:N68" si="12">((F61-K61)/D61)*100</f>
        <v>15.472672873576036</v>
      </c>
      <c r="N61" s="15">
        <f t="shared" si="12"/>
        <v>14.53768559889177</v>
      </c>
      <c r="O61" s="16">
        <f t="shared" ref="O61:O68" si="13">AVERAGE(M61:N61)</f>
        <v>15.005179236233904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2"/>
      <c r="AC61" s="243"/>
      <c r="AD61" s="242"/>
      <c r="AE61" s="242"/>
      <c r="AF61" s="242"/>
      <c r="AG61" s="242"/>
      <c r="AH61" s="93"/>
      <c r="AI61" s="242"/>
      <c r="AJ61" s="242"/>
      <c r="AK61" s="242"/>
      <c r="AL61" s="244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25">
      <c r="A62" s="9">
        <v>2</v>
      </c>
      <c r="B62" s="48">
        <v>1.0129999999999999</v>
      </c>
      <c r="C62" s="48">
        <v>1.0026999999999999</v>
      </c>
      <c r="D62" s="48">
        <v>5.0216000000000003</v>
      </c>
      <c r="E62" s="48">
        <v>5.1319999999999997</v>
      </c>
      <c r="F62" s="47">
        <v>2.1882999999999999</v>
      </c>
      <c r="G62" s="48">
        <v>2.2469000000000001</v>
      </c>
      <c r="H62" s="13">
        <f t="shared" si="10"/>
        <v>29.319463154218429</v>
      </c>
      <c r="I62" s="13">
        <f t="shared" si="10"/>
        <v>30.131014941999862</v>
      </c>
      <c r="J62" s="13">
        <f t="shared" si="11"/>
        <v>29.725239048109145</v>
      </c>
      <c r="K62" s="14">
        <v>1.4618</v>
      </c>
      <c r="L62" s="14">
        <v>1.4774</v>
      </c>
      <c r="M62" s="13">
        <f t="shared" si="12"/>
        <v>14.467500398279432</v>
      </c>
      <c r="N62" s="15">
        <f t="shared" si="12"/>
        <v>14.994154325798911</v>
      </c>
      <c r="O62" s="16">
        <f t="shared" si="13"/>
        <v>14.730827362039172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25">
      <c r="A63" s="9">
        <v>3</v>
      </c>
      <c r="B63" s="48">
        <v>1.0093000000000001</v>
      </c>
      <c r="C63" s="48">
        <v>0.98329999999999995</v>
      </c>
      <c r="D63" s="48">
        <v>5.298</v>
      </c>
      <c r="E63" s="48">
        <v>5.3719000000000001</v>
      </c>
      <c r="F63" s="47">
        <v>2.0998999999999999</v>
      </c>
      <c r="G63" s="48">
        <v>2.2004000000000001</v>
      </c>
      <c r="H63" s="13">
        <f t="shared" si="10"/>
        <v>25.42961736656795</v>
      </c>
      <c r="I63" s="13">
        <f t="shared" si="10"/>
        <v>27.733217882696081</v>
      </c>
      <c r="J63" s="13">
        <f t="shared" si="11"/>
        <v>26.581417624632017</v>
      </c>
      <c r="K63" s="14">
        <v>1.4215</v>
      </c>
      <c r="L63" s="14">
        <v>1.4318</v>
      </c>
      <c r="M63" s="13">
        <f t="shared" si="12"/>
        <v>12.804832012080029</v>
      </c>
      <c r="N63" s="15">
        <f t="shared" si="12"/>
        <v>14.30778681658259</v>
      </c>
      <c r="O63" s="16">
        <f t="shared" si="13"/>
        <v>13.556309414331309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ht="24.6" customHeight="1" x14ac:dyDescent="0.25">
      <c r="A64" s="9">
        <v>4</v>
      </c>
      <c r="B64" s="49">
        <v>0.98019999999999996</v>
      </c>
      <c r="C64" s="49">
        <v>0.97729999999999995</v>
      </c>
      <c r="D64" s="49">
        <v>5.1471999999999998</v>
      </c>
      <c r="E64" s="49">
        <v>5.1883999999999997</v>
      </c>
      <c r="F64" s="50">
        <v>2.1111</v>
      </c>
      <c r="G64" s="49">
        <v>2.1907000000000001</v>
      </c>
      <c r="H64" s="13">
        <f t="shared" si="10"/>
        <v>27.139428845692347</v>
      </c>
      <c r="I64" s="13">
        <f t="shared" si="10"/>
        <v>28.814324048348414</v>
      </c>
      <c r="J64" s="13">
        <f t="shared" si="11"/>
        <v>27.976876447020381</v>
      </c>
      <c r="K64" s="14">
        <v>1.3939999999999999</v>
      </c>
      <c r="L64" s="14">
        <v>1.4208000000000001</v>
      </c>
      <c r="M64" s="13">
        <f t="shared" si="12"/>
        <v>13.931846440783341</v>
      </c>
      <c r="N64" s="15">
        <f t="shared" si="12"/>
        <v>14.838871328347855</v>
      </c>
      <c r="O64" s="16">
        <f t="shared" si="13"/>
        <v>14.385358884565598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25">
      <c r="A65" s="9">
        <v>5</v>
      </c>
      <c r="B65" s="49">
        <v>0.98480000000000001</v>
      </c>
      <c r="C65" s="49">
        <v>1.0002</v>
      </c>
      <c r="D65" s="49">
        <v>5.1121999999999996</v>
      </c>
      <c r="E65" s="49">
        <v>5.2851999999999997</v>
      </c>
      <c r="F65" s="50">
        <v>2.1591999999999998</v>
      </c>
      <c r="G65" s="49">
        <v>2.2058</v>
      </c>
      <c r="H65" s="13">
        <f t="shared" si="10"/>
        <v>28.453748122304596</v>
      </c>
      <c r="I65" s="13">
        <f t="shared" si="10"/>
        <v>28.135355892648775</v>
      </c>
      <c r="J65" s="13">
        <f t="shared" si="11"/>
        <v>28.294552007476685</v>
      </c>
      <c r="K65" s="14">
        <v>1.3978999999999999</v>
      </c>
      <c r="L65" s="14">
        <v>1.4371</v>
      </c>
      <c r="M65" s="13">
        <f t="shared" si="12"/>
        <v>14.891827393294472</v>
      </c>
      <c r="N65" s="15">
        <f t="shared" si="12"/>
        <v>14.544388102626202</v>
      </c>
      <c r="O65" s="16">
        <f t="shared" si="13"/>
        <v>14.718107747960337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25">
      <c r="A66" s="9"/>
      <c r="B66" s="49"/>
      <c r="C66" s="49"/>
      <c r="D66" s="49"/>
      <c r="E66" s="49"/>
      <c r="F66" s="50"/>
      <c r="G66" s="49"/>
      <c r="H66" s="13"/>
      <c r="I66" s="13"/>
      <c r="J66" s="13"/>
      <c r="K66" s="14"/>
      <c r="L66" s="14"/>
      <c r="M66" s="13"/>
      <c r="N66" s="15"/>
      <c r="O66" s="16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25">
      <c r="A67" s="215" t="s">
        <v>123</v>
      </c>
      <c r="B67" s="49">
        <v>0.98960000000000004</v>
      </c>
      <c r="C67" s="49">
        <v>0.99770000000000003</v>
      </c>
      <c r="D67" s="49">
        <v>5.2515000000000001</v>
      </c>
      <c r="E67" s="49">
        <v>5.0491000000000001</v>
      </c>
      <c r="F67" s="49">
        <v>2.2254999999999998</v>
      </c>
      <c r="G67" s="49">
        <v>2.1587000000000001</v>
      </c>
      <c r="H67" s="13">
        <f t="shared" si="10"/>
        <v>28.998803350618264</v>
      </c>
      <c r="I67" s="13">
        <f t="shared" si="10"/>
        <v>28.656760625956462</v>
      </c>
      <c r="J67" s="13">
        <f t="shared" si="11"/>
        <v>28.827781988287363</v>
      </c>
      <c r="K67" s="14">
        <v>1.4461999999999999</v>
      </c>
      <c r="L67" s="14">
        <v>1.4286000000000001</v>
      </c>
      <c r="M67" s="13">
        <f t="shared" si="12"/>
        <v>14.83956964676759</v>
      </c>
      <c r="N67" s="15">
        <f t="shared" si="12"/>
        <v>14.460002772771386</v>
      </c>
      <c r="O67" s="16">
        <f t="shared" si="13"/>
        <v>14.649786209769488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25">
      <c r="A68" s="210" t="s">
        <v>124</v>
      </c>
      <c r="B68" s="51">
        <v>0.99809999999999999</v>
      </c>
      <c r="C68" s="51">
        <v>1.0014000000000001</v>
      </c>
      <c r="D68" s="51">
        <v>5.1421000000000001</v>
      </c>
      <c r="E68" s="51">
        <v>5.1894</v>
      </c>
      <c r="F68" s="51">
        <v>1.1528</v>
      </c>
      <c r="G68" s="51">
        <v>1.169</v>
      </c>
      <c r="H68" s="13">
        <f>(F68-B68)*100/(D68-B68)</f>
        <v>3.7331081081081092</v>
      </c>
      <c r="I68" s="13">
        <f t="shared" si="10"/>
        <v>4.0019102196752625</v>
      </c>
      <c r="J68" s="13">
        <f t="shared" si="11"/>
        <v>3.8675091638916861</v>
      </c>
      <c r="K68" s="18">
        <v>1.0539000000000001</v>
      </c>
      <c r="L68" s="18">
        <v>1.0672999999999999</v>
      </c>
      <c r="M68" s="17">
        <f t="shared" si="12"/>
        <v>1.9233387137550801</v>
      </c>
      <c r="N68" s="19">
        <f t="shared" si="12"/>
        <v>1.9597641345820351</v>
      </c>
      <c r="O68" s="20">
        <f t="shared" si="13"/>
        <v>1.9415514241685576</v>
      </c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69" spans="1:58" x14ac:dyDescent="0.2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 t="s">
        <v>111</v>
      </c>
      <c r="M69" s="182"/>
      <c r="N69" s="182"/>
      <c r="O69" s="182"/>
      <c r="P69" s="182"/>
      <c r="Q69" s="182"/>
      <c r="R69" s="182"/>
      <c r="S69" s="182"/>
      <c r="T69" s="182"/>
      <c r="U69" s="182"/>
      <c r="V69" s="182"/>
      <c r="W69" s="182"/>
      <c r="X69" s="182"/>
      <c r="Y69" s="182"/>
      <c r="Z69" s="182"/>
      <c r="AA69" s="182"/>
      <c r="AB69" s="182"/>
      <c r="AC69" s="182"/>
      <c r="AD69" s="182"/>
      <c r="AE69" s="182"/>
      <c r="AF69" s="182"/>
      <c r="AG69" s="182"/>
      <c r="AH69" s="182"/>
      <c r="AI69" s="182"/>
      <c r="AJ69" s="182"/>
      <c r="AK69" s="182"/>
      <c r="AL69" s="182"/>
      <c r="AM69" s="182"/>
      <c r="AN69" s="182"/>
      <c r="AO69" s="182"/>
      <c r="AP69" s="182"/>
      <c r="AQ69" s="182"/>
      <c r="AR69" s="182"/>
      <c r="AS69" s="182"/>
      <c r="AT69" s="182"/>
      <c r="AU69" s="182"/>
      <c r="AV69" s="182"/>
      <c r="AW69" s="182"/>
      <c r="AX69" s="182"/>
      <c r="AY69" s="182"/>
      <c r="AZ69" s="182"/>
      <c r="BA69" s="182"/>
      <c r="BB69" s="182"/>
      <c r="BC69" s="182"/>
      <c r="BD69" s="182"/>
      <c r="BE69" s="182"/>
      <c r="BF69" s="182"/>
    </row>
    <row r="70" spans="1:58" s="25" customFormat="1" ht="99" customHeight="1" x14ac:dyDescent="0.25">
      <c r="A70" s="58" t="s">
        <v>77</v>
      </c>
      <c r="B70" s="59" t="s">
        <v>125</v>
      </c>
      <c r="C70" s="59" t="s">
        <v>126</v>
      </c>
      <c r="D70" s="53" t="s">
        <v>127</v>
      </c>
      <c r="E70" s="60" t="s">
        <v>128</v>
      </c>
      <c r="F70" s="52" t="s">
        <v>129</v>
      </c>
      <c r="G70" s="55" t="s">
        <v>130</v>
      </c>
      <c r="H70" s="53" t="s">
        <v>131</v>
      </c>
      <c r="I70" s="218" t="s">
        <v>132</v>
      </c>
      <c r="J70" s="104" t="s">
        <v>133</v>
      </c>
      <c r="K70" s="104" t="s">
        <v>134</v>
      </c>
      <c r="L70" s="104" t="s">
        <v>135</v>
      </c>
      <c r="M70" s="105" t="s">
        <v>133</v>
      </c>
      <c r="N70" s="105" t="s">
        <v>134</v>
      </c>
      <c r="O70" s="105" t="s">
        <v>135</v>
      </c>
      <c r="P70" s="105" t="s">
        <v>136</v>
      </c>
      <c r="Q70" s="106" t="s">
        <v>137</v>
      </c>
      <c r="R70" s="107" t="s">
        <v>129</v>
      </c>
      <c r="S70" s="108" t="s">
        <v>130</v>
      </c>
      <c r="T70" s="109" t="s">
        <v>131</v>
      </c>
      <c r="U70" s="108" t="s">
        <v>132</v>
      </c>
      <c r="V70" s="109" t="s">
        <v>133</v>
      </c>
      <c r="W70" s="109" t="s">
        <v>134</v>
      </c>
      <c r="X70" s="109" t="s">
        <v>135</v>
      </c>
      <c r="Y70" s="110" t="s">
        <v>133</v>
      </c>
      <c r="Z70" s="110" t="s">
        <v>134</v>
      </c>
      <c r="AA70" s="110" t="s">
        <v>135</v>
      </c>
      <c r="AB70" s="113"/>
      <c r="AC70" s="111" t="s">
        <v>310</v>
      </c>
      <c r="AD70" s="52" t="s">
        <v>129</v>
      </c>
      <c r="AE70" s="55" t="s">
        <v>130</v>
      </c>
      <c r="AF70" s="53" t="s">
        <v>131</v>
      </c>
      <c r="AG70" s="55" t="s">
        <v>132</v>
      </c>
      <c r="AH70" s="53" t="s">
        <v>138</v>
      </c>
      <c r="AI70" s="53" t="s">
        <v>139</v>
      </c>
      <c r="AJ70" s="53" t="s">
        <v>140</v>
      </c>
      <c r="AK70" s="53" t="s">
        <v>141</v>
      </c>
      <c r="AL70" s="53" t="s">
        <v>142</v>
      </c>
      <c r="AM70" s="53" t="s">
        <v>143</v>
      </c>
      <c r="AN70" s="53" t="s">
        <v>144</v>
      </c>
      <c r="AO70" s="56" t="s">
        <v>138</v>
      </c>
      <c r="AP70" s="56" t="s">
        <v>139</v>
      </c>
      <c r="AQ70" s="57" t="s">
        <v>140</v>
      </c>
      <c r="AR70" s="56" t="s">
        <v>145</v>
      </c>
      <c r="AS70" s="54" t="s">
        <v>146</v>
      </c>
      <c r="AT70" s="52" t="s">
        <v>147</v>
      </c>
      <c r="AU70" s="53" t="s">
        <v>148</v>
      </c>
      <c r="AV70" s="53" t="s">
        <v>149</v>
      </c>
      <c r="AW70" s="53" t="s">
        <v>150</v>
      </c>
      <c r="AX70" s="54"/>
    </row>
    <row r="71" spans="1:58" s="35" customFormat="1" x14ac:dyDescent="0.25">
      <c r="A71" s="220">
        <f>I33</f>
        <v>14.940875230764194</v>
      </c>
      <c r="B71" s="218">
        <f>C41</f>
        <v>35.200000000000003</v>
      </c>
      <c r="C71" s="218">
        <f>B41</f>
        <v>68.2</v>
      </c>
      <c r="D71" s="218">
        <f>J61</f>
        <v>29.035872371601734</v>
      </c>
      <c r="E71" s="219">
        <f>K50*1000</f>
        <v>590.00000000000159</v>
      </c>
      <c r="F71" s="220">
        <f>AVERAGE(B71)</f>
        <v>35.200000000000003</v>
      </c>
      <c r="G71" s="218">
        <f>F71-B71</f>
        <v>0</v>
      </c>
      <c r="H71" s="218">
        <v>20</v>
      </c>
      <c r="I71" s="218">
        <f>IF(AND(G71&gt;H71,G72&gt;H72),1,2)</f>
        <v>2</v>
      </c>
      <c r="J71" s="216" t="e">
        <f>INDEX(A71:A76,MATCH(1,I71:I76,0))</f>
        <v>#N/A</v>
      </c>
      <c r="K71" s="216" t="e">
        <f>INDEX(D71:D76,MATCH(1,I71:I76,0))</f>
        <v>#N/A</v>
      </c>
      <c r="L71" s="216" t="e">
        <f>INDEX(E71:E76,MATCH(1,I71:I76,0))</f>
        <v>#N/A</v>
      </c>
      <c r="M71" s="216" t="e">
        <f>J71</f>
        <v>#N/A</v>
      </c>
      <c r="N71" s="216" t="e">
        <f>K71</f>
        <v>#N/A</v>
      </c>
      <c r="O71" s="216" t="e">
        <f>L71</f>
        <v>#N/A</v>
      </c>
      <c r="P71" s="216"/>
      <c r="Q71" s="221"/>
      <c r="R71" s="222">
        <f>AVERAGE(C71)</f>
        <v>68.2</v>
      </c>
      <c r="S71" s="223">
        <f>R71-C71</f>
        <v>0</v>
      </c>
      <c r="T71" s="223">
        <v>20</v>
      </c>
      <c r="U71" s="218">
        <f>IF(AND(S71&gt;T71,S72&gt;T72),1,2)</f>
        <v>2</v>
      </c>
      <c r="V71" s="223" t="e">
        <f>INDEX(A71:A75,MATCH(1,U71:U76,0))</f>
        <v>#N/A</v>
      </c>
      <c r="W71" s="223" t="e">
        <f>INDEX(D71:D76,MATCH(1,U71:U76,0))</f>
        <v>#N/A</v>
      </c>
      <c r="X71" s="223" t="e">
        <f>INDEX(E71:E75,MATCH(1,U71:U75,0))</f>
        <v>#N/A</v>
      </c>
      <c r="Y71" s="223">
        <f>B35</f>
        <v>20</v>
      </c>
      <c r="Z71" s="223" t="e">
        <f>W71</f>
        <v>#N/A</v>
      </c>
      <c r="AA71" s="223" t="e">
        <f>X71</f>
        <v>#N/A</v>
      </c>
      <c r="AB71" s="228" t="s">
        <v>311</v>
      </c>
      <c r="AC71" s="227"/>
      <c r="AD71" s="220">
        <f>AVERAGE(D71)</f>
        <v>29.035872371601734</v>
      </c>
      <c r="AE71" s="218">
        <f>AD71-D71</f>
        <v>0</v>
      </c>
      <c r="AF71" s="218">
        <v>20</v>
      </c>
      <c r="AG71" s="218">
        <f>IF(AND(AE71&gt;AF71,AE72&gt;AF72),1,2)</f>
        <v>2</v>
      </c>
      <c r="AH71" s="218">
        <f>A72</f>
        <v>18.076437050257859</v>
      </c>
      <c r="AI71" s="218" t="e">
        <f>INDEX(D71:D75,MATCH(1,AG71:AG76,0))</f>
        <v>#N/A</v>
      </c>
      <c r="AJ71" s="218" t="e">
        <f>INDEX(E71:E75,MATCH(1,AG71:AG75,0))</f>
        <v>#N/A</v>
      </c>
      <c r="AK71" s="218">
        <v>812</v>
      </c>
      <c r="AL71" s="224" t="e">
        <f>IF(AND(ISNUMBER(AH71), AH71&lt;AK71), AJ71,"")</f>
        <v>#N/A</v>
      </c>
      <c r="AM71" s="218"/>
      <c r="AN71" s="218" t="e">
        <f>IF((AK71&gt;AL71),1,2)</f>
        <v>#N/A</v>
      </c>
      <c r="AO71" s="218">
        <f>A74</f>
        <v>22.565261086500762</v>
      </c>
      <c r="AP71" s="218">
        <f>D74</f>
        <v>27.976876447020381</v>
      </c>
      <c r="AQ71" s="218">
        <f>E74</f>
        <v>474.9999999999921</v>
      </c>
      <c r="AR71" s="218" t="s">
        <v>311</v>
      </c>
      <c r="AS71" s="219"/>
      <c r="AT71" s="220">
        <f>D15</f>
        <v>19.943019943019944</v>
      </c>
      <c r="AU71" s="218">
        <f>J67</f>
        <v>28.827781988287363</v>
      </c>
      <c r="AV71" s="218">
        <f>P56</f>
        <v>609.99999999999943</v>
      </c>
      <c r="AW71" s="218">
        <f>J68</f>
        <v>3.8675091638916861</v>
      </c>
      <c r="AX71" s="219"/>
      <c r="AY71" s="225"/>
      <c r="AZ71" s="225"/>
      <c r="BA71" s="225"/>
      <c r="BB71" s="225"/>
      <c r="BC71" s="225"/>
      <c r="BD71" s="225"/>
      <c r="BE71" s="225"/>
      <c r="BF71" s="225"/>
    </row>
    <row r="72" spans="1:58" s="35" customFormat="1" x14ac:dyDescent="0.25">
      <c r="A72" s="220">
        <f>I34</f>
        <v>18.076437050257859</v>
      </c>
      <c r="B72" s="218">
        <f>C42</f>
        <v>37.299999999999997</v>
      </c>
      <c r="C72" s="218">
        <f>B42</f>
        <v>64.099999999999994</v>
      </c>
      <c r="D72" s="218">
        <f>J62</f>
        <v>29.725239048109145</v>
      </c>
      <c r="E72" s="219">
        <f>K51*1000</f>
        <v>720.00000000000955</v>
      </c>
      <c r="F72" s="220">
        <f>AVERAGE(B71:B72)</f>
        <v>36.25</v>
      </c>
      <c r="G72" s="218">
        <f>(F71-B72)*100/F71</f>
        <v>-5.965909090909074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26"/>
      <c r="N72" s="216"/>
      <c r="O72" s="216"/>
      <c r="P72" s="216"/>
      <c r="Q72" s="221"/>
      <c r="R72" s="222">
        <f>AVERAGE(C71:C72)</f>
        <v>66.150000000000006</v>
      </c>
      <c r="S72" s="223">
        <f>(R71-C72)*100/R71</f>
        <v>6.0117302052786048</v>
      </c>
      <c r="T72" s="223">
        <v>20</v>
      </c>
      <c r="U72" s="218">
        <f>IF(AND(S71&gt;T71,S72&gt;T72,S73&lt;T73),1,2)</f>
        <v>2</v>
      </c>
      <c r="V72" s="223"/>
      <c r="W72" s="223"/>
      <c r="X72" s="223"/>
      <c r="Y72" s="223"/>
      <c r="Z72" s="223"/>
      <c r="AA72" s="223"/>
      <c r="AB72" s="228"/>
      <c r="AC72" s="227"/>
      <c r="AD72" s="220">
        <f>AVERAGE(D71:D72)</f>
        <v>29.38055570985544</v>
      </c>
      <c r="AE72" s="218">
        <f>(AD71-D72)*100/AD71</f>
        <v>-2.3741896495647925</v>
      </c>
      <c r="AF72" s="218">
        <v>20</v>
      </c>
      <c r="AG72" s="218">
        <f>IF(AND(AE71&gt;AF71,AE72&gt;AF72,AE73&lt;AF73),1,2)</f>
        <v>2</v>
      </c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9"/>
      <c r="AT72" s="220"/>
      <c r="AU72" s="218"/>
      <c r="AV72" s="218"/>
      <c r="AW72" s="218"/>
      <c r="AX72" s="219"/>
      <c r="AY72" s="225"/>
      <c r="AZ72" s="225"/>
      <c r="BA72" s="225"/>
      <c r="BB72" s="225"/>
      <c r="BC72" s="225"/>
      <c r="BD72" s="225"/>
      <c r="BE72" s="225"/>
      <c r="BF72" s="225"/>
    </row>
    <row r="73" spans="1:58" s="35" customFormat="1" x14ac:dyDescent="0.25">
      <c r="A73" s="220">
        <f>I35</f>
        <v>20.066276591586249</v>
      </c>
      <c r="B73" s="218">
        <f>C43</f>
        <v>36.299999999999997</v>
      </c>
      <c r="C73" s="218">
        <f>B43</f>
        <v>63.4</v>
      </c>
      <c r="D73" s="218">
        <f>J63</f>
        <v>26.581417624632017</v>
      </c>
      <c r="E73" s="219">
        <f>K52*1000</f>
        <v>730.00000000000841</v>
      </c>
      <c r="F73" s="220">
        <f>AVERAGE(B72:B73)</f>
        <v>36.799999999999997</v>
      </c>
      <c r="G73" s="218">
        <f>(F72-B73)*100/F72</f>
        <v>-0.13793103448275079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63.75</v>
      </c>
      <c r="S73" s="223">
        <f>(R72-C73)*100/R72</f>
        <v>4.1572184429327388</v>
      </c>
      <c r="T73" s="223">
        <v>20</v>
      </c>
      <c r="U73" s="218">
        <f>IF(AND(S72&gt;T72,S73&gt;T73,S74&lt;T74),1,2)</f>
        <v>2</v>
      </c>
      <c r="V73" s="223"/>
      <c r="W73" s="223"/>
      <c r="X73" s="223"/>
      <c r="Y73" s="223"/>
      <c r="Z73" s="223"/>
      <c r="AA73" s="223"/>
      <c r="AB73" s="228"/>
      <c r="AC73" s="227"/>
      <c r="AD73" s="220">
        <f>AVERAGE(D72:D73)</f>
        <v>28.153328336370581</v>
      </c>
      <c r="AE73" s="218">
        <f>(AD72-D73)*100/AD72</f>
        <v>9.5271788350976525</v>
      </c>
      <c r="AF73" s="218">
        <v>20</v>
      </c>
      <c r="AG73" s="218">
        <f>IF(AND(AE72&gt;AF72,AE73&gt;AF73,AE74&lt;AF74),1,2)</f>
        <v>2</v>
      </c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9"/>
      <c r="AT73" s="220"/>
      <c r="AU73" s="218"/>
      <c r="AV73" s="218"/>
      <c r="AW73" s="218"/>
      <c r="AX73" s="219"/>
      <c r="AY73" s="225"/>
      <c r="AZ73" s="225"/>
      <c r="BA73" s="225"/>
      <c r="BB73" s="225"/>
      <c r="BC73" s="225"/>
      <c r="BD73" s="225"/>
      <c r="BE73" s="225"/>
      <c r="BF73" s="225"/>
    </row>
    <row r="74" spans="1:58" s="35" customFormat="1" x14ac:dyDescent="0.25">
      <c r="A74" s="220">
        <f>I36</f>
        <v>22.565261086500762</v>
      </c>
      <c r="B74" s="218">
        <f>C44</f>
        <v>35.9</v>
      </c>
      <c r="C74" s="218">
        <f>B44</f>
        <v>67.900000000000006</v>
      </c>
      <c r="D74" s="218">
        <f>J64</f>
        <v>27.976876447020381</v>
      </c>
      <c r="E74" s="219">
        <f>K53*1000</f>
        <v>474.9999999999921</v>
      </c>
      <c r="F74" s="220">
        <f>AVERAGE(B73:B74)</f>
        <v>36.099999999999994</v>
      </c>
      <c r="G74" s="218">
        <f>(F73-B74)*100/F73</f>
        <v>2.4456521739130399</v>
      </c>
      <c r="H74" s="218">
        <v>20</v>
      </c>
      <c r="I74" s="218">
        <f>IF(AND(G73&gt;H73,G74&gt;H74,G75&lt;H75),1,2)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65.650000000000006</v>
      </c>
      <c r="S74" s="223">
        <f>(R73-C74)*100/R73</f>
        <v>-6.5098039215686363</v>
      </c>
      <c r="T74" s="223">
        <v>20</v>
      </c>
      <c r="U74" s="218">
        <f>IF(AND(S73&gt;T73,S74&gt;T74,S75&lt;T75),1,2)</f>
        <v>2</v>
      </c>
      <c r="V74" s="223"/>
      <c r="W74" s="223"/>
      <c r="X74" s="223"/>
      <c r="Y74" s="223"/>
      <c r="Z74" s="223"/>
      <c r="AA74" s="223"/>
      <c r="AB74" s="228"/>
      <c r="AC74" s="227"/>
      <c r="AD74" s="220">
        <f>AVERAGE(D73:D74)</f>
        <v>27.279147035826199</v>
      </c>
      <c r="AE74" s="218">
        <f>(AD73-D74)*100/AD73</f>
        <v>0.62675321099511683</v>
      </c>
      <c r="AF74" s="218">
        <v>20</v>
      </c>
      <c r="AG74" s="218">
        <f>IF(AND(AE73&gt;AF73,AE74&gt;AF74,AE75&lt;AF75),1,2)</f>
        <v>2</v>
      </c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9"/>
      <c r="AT74" s="220"/>
      <c r="AU74" s="218"/>
      <c r="AV74" s="218"/>
      <c r="AW74" s="218"/>
      <c r="AX74" s="219"/>
      <c r="AY74" s="225"/>
      <c r="AZ74" s="225"/>
      <c r="BA74" s="225"/>
      <c r="BB74" s="225"/>
      <c r="BC74" s="225"/>
      <c r="BD74" s="225"/>
      <c r="BE74" s="225"/>
      <c r="BF74" s="225"/>
    </row>
    <row r="75" spans="1:58" s="35" customFormat="1" x14ac:dyDescent="0.25">
      <c r="A75" s="220">
        <f>I37</f>
        <v>25.146873249903731</v>
      </c>
      <c r="B75" s="218">
        <f>C45</f>
        <v>36.200000000000003</v>
      </c>
      <c r="C75" s="218">
        <f>B45</f>
        <v>68.650000000000006</v>
      </c>
      <c r="D75" s="218">
        <f>J65</f>
        <v>28.294552007476685</v>
      </c>
      <c r="E75" s="219">
        <f>K54*1000</f>
        <v>320.00000000000915</v>
      </c>
      <c r="F75" s="220">
        <f>AVERAGE(B74:B75)</f>
        <v>36.049999999999997</v>
      </c>
      <c r="G75" s="218">
        <f>(F74-B75)*100/F74</f>
        <v>-0.27700831024933115</v>
      </c>
      <c r="H75" s="218">
        <v>20</v>
      </c>
      <c r="I75" s="218">
        <f>IF(AND(G74&gt;H74,G75&gt;H75),1,2)</f>
        <v>2</v>
      </c>
      <c r="J75" s="216"/>
      <c r="K75" s="216"/>
      <c r="L75" s="216"/>
      <c r="M75" s="216"/>
      <c r="N75" s="216"/>
      <c r="O75" s="216"/>
      <c r="P75" s="216"/>
      <c r="Q75" s="221"/>
      <c r="R75" s="222">
        <f>AVERAGE(C74:C75)</f>
        <v>68.275000000000006</v>
      </c>
      <c r="S75" s="223">
        <f>(R74-C75)*100/R74</f>
        <v>-4.5696877380045695</v>
      </c>
      <c r="T75" s="223">
        <v>20</v>
      </c>
      <c r="U75" s="218">
        <f>IF(AND(S74&gt;T74,S75&gt;T75),1,2)</f>
        <v>2</v>
      </c>
      <c r="V75" s="223"/>
      <c r="W75" s="223"/>
      <c r="X75" s="223"/>
      <c r="Y75" s="223"/>
      <c r="Z75" s="223"/>
      <c r="AA75" s="223"/>
      <c r="AB75" s="228"/>
      <c r="AC75" s="227"/>
      <c r="AD75" s="220">
        <f>AVERAGE(D74:D75)</f>
        <v>28.135714227248535</v>
      </c>
      <c r="AE75" s="218">
        <f>(AD74-D75)*100/AD74</f>
        <v>-3.7222753714290873</v>
      </c>
      <c r="AF75" s="218">
        <v>20</v>
      </c>
      <c r="AG75" s="218">
        <f>IF(AND(AE74&gt;AF74,AE75&gt;AF75,AE76&lt;AF76),1,2)</f>
        <v>2</v>
      </c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9"/>
      <c r="AT75" s="220"/>
      <c r="AU75" s="218"/>
      <c r="AV75" s="218"/>
      <c r="AW75" s="218"/>
      <c r="AX75" s="219"/>
      <c r="AY75" s="225"/>
      <c r="AZ75" s="225"/>
      <c r="BA75" s="225"/>
      <c r="BB75" s="225"/>
      <c r="BC75" s="225"/>
      <c r="BD75" s="225"/>
      <c r="BE75" s="225"/>
      <c r="BF75" s="225"/>
    </row>
    <row r="76" spans="1:58" s="35" customFormat="1" x14ac:dyDescent="0.25">
      <c r="A76" s="220"/>
      <c r="B76" s="218"/>
      <c r="C76" s="218"/>
      <c r="D76" s="218"/>
      <c r="E76" s="219"/>
      <c r="F76" s="220"/>
      <c r="G76" s="218"/>
      <c r="H76" s="218"/>
      <c r="I76" s="218"/>
      <c r="J76" s="216"/>
      <c r="K76" s="216"/>
      <c r="L76" s="216"/>
      <c r="M76" s="216"/>
      <c r="N76" s="216"/>
      <c r="O76" s="216"/>
      <c r="P76" s="216"/>
      <c r="Q76" s="221"/>
      <c r="R76" s="222"/>
      <c r="S76" s="223"/>
      <c r="T76" s="223"/>
      <c r="U76" s="223"/>
      <c r="V76" s="223"/>
      <c r="W76" s="223"/>
      <c r="X76" s="223"/>
      <c r="Y76" s="223"/>
      <c r="Z76" s="223"/>
      <c r="AA76" s="223"/>
      <c r="AB76" s="228"/>
      <c r="AC76" s="227"/>
      <c r="AD76" s="220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9"/>
      <c r="AT76" s="220"/>
      <c r="AU76" s="218"/>
      <c r="AV76" s="218"/>
      <c r="AW76" s="218"/>
      <c r="AX76" s="219"/>
      <c r="AY76" s="225"/>
      <c r="AZ76" s="225"/>
      <c r="BA76" s="225"/>
      <c r="BB76" s="225"/>
      <c r="BC76" s="225"/>
      <c r="BD76" s="225"/>
      <c r="BE76" s="225"/>
      <c r="BF76" s="225"/>
    </row>
  </sheetData>
  <mergeCells count="15">
    <mergeCell ref="A48:P48"/>
    <mergeCell ref="V52:Z52"/>
    <mergeCell ref="A59:O59"/>
    <mergeCell ref="A39:M39"/>
    <mergeCell ref="D40:H40"/>
    <mergeCell ref="I40:M40"/>
    <mergeCell ref="U43:AC44"/>
    <mergeCell ref="AD43:AL44"/>
    <mergeCell ref="X47:Z47"/>
    <mergeCell ref="U5:AL7"/>
    <mergeCell ref="A7:D7"/>
    <mergeCell ref="A17:C17"/>
    <mergeCell ref="A23:C23"/>
    <mergeCell ref="A26:C26"/>
    <mergeCell ref="A31:R31"/>
  </mergeCells>
  <conditionalFormatting sqref="X56">
    <cfRule type="cellIs" dxfId="20" priority="1" operator="lessThan">
      <formula>3</formula>
    </cfRule>
    <cfRule type="cellIs" dxfId="19" priority="2" operator="greaterThan">
      <formula>3.9</formula>
    </cfRule>
    <cfRule type="cellIs" dxfId="18" priority="3" operator="between">
      <formula>3</formula>
      <formula>3.9</formula>
    </cfRule>
    <cfRule type="cellIs" dxfId="17" priority="4" operator="between">
      <formula>3</formula>
      <formula>3.9</formula>
    </cfRule>
    <cfRule type="cellIs" dxfId="16" priority="8" operator="between">
      <formula>3.15</formula>
      <formula>3.85</formula>
    </cfRule>
  </conditionalFormatting>
  <conditionalFormatting sqref="X60:Z60">
    <cfRule type="cellIs" dxfId="15" priority="5" operator="greaterThan">
      <formula>812</formula>
    </cfRule>
    <cfRule type="cellIs" dxfId="14" priority="6" operator="lessThan">
      <formula>812</formula>
    </cfRule>
  </conditionalFormatting>
  <printOptions horizontalCentered="1"/>
  <pageMargins left="0.25" right="0.25" top="1.25" bottom="1" header="0.3" footer="0.3"/>
  <pageSetup paperSize="9" scale="42" orientation="portrait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0030C-DA0E-4F8F-9489-8306A0F5D269}">
  <sheetPr codeName="Sheet49">
    <pageSetUpPr fitToPage="1"/>
  </sheetPr>
  <dimension ref="A1:BF76"/>
  <sheetViews>
    <sheetView workbookViewId="0"/>
  </sheetViews>
  <sheetFormatPr defaultColWidth="8.7109375" defaultRowHeight="15.75" outlineLevelRow="2" x14ac:dyDescent="0.25"/>
  <cols>
    <col min="1" max="1" width="39.42578125" style="22" customWidth="1"/>
    <col min="2" max="2" width="26.28515625" style="22" customWidth="1"/>
    <col min="3" max="3" width="32.28515625" style="22" customWidth="1"/>
    <col min="4" max="4" width="22.28515625" style="22" bestFit="1" customWidth="1"/>
    <col min="5" max="5" width="23.28515625" style="22" bestFit="1" customWidth="1"/>
    <col min="6" max="6" width="25.7109375" style="22" bestFit="1" customWidth="1"/>
    <col min="7" max="8" width="16.7109375" style="22" bestFit="1" customWidth="1"/>
    <col min="9" max="9" width="18.42578125" style="22" customWidth="1"/>
    <col min="10" max="10" width="15.7109375" style="22" bestFit="1" customWidth="1"/>
    <col min="11" max="11" width="16.42578125" style="22" bestFit="1" customWidth="1"/>
    <col min="12" max="12" width="16.7109375" style="22" bestFit="1" customWidth="1"/>
    <col min="13" max="13" width="17.28515625" style="22" bestFit="1" customWidth="1"/>
    <col min="14" max="14" width="10.28515625" style="22" bestFit="1" customWidth="1"/>
    <col min="15" max="15" width="11" style="22" bestFit="1" customWidth="1"/>
    <col min="16" max="16" width="18.7109375" style="22" bestFit="1" customWidth="1"/>
    <col min="17" max="17" width="11" style="22" bestFit="1" customWidth="1"/>
    <col min="18" max="18" width="11.7109375" style="22" bestFit="1" customWidth="1"/>
    <col min="19" max="21" width="11.7109375" style="22" customWidth="1"/>
    <col min="22" max="22" width="22.28515625" style="22" bestFit="1" customWidth="1"/>
    <col min="23" max="25" width="11.7109375" style="22" customWidth="1"/>
    <col min="26" max="26" width="21.28515625" style="22" bestFit="1" customWidth="1"/>
    <col min="27" max="35" width="11.7109375" style="22" customWidth="1"/>
    <col min="36" max="36" width="13.28515625" style="22" bestFit="1" customWidth="1"/>
    <col min="37" max="37" width="14.7109375" style="22" bestFit="1" customWidth="1"/>
    <col min="38" max="38" width="11.7109375" style="22" customWidth="1"/>
    <col min="39" max="39" width="9.42578125" style="22" customWidth="1"/>
    <col min="40" max="40" width="8.28515625" style="22" bestFit="1" customWidth="1"/>
    <col min="41" max="41" width="7.42578125" style="22" bestFit="1" customWidth="1"/>
    <col min="42" max="43" width="9.28515625" style="22"/>
    <col min="44" max="44" width="8.42578125" style="22" bestFit="1" customWidth="1"/>
    <col min="45" max="64" width="9.28515625" style="22"/>
    <col min="65" max="65" width="8.7109375" style="22" customWidth="1"/>
    <col min="66" max="16384" width="8.7109375" style="22"/>
  </cols>
  <sheetData>
    <row r="1" spans="1:58" x14ac:dyDescent="0.25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</row>
    <row r="2" spans="1:58" x14ac:dyDescent="0.25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</row>
    <row r="3" spans="1:58" x14ac:dyDescent="0.25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</row>
    <row r="4" spans="1:58" x14ac:dyDescent="0.25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</row>
    <row r="5" spans="1:58" ht="34.5" customHeight="1" x14ac:dyDescent="0.25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322" t="s">
        <v>306</v>
      </c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324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</row>
    <row r="6" spans="1:58" x14ac:dyDescent="0.25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325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6"/>
      <c r="AL6" s="327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</row>
    <row r="7" spans="1:58" x14ac:dyDescent="0.25">
      <c r="A7" s="328" t="s">
        <v>6</v>
      </c>
      <c r="B7" s="329"/>
      <c r="C7" s="329"/>
      <c r="D7" s="330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68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70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</row>
    <row r="8" spans="1:58" x14ac:dyDescent="0.25">
      <c r="A8" s="168" t="s">
        <v>10</v>
      </c>
      <c r="B8" s="26" t="s">
        <v>305</v>
      </c>
      <c r="C8" s="166" t="s">
        <v>11</v>
      </c>
      <c r="D8" s="167">
        <f>D10*B11*8.34*10000</f>
        <v>448.828776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2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</row>
    <row r="9" spans="1:58" x14ac:dyDescent="0.25">
      <c r="A9" s="2" t="s">
        <v>12</v>
      </c>
      <c r="B9" s="26">
        <v>0.16500000000000001</v>
      </c>
      <c r="C9" s="170" t="s">
        <v>13</v>
      </c>
      <c r="D9" s="171">
        <f>B9*B10</f>
        <v>14.949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234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</row>
    <row r="10" spans="1:58" x14ac:dyDescent="0.25">
      <c r="A10" s="2" t="s">
        <v>18</v>
      </c>
      <c r="B10" s="27">
        <v>90.6</v>
      </c>
      <c r="C10" s="170" t="s">
        <v>19</v>
      </c>
      <c r="D10" s="171">
        <f>D9*1440/1000000</f>
        <v>2.152656E-2</v>
      </c>
      <c r="E10" s="163"/>
      <c r="F10" s="64" t="s">
        <v>20</v>
      </c>
      <c r="G10" s="65" t="s">
        <v>21</v>
      </c>
      <c r="H10" s="71">
        <f>J68</f>
        <v>3.5084598678429519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234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</row>
    <row r="11" spans="1:58" x14ac:dyDescent="0.25">
      <c r="A11" s="2" t="s">
        <v>24</v>
      </c>
      <c r="B11" s="43">
        <v>0.25</v>
      </c>
      <c r="C11" s="170" t="s">
        <v>25</v>
      </c>
      <c r="D11" s="171">
        <f>B10*1440/1000000</f>
        <v>0.130464</v>
      </c>
      <c r="E11" s="163"/>
      <c r="F11" s="64" t="s">
        <v>26</v>
      </c>
      <c r="G11" s="65" t="s">
        <v>27</v>
      </c>
      <c r="H11" s="73">
        <f>B9</f>
        <v>0.16500000000000001</v>
      </c>
      <c r="I11" s="73">
        <f>B9</f>
        <v>0.16500000000000001</v>
      </c>
      <c r="J11" s="73">
        <f>B9</f>
        <v>0.16500000000000001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234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</row>
    <row r="12" spans="1:58" x14ac:dyDescent="0.25">
      <c r="A12" s="2" t="s">
        <v>28</v>
      </c>
      <c r="B12" s="44">
        <v>6.1</v>
      </c>
      <c r="C12" s="170" t="s">
        <v>29</v>
      </c>
      <c r="D12" s="171">
        <f>(B12/(1+(B15/B14)))</f>
        <v>3.7289036544850496</v>
      </c>
      <c r="E12" s="163"/>
      <c r="F12" s="64" t="s">
        <v>30</v>
      </c>
      <c r="G12" s="65" t="s">
        <v>31</v>
      </c>
      <c r="H12" s="172">
        <f>AT71</f>
        <v>21.710865011419774</v>
      </c>
      <c r="I12" s="70">
        <f>Y71</f>
        <v>26.603128665134808</v>
      </c>
      <c r="J12" s="70">
        <f>AO71</f>
        <v>23.899659713224764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234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</row>
    <row r="13" spans="1:58" x14ac:dyDescent="0.25">
      <c r="A13" s="2" t="s">
        <v>33</v>
      </c>
      <c r="B13" s="45">
        <f>'05_21_2024'!H10</f>
        <v>3.7999407189260097</v>
      </c>
      <c r="C13" s="170" t="s">
        <v>34</v>
      </c>
      <c r="D13" s="171">
        <f>D11*D12*8.34*(10000/2000)</f>
        <v>20.286536521993352</v>
      </c>
      <c r="E13" s="163"/>
      <c r="F13" s="64" t="s">
        <v>35</v>
      </c>
      <c r="G13" s="65" t="s">
        <v>21</v>
      </c>
      <c r="H13" s="71">
        <f>J67</f>
        <v>28.667686781903466</v>
      </c>
      <c r="I13" s="70">
        <f>Z71</f>
        <v>26.087428899711739</v>
      </c>
      <c r="J13" s="70">
        <f>AP71</f>
        <v>29.747240591983005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234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</row>
    <row r="14" spans="1:58" ht="31.5" x14ac:dyDescent="0.25">
      <c r="A14" s="2" t="s">
        <v>40</v>
      </c>
      <c r="B14" s="28">
        <v>552</v>
      </c>
      <c r="C14" s="170" t="s">
        <v>41</v>
      </c>
      <c r="D14" s="171">
        <f>D8/D13</f>
        <v>22.12446543121882</v>
      </c>
      <c r="E14" s="163"/>
      <c r="F14" s="64" t="s">
        <v>42</v>
      </c>
      <c r="G14" s="65" t="s">
        <v>39</v>
      </c>
      <c r="H14" s="71">
        <f>AV71</f>
        <v>600.00000000000045</v>
      </c>
      <c r="I14" s="70">
        <f>AA71</f>
        <v>809.99999999999966</v>
      </c>
      <c r="J14" s="70">
        <f>AQ71</f>
        <v>705.00000000001114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234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</row>
    <row r="15" spans="1:58" ht="31.5" x14ac:dyDescent="0.4">
      <c r="A15" s="3" t="s">
        <v>46</v>
      </c>
      <c r="B15" s="29">
        <v>351</v>
      </c>
      <c r="C15" s="173" t="s">
        <v>47</v>
      </c>
      <c r="D15" s="112">
        <f>((B9*B11)/B13)*2000</f>
        <v>21.710865011419774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234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</row>
    <row r="16" spans="1:58" x14ac:dyDescent="0.25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234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</row>
    <row r="17" spans="1:58" ht="16.149999999999999" customHeight="1" outlineLevel="2" x14ac:dyDescent="0.25">
      <c r="A17" s="302" t="s">
        <v>48</v>
      </c>
      <c r="B17" s="303"/>
      <c r="C17" s="304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234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</row>
    <row r="18" spans="1:58" outlineLevel="2" x14ac:dyDescent="0.25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234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</row>
    <row r="19" spans="1:58" outlineLevel="2" x14ac:dyDescent="0.25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234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</row>
    <row r="20" spans="1:58" outlineLevel="2" x14ac:dyDescent="0.25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234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</row>
    <row r="21" spans="1:58" outlineLevel="2" x14ac:dyDescent="0.25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234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</row>
    <row r="22" spans="1:58" ht="18" outlineLevel="2" x14ac:dyDescent="0.25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34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</row>
    <row r="23" spans="1:58" ht="18" outlineLevel="2" x14ac:dyDescent="0.25">
      <c r="A23" s="315" t="s">
        <v>58</v>
      </c>
      <c r="B23" s="316"/>
      <c r="C23" s="317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234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</row>
    <row r="24" spans="1:58" outlineLevel="2" x14ac:dyDescent="0.25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234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</row>
    <row r="25" spans="1:58" ht="16.5" customHeight="1" outlineLevel="2" x14ac:dyDescent="0.25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234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</row>
    <row r="26" spans="1:58" ht="16.5" customHeight="1" outlineLevel="2" x14ac:dyDescent="0.25">
      <c r="A26" s="315" t="s">
        <v>63</v>
      </c>
      <c r="B26" s="316"/>
      <c r="C26" s="317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234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</row>
    <row r="27" spans="1:58" outlineLevel="2" x14ac:dyDescent="0.25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234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82"/>
    </row>
    <row r="28" spans="1:58" outlineLevel="2" x14ac:dyDescent="0.25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234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82"/>
    </row>
    <row r="29" spans="1:58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234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82"/>
    </row>
    <row r="30" spans="1:58" x14ac:dyDescent="0.25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234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82"/>
    </row>
    <row r="31" spans="1:58" ht="18.75" x14ac:dyDescent="0.3">
      <c r="A31" s="296" t="s">
        <v>68</v>
      </c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234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82"/>
    </row>
    <row r="32" spans="1:58" ht="63" x14ac:dyDescent="0.25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234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82"/>
    </row>
    <row r="33" spans="1:57" x14ac:dyDescent="0.25">
      <c r="A33" s="30">
        <v>1</v>
      </c>
      <c r="B33" s="31">
        <v>17</v>
      </c>
      <c r="C33" s="31">
        <v>3.8</v>
      </c>
      <c r="D33" s="31">
        <v>504.72</v>
      </c>
      <c r="E33" s="187">
        <f t="shared" ref="E33:E38" si="0">(B33*D33*$B$20*C33)/($B$19*$B$27)</f>
        <v>65.20980531080788</v>
      </c>
      <c r="F33" s="33">
        <v>67.239999999999995</v>
      </c>
      <c r="G33" s="33">
        <v>1.98</v>
      </c>
      <c r="H33" s="61">
        <f t="shared" ref="H33:H38" si="1">F33-G33</f>
        <v>65.259999999999991</v>
      </c>
      <c r="I33" s="8">
        <f t="shared" ref="I33:I38" si="2" xml:space="preserve"> (H33*$B$27*$B$19)/ (D33*$B$20*C33)</f>
        <v>17.01308560441484</v>
      </c>
      <c r="J33" s="31">
        <v>206.64</v>
      </c>
      <c r="K33" s="31">
        <v>408.48</v>
      </c>
      <c r="L33" s="31">
        <v>351.96</v>
      </c>
      <c r="M33" s="31">
        <f>811.95-25</f>
        <v>786.95</v>
      </c>
      <c r="N33" s="187">
        <v>100</v>
      </c>
      <c r="O33" s="7">
        <f t="shared" ref="O33:P38" si="3">L33-J33</f>
        <v>145.32</v>
      </c>
      <c r="P33" s="187">
        <f t="shared" si="3"/>
        <v>378.47</v>
      </c>
      <c r="Q33" s="187">
        <f t="shared" ref="Q33:Q38" si="4">((O33+P33)/O33)*(D33/(D33+H33))*C33</f>
        <v>12.128478079214043</v>
      </c>
      <c r="R33" s="189">
        <f t="shared" ref="R33:R38" si="5">$B$24/Q33*100</f>
        <v>52.147703222009099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234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</row>
    <row r="34" spans="1:57" x14ac:dyDescent="0.25">
      <c r="A34" s="30">
        <v>2</v>
      </c>
      <c r="B34" s="31">
        <v>19</v>
      </c>
      <c r="C34" s="31">
        <v>3.8</v>
      </c>
      <c r="D34" s="32">
        <v>503.8</v>
      </c>
      <c r="E34" s="187">
        <f t="shared" si="0"/>
        <v>72.748699150153755</v>
      </c>
      <c r="F34" s="34">
        <v>73.849999999999994</v>
      </c>
      <c r="G34" s="34">
        <v>2.11</v>
      </c>
      <c r="H34" s="13">
        <f t="shared" si="1"/>
        <v>71.739999999999995</v>
      </c>
      <c r="I34" s="8">
        <f t="shared" si="2"/>
        <v>18.736554961438362</v>
      </c>
      <c r="J34" s="32">
        <v>205.76</v>
      </c>
      <c r="K34" s="32">
        <v>407.97</v>
      </c>
      <c r="L34" s="32">
        <v>353.89</v>
      </c>
      <c r="M34" s="32">
        <f>820.38-25</f>
        <v>795.38</v>
      </c>
      <c r="N34" s="187">
        <v>100</v>
      </c>
      <c r="O34" s="7">
        <f t="shared" si="3"/>
        <v>148.13</v>
      </c>
      <c r="P34" s="187">
        <f t="shared" si="3"/>
        <v>387.40999999999997</v>
      </c>
      <c r="Q34" s="187">
        <f t="shared" si="4"/>
        <v>12.02583217302444</v>
      </c>
      <c r="R34" s="189">
        <f t="shared" si="5"/>
        <v>52.592807409055418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234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</row>
    <row r="35" spans="1:57" x14ac:dyDescent="0.25">
      <c r="A35" s="30">
        <v>3</v>
      </c>
      <c r="B35" s="103">
        <v>21.5</v>
      </c>
      <c r="C35" s="31">
        <v>3.8</v>
      </c>
      <c r="D35" s="32">
        <v>501.37</v>
      </c>
      <c r="E35" s="187">
        <f t="shared" si="0"/>
        <v>81.923834520551239</v>
      </c>
      <c r="F35" s="34">
        <v>83.5</v>
      </c>
      <c r="G35" s="34">
        <v>1.9</v>
      </c>
      <c r="H35" s="13">
        <f t="shared" si="1"/>
        <v>81.599999999999994</v>
      </c>
      <c r="I35" s="8">
        <f t="shared" si="2"/>
        <v>21.415013228658076</v>
      </c>
      <c r="J35" s="32">
        <v>159.38</v>
      </c>
      <c r="K35" s="32">
        <v>412.95</v>
      </c>
      <c r="L35" s="32">
        <v>301.77999999999997</v>
      </c>
      <c r="M35" s="32">
        <v>785.76</v>
      </c>
      <c r="N35" s="187">
        <v>100</v>
      </c>
      <c r="O35" s="7">
        <f t="shared" si="3"/>
        <v>142.39999999999998</v>
      </c>
      <c r="P35" s="187">
        <f t="shared" si="3"/>
        <v>372.81</v>
      </c>
      <c r="Q35" s="187">
        <f t="shared" si="4"/>
        <v>11.824152678419477</v>
      </c>
      <c r="R35" s="189">
        <f t="shared" si="5"/>
        <v>53.489860340169315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234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</row>
    <row r="36" spans="1:57" x14ac:dyDescent="0.25">
      <c r="A36" s="30">
        <v>4</v>
      </c>
      <c r="B36" s="31">
        <v>24</v>
      </c>
      <c r="C36" s="31">
        <v>3.8</v>
      </c>
      <c r="D36" s="32">
        <v>502.76</v>
      </c>
      <c r="E36" s="187">
        <f t="shared" si="0"/>
        <v>91.703397717719128</v>
      </c>
      <c r="F36" s="34">
        <v>92.92</v>
      </c>
      <c r="G36" s="34">
        <v>1.6</v>
      </c>
      <c r="H36" s="13">
        <f t="shared" si="1"/>
        <v>91.320000000000007</v>
      </c>
      <c r="I36" s="8">
        <f t="shared" si="2"/>
        <v>23.899659713224764</v>
      </c>
      <c r="J36" s="32">
        <v>401.68</v>
      </c>
      <c r="K36" s="32">
        <v>399.01</v>
      </c>
      <c r="L36" s="32">
        <v>540.86</v>
      </c>
      <c r="M36" s="32">
        <v>759.18</v>
      </c>
      <c r="N36" s="187">
        <v>100</v>
      </c>
      <c r="O36" s="7">
        <f t="shared" si="3"/>
        <v>139.18</v>
      </c>
      <c r="P36" s="187">
        <f t="shared" si="3"/>
        <v>360.16999999999996</v>
      </c>
      <c r="Q36" s="187">
        <f t="shared" si="4"/>
        <v>11.537922151045363</v>
      </c>
      <c r="R36" s="189">
        <f t="shared" si="5"/>
        <v>54.816826386039828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234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</row>
    <row r="37" spans="1:57" x14ac:dyDescent="0.25">
      <c r="A37" s="30">
        <v>5</v>
      </c>
      <c r="B37" s="31">
        <v>26.5</v>
      </c>
      <c r="C37" s="31">
        <v>3.8</v>
      </c>
      <c r="D37" s="32">
        <v>500.98</v>
      </c>
      <c r="E37" s="187">
        <f t="shared" si="0"/>
        <v>100.89734308272567</v>
      </c>
      <c r="F37" s="34">
        <v>102.91</v>
      </c>
      <c r="G37" s="34">
        <v>1.62</v>
      </c>
      <c r="H37" s="13">
        <f t="shared" si="1"/>
        <v>101.28999999999999</v>
      </c>
      <c r="I37" s="8">
        <f t="shared" si="2"/>
        <v>26.603128665134808</v>
      </c>
      <c r="J37" s="32">
        <v>509.76</v>
      </c>
      <c r="K37" s="32">
        <v>686.52</v>
      </c>
      <c r="L37" s="32">
        <v>684.82</v>
      </c>
      <c r="M37" s="32">
        <v>1047</v>
      </c>
      <c r="N37" s="187">
        <v>100</v>
      </c>
      <c r="O37" s="7">
        <f t="shared" si="3"/>
        <v>175.06000000000006</v>
      </c>
      <c r="P37" s="187">
        <f t="shared" si="3"/>
        <v>360.48</v>
      </c>
      <c r="Q37" s="187">
        <f t="shared" si="4"/>
        <v>9.669805625193888</v>
      </c>
      <c r="R37" s="189">
        <f t="shared" si="5"/>
        <v>65.406927494141357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234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</row>
    <row r="38" spans="1:57" x14ac:dyDescent="0.25">
      <c r="A38" s="94">
        <v>6</v>
      </c>
      <c r="B38" s="95">
        <v>29</v>
      </c>
      <c r="C38" s="95">
        <v>3.8</v>
      </c>
      <c r="D38" s="96">
        <v>504.06</v>
      </c>
      <c r="E38" s="245">
        <f t="shared" si="0"/>
        <v>111.09479216012707</v>
      </c>
      <c r="F38" s="97">
        <v>112.85</v>
      </c>
      <c r="G38" s="97">
        <v>1.22</v>
      </c>
      <c r="H38" s="13">
        <f t="shared" si="1"/>
        <v>111.63</v>
      </c>
      <c r="I38" s="8">
        <f t="shared" si="2"/>
        <v>29.139709765458161</v>
      </c>
      <c r="J38" s="32">
        <v>443.26</v>
      </c>
      <c r="K38" s="32">
        <v>361.64</v>
      </c>
      <c r="L38" s="96">
        <v>571.17999999999995</v>
      </c>
      <c r="M38" s="96">
        <v>741</v>
      </c>
      <c r="N38" s="187">
        <v>100</v>
      </c>
      <c r="O38" s="7">
        <f t="shared" si="3"/>
        <v>127.91999999999996</v>
      </c>
      <c r="P38" s="187">
        <f t="shared" si="3"/>
        <v>379.36</v>
      </c>
      <c r="Q38" s="187">
        <f t="shared" si="4"/>
        <v>12.337098190632654</v>
      </c>
      <c r="R38" s="189">
        <f t="shared" si="5"/>
        <v>51.265886486152965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234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</row>
    <row r="39" spans="1:57" ht="18.600000000000001" customHeight="1" x14ac:dyDescent="0.3">
      <c r="A39" s="347" t="s">
        <v>87</v>
      </c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9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234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</row>
    <row r="40" spans="1:57" ht="16.149999999999999" customHeight="1" x14ac:dyDescent="0.25">
      <c r="A40" s="5" t="s">
        <v>69</v>
      </c>
      <c r="B40" s="5" t="s">
        <v>88</v>
      </c>
      <c r="C40" s="21" t="s">
        <v>89</v>
      </c>
      <c r="D40" s="350" t="s">
        <v>90</v>
      </c>
      <c r="E40" s="351"/>
      <c r="F40" s="351"/>
      <c r="G40" s="351"/>
      <c r="H40" s="352"/>
      <c r="I40" s="353" t="s">
        <v>91</v>
      </c>
      <c r="J40" s="354"/>
      <c r="K40" s="354"/>
      <c r="L40" s="354"/>
      <c r="M40" s="355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234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</row>
    <row r="41" spans="1:57" x14ac:dyDescent="0.25">
      <c r="A41" s="193">
        <v>1</v>
      </c>
      <c r="B41" s="194">
        <f>AVERAGE(D41:H41)</f>
        <v>121.6</v>
      </c>
      <c r="C41" s="195">
        <f>AVERAGE(I41:K41)</f>
        <v>47.966666666666669</v>
      </c>
      <c r="D41" s="229"/>
      <c r="E41" s="196"/>
      <c r="F41" s="196">
        <v>128.9</v>
      </c>
      <c r="G41" s="196">
        <v>114.3</v>
      </c>
      <c r="H41" s="197"/>
      <c r="I41" s="200">
        <v>42.7</v>
      </c>
      <c r="J41" s="198">
        <v>54.6</v>
      </c>
      <c r="K41" s="198">
        <v>46.6</v>
      </c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234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</row>
    <row r="42" spans="1:57" x14ac:dyDescent="0.25">
      <c r="A42" s="193">
        <v>2</v>
      </c>
      <c r="B42" s="194">
        <f>AVERAGE(D42:H42)</f>
        <v>114.43333333333334</v>
      </c>
      <c r="C42" s="195">
        <f>AVERAGE(I42:K42)</f>
        <v>45.05</v>
      </c>
      <c r="D42" s="200">
        <v>91.6</v>
      </c>
      <c r="E42" s="198">
        <v>133</v>
      </c>
      <c r="F42" s="198">
        <v>118.7</v>
      </c>
      <c r="G42" s="198"/>
      <c r="H42" s="199"/>
      <c r="I42" s="200">
        <v>41.8</v>
      </c>
      <c r="J42" s="198"/>
      <c r="K42" s="198">
        <v>48.3</v>
      </c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169"/>
      <c r="AD42" s="235"/>
      <c r="AE42" s="235"/>
      <c r="AF42" s="235"/>
      <c r="AG42" s="235"/>
      <c r="AH42" s="235"/>
      <c r="AI42" s="235"/>
      <c r="AJ42" s="235"/>
      <c r="AK42" s="235"/>
      <c r="AL42" s="236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</row>
    <row r="43" spans="1:57" ht="34.5" customHeight="1" x14ac:dyDescent="0.25">
      <c r="A43" s="193">
        <v>3</v>
      </c>
      <c r="B43" s="194">
        <f>AVERAGE(D43:F43)</f>
        <v>55.6</v>
      </c>
      <c r="C43" s="195">
        <f>AVERAGE(I43:K43)</f>
        <v>43.933333333333337</v>
      </c>
      <c r="D43" s="200"/>
      <c r="E43" s="198">
        <v>52.7</v>
      </c>
      <c r="F43" s="198">
        <v>58.5</v>
      </c>
      <c r="G43" s="198">
        <v>65</v>
      </c>
      <c r="H43" s="199"/>
      <c r="I43" s="200">
        <v>42.9</v>
      </c>
      <c r="J43" s="198">
        <v>39.700000000000003</v>
      </c>
      <c r="K43" s="198">
        <v>49.2</v>
      </c>
      <c r="L43" s="198"/>
      <c r="M43" s="199"/>
      <c r="N43" s="163"/>
      <c r="O43" s="163"/>
      <c r="P43" s="163"/>
      <c r="Q43" s="163"/>
      <c r="R43" s="163"/>
      <c r="S43" s="163"/>
      <c r="T43" s="163"/>
      <c r="U43" s="356" t="s">
        <v>307</v>
      </c>
      <c r="V43" s="357"/>
      <c r="W43" s="357"/>
      <c r="X43" s="357"/>
      <c r="Y43" s="357"/>
      <c r="Z43" s="357"/>
      <c r="AA43" s="357"/>
      <c r="AB43" s="357"/>
      <c r="AC43" s="358"/>
      <c r="AD43" s="362" t="s">
        <v>308</v>
      </c>
      <c r="AE43" s="363"/>
      <c r="AF43" s="363"/>
      <c r="AG43" s="363"/>
      <c r="AH43" s="363"/>
      <c r="AI43" s="363"/>
      <c r="AJ43" s="363"/>
      <c r="AK43" s="363"/>
      <c r="AL43" s="364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</row>
    <row r="44" spans="1:57" ht="16.149999999999999" customHeight="1" x14ac:dyDescent="0.25">
      <c r="A44" s="193">
        <v>4</v>
      </c>
      <c r="B44" s="194">
        <f>AVERAGE(D44:F44)</f>
        <v>49.2</v>
      </c>
      <c r="C44" s="195">
        <f>AVERAGE(I44:K44)</f>
        <v>39.800000000000004</v>
      </c>
      <c r="D44" s="200">
        <v>54.4</v>
      </c>
      <c r="E44" s="198">
        <v>44</v>
      </c>
      <c r="F44" s="198"/>
      <c r="G44" s="198"/>
      <c r="H44" s="199">
        <v>67</v>
      </c>
      <c r="I44" s="200">
        <v>37.700000000000003</v>
      </c>
      <c r="J44" s="198">
        <v>37.1</v>
      </c>
      <c r="K44" s="198">
        <v>44.6</v>
      </c>
      <c r="L44" s="198"/>
      <c r="M44" s="199"/>
      <c r="N44" s="163"/>
      <c r="O44" s="163"/>
      <c r="P44" s="163"/>
      <c r="Q44" s="163"/>
      <c r="R44" s="163"/>
      <c r="S44" s="163"/>
      <c r="T44" s="163"/>
      <c r="U44" s="359"/>
      <c r="V44" s="360"/>
      <c r="W44" s="360"/>
      <c r="X44" s="360"/>
      <c r="Y44" s="360"/>
      <c r="Z44" s="360"/>
      <c r="AA44" s="360"/>
      <c r="AB44" s="360"/>
      <c r="AC44" s="361"/>
      <c r="AD44" s="359"/>
      <c r="AE44" s="360"/>
      <c r="AF44" s="360"/>
      <c r="AG44" s="360"/>
      <c r="AH44" s="360"/>
      <c r="AI44" s="360"/>
      <c r="AJ44" s="360"/>
      <c r="AK44" s="360"/>
      <c r="AL44" s="361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</row>
    <row r="45" spans="1:57" ht="16.149999999999999" customHeight="1" x14ac:dyDescent="0.25">
      <c r="A45" s="193">
        <v>5</v>
      </c>
      <c r="B45" s="194">
        <f>AVERAGE(E45:H45)</f>
        <v>40.549999999999997</v>
      </c>
      <c r="C45" s="195">
        <f>AVERAGE(I45:K45)</f>
        <v>34.049999999999997</v>
      </c>
      <c r="D45" s="198">
        <v>42.1</v>
      </c>
      <c r="E45" s="198">
        <v>41.7</v>
      </c>
      <c r="F45" s="199">
        <v>39.4</v>
      </c>
      <c r="G45" s="199"/>
      <c r="H45" s="199"/>
      <c r="I45" s="200">
        <v>33.1</v>
      </c>
      <c r="J45" s="198"/>
      <c r="K45" s="198">
        <v>35</v>
      </c>
      <c r="L45" s="198"/>
      <c r="M45" s="199">
        <v>43.7</v>
      </c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169"/>
      <c r="AC45" s="237"/>
      <c r="AD45" s="169"/>
      <c r="AE45" s="169"/>
      <c r="AF45" s="169"/>
      <c r="AG45" s="169"/>
      <c r="AH45" s="169"/>
      <c r="AI45" s="169"/>
      <c r="AJ45" s="169"/>
      <c r="AK45" s="169"/>
      <c r="AL45" s="238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</row>
    <row r="46" spans="1:57" ht="16.149999999999999" customHeight="1" x14ac:dyDescent="0.25">
      <c r="A46" s="193">
        <v>6</v>
      </c>
      <c r="B46" s="194">
        <f>AVERAGE(D46:F46)</f>
        <v>39.833333333333336</v>
      </c>
      <c r="C46" s="195">
        <f>AVERAGE(I46:M46)</f>
        <v>24.033333333333331</v>
      </c>
      <c r="D46" s="200">
        <v>39</v>
      </c>
      <c r="E46" s="198">
        <v>41</v>
      </c>
      <c r="F46" s="198">
        <v>39.5</v>
      </c>
      <c r="G46" s="198"/>
      <c r="H46" s="199"/>
      <c r="I46" s="200">
        <v>28.7</v>
      </c>
      <c r="J46" s="198">
        <v>22.4</v>
      </c>
      <c r="K46" s="198">
        <v>21</v>
      </c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169"/>
      <c r="AC46" s="237"/>
      <c r="AD46" s="169"/>
      <c r="AE46" s="169"/>
      <c r="AF46" s="169"/>
      <c r="AG46" s="169"/>
      <c r="AH46" s="169"/>
      <c r="AI46" s="169"/>
      <c r="AJ46" s="169"/>
      <c r="AK46" s="169"/>
      <c r="AL46" s="238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</row>
    <row r="47" spans="1:57" x14ac:dyDescent="0.25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65" t="s">
        <v>23</v>
      </c>
      <c r="Y47" s="366"/>
      <c r="Z47" s="367"/>
      <c r="AA47" s="169"/>
      <c r="AB47" s="169"/>
      <c r="AC47" s="237"/>
      <c r="AD47" s="169"/>
      <c r="AE47" s="169"/>
      <c r="AF47" s="169"/>
      <c r="AG47" s="169"/>
      <c r="AH47" s="169"/>
      <c r="AI47" s="169"/>
      <c r="AJ47" s="169"/>
      <c r="AK47" s="169"/>
      <c r="AL47" s="238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</row>
    <row r="48" spans="1:57" ht="21" customHeight="1" x14ac:dyDescent="0.25">
      <c r="A48" s="291" t="s">
        <v>92</v>
      </c>
      <c r="B48" s="292"/>
      <c r="C48" s="292"/>
      <c r="D48" s="292"/>
      <c r="E48" s="292"/>
      <c r="F48" s="292"/>
      <c r="G48" s="292"/>
      <c r="H48" s="292"/>
      <c r="I48" s="292"/>
      <c r="J48" s="292"/>
      <c r="K48" s="292"/>
      <c r="L48" s="292"/>
      <c r="M48" s="292"/>
      <c r="N48" s="292"/>
      <c r="O48" s="292"/>
      <c r="P48" s="292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169"/>
      <c r="AC48" s="237"/>
      <c r="AD48" s="169"/>
      <c r="AE48" s="169"/>
      <c r="AF48" s="169"/>
      <c r="AG48" s="169"/>
      <c r="AH48" s="169"/>
      <c r="AI48" s="169"/>
      <c r="AJ48" s="169"/>
      <c r="AK48" s="169"/>
      <c r="AL48" s="238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</row>
    <row r="49" spans="1:58" ht="22.15" customHeight="1" x14ac:dyDescent="0.25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169"/>
      <c r="AC49" s="237"/>
      <c r="AD49" s="169"/>
      <c r="AE49" s="169"/>
      <c r="AF49" s="169"/>
      <c r="AG49" s="169"/>
      <c r="AH49" s="169"/>
      <c r="AI49" s="169"/>
      <c r="AJ49" s="169"/>
      <c r="AK49" s="169"/>
      <c r="AL49" s="238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82"/>
    </row>
    <row r="50" spans="1:58" ht="21" customHeight="1" x14ac:dyDescent="0.25">
      <c r="A50" s="9">
        <v>1</v>
      </c>
      <c r="B50" s="186">
        <v>1.0935999999999999</v>
      </c>
      <c r="C50" s="186">
        <v>1.0981000000000001</v>
      </c>
      <c r="D50" s="202">
        <v>10</v>
      </c>
      <c r="E50" s="202">
        <v>10</v>
      </c>
      <c r="F50" s="10">
        <v>1.105</v>
      </c>
      <c r="G50" s="10">
        <v>1.1105</v>
      </c>
      <c r="H50" s="202">
        <v>1</v>
      </c>
      <c r="I50" s="11">
        <f>(F50-B50)*1000*H50/D50</f>
        <v>1.1400000000000077</v>
      </c>
      <c r="J50" s="11">
        <f t="shared" ref="J50:J55" si="6">(G50-C50)*1000*H50/E50</f>
        <v>1.2399999999999967</v>
      </c>
      <c r="K50" s="12">
        <f t="shared" ref="K50:K56" si="7">AVERAGE(I50:J50)</f>
        <v>1.1900000000000022</v>
      </c>
      <c r="L50" s="198">
        <v>1.0952</v>
      </c>
      <c r="M50" s="198">
        <v>1.1002000000000001</v>
      </c>
      <c r="N50" s="204">
        <f t="shared" ref="N50:N56" si="8">(F50-L50)/E50*1000000</f>
        <v>980.00000000000296</v>
      </c>
      <c r="O50" s="205">
        <f t="shared" ref="O50:O56" si="9">(G50-M50)/E50*1000000</f>
        <v>1029.9999999999975</v>
      </c>
      <c r="P50" s="206">
        <f t="shared" ref="P50:P55" si="10">AVERAGE(N50:O50)</f>
        <v>1005.0000000000002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169"/>
      <c r="AC50" s="237"/>
      <c r="AD50" s="169"/>
      <c r="AE50" s="169"/>
      <c r="AF50" s="169"/>
      <c r="AG50" s="169"/>
      <c r="AH50" s="169"/>
      <c r="AI50" s="169"/>
      <c r="AJ50" s="169"/>
      <c r="AK50" s="169"/>
      <c r="AL50" s="238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82"/>
    </row>
    <row r="51" spans="1:58" x14ac:dyDescent="0.25">
      <c r="A51" s="9">
        <v>2</v>
      </c>
      <c r="B51" s="186">
        <v>1.1014999999999999</v>
      </c>
      <c r="C51" s="191">
        <v>1.1064000000000001</v>
      </c>
      <c r="D51" s="202">
        <v>10</v>
      </c>
      <c r="E51" s="202">
        <v>10</v>
      </c>
      <c r="F51" s="10">
        <v>1.1126</v>
      </c>
      <c r="G51" s="10">
        <v>1.1182000000000001</v>
      </c>
      <c r="H51" s="202">
        <v>1</v>
      </c>
      <c r="I51" s="11">
        <f t="shared" ref="I51:I56" si="11">(F51-B51)*1000*H51/D51</f>
        <v>1.110000000000011</v>
      </c>
      <c r="J51" s="11">
        <f t="shared" si="6"/>
        <v>1.1800000000000033</v>
      </c>
      <c r="K51" s="12">
        <f t="shared" si="7"/>
        <v>1.1450000000000071</v>
      </c>
      <c r="L51" s="198">
        <v>1.1024</v>
      </c>
      <c r="M51" s="198">
        <v>1.1084000000000001</v>
      </c>
      <c r="N51" s="204">
        <f t="shared" si="8"/>
        <v>1019.9999999999987</v>
      </c>
      <c r="O51" s="205">
        <f t="shared" si="9"/>
        <v>980.00000000000296</v>
      </c>
      <c r="P51" s="206">
        <f t="shared" si="10"/>
        <v>1000.0000000000009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169"/>
      <c r="AC51" s="237"/>
      <c r="AD51" s="169"/>
      <c r="AE51" s="169"/>
      <c r="AF51" s="169"/>
      <c r="AG51" s="169"/>
      <c r="AH51" s="169"/>
      <c r="AI51" s="169"/>
      <c r="AJ51" s="169"/>
      <c r="AK51" s="169"/>
      <c r="AL51" s="238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82"/>
    </row>
    <row r="52" spans="1:58" x14ac:dyDescent="0.25">
      <c r="A52" s="9">
        <v>3</v>
      </c>
      <c r="B52" s="186">
        <v>1.1183000000000001</v>
      </c>
      <c r="C52" s="207">
        <v>1.1200000000000001</v>
      </c>
      <c r="D52" s="202">
        <v>10</v>
      </c>
      <c r="E52" s="202">
        <v>10</v>
      </c>
      <c r="F52" s="10">
        <v>1.127</v>
      </c>
      <c r="G52" s="10">
        <v>1.131</v>
      </c>
      <c r="H52" s="202">
        <v>1</v>
      </c>
      <c r="I52" s="11">
        <f t="shared" si="11"/>
        <v>0.869999999999993</v>
      </c>
      <c r="J52" s="11">
        <f t="shared" si="6"/>
        <v>1.0999999999999899</v>
      </c>
      <c r="K52" s="12">
        <f t="shared" si="7"/>
        <v>0.98499999999999144</v>
      </c>
      <c r="L52" s="198">
        <v>1.1185</v>
      </c>
      <c r="M52" s="198">
        <v>1.1220000000000001</v>
      </c>
      <c r="N52" s="204">
        <f t="shared" si="8"/>
        <v>849.99999999999523</v>
      </c>
      <c r="O52" s="205">
        <f t="shared" si="9"/>
        <v>899.99999999998965</v>
      </c>
      <c r="P52" s="206">
        <f t="shared" si="10"/>
        <v>874.9999999999925</v>
      </c>
      <c r="Q52" s="163"/>
      <c r="R52" s="163"/>
      <c r="S52" s="163"/>
      <c r="T52" s="163"/>
      <c r="U52" s="233"/>
      <c r="V52" s="344" t="s">
        <v>7</v>
      </c>
      <c r="W52" s="345"/>
      <c r="X52" s="345"/>
      <c r="Y52" s="345"/>
      <c r="Z52" s="346"/>
      <c r="AA52" s="169"/>
      <c r="AB52" s="169"/>
      <c r="AC52" s="237"/>
      <c r="AD52" s="169"/>
      <c r="AE52" s="169"/>
      <c r="AF52" s="169"/>
      <c r="AG52" s="169"/>
      <c r="AH52" s="169"/>
      <c r="AI52" s="169"/>
      <c r="AJ52" s="169"/>
      <c r="AK52" s="169"/>
      <c r="AL52" s="238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82"/>
    </row>
    <row r="53" spans="1:58" x14ac:dyDescent="0.25">
      <c r="A53" s="9">
        <v>4</v>
      </c>
      <c r="B53" s="191">
        <v>1.1296999999999999</v>
      </c>
      <c r="C53" s="208">
        <v>1.1231</v>
      </c>
      <c r="D53" s="202">
        <v>10</v>
      </c>
      <c r="E53" s="202">
        <v>10</v>
      </c>
      <c r="F53" s="10">
        <v>1.1364000000000001</v>
      </c>
      <c r="G53" s="10">
        <v>1.1305000000000001</v>
      </c>
      <c r="H53" s="202">
        <v>1</v>
      </c>
      <c r="I53" s="11">
        <f t="shared" si="11"/>
        <v>0.67000000000001503</v>
      </c>
      <c r="J53" s="11">
        <f t="shared" si="6"/>
        <v>0.74000000000000732</v>
      </c>
      <c r="K53" s="12">
        <f t="shared" si="7"/>
        <v>0.70500000000001117</v>
      </c>
      <c r="L53" s="198">
        <v>1.1303000000000001</v>
      </c>
      <c r="M53" s="198">
        <v>1.1242000000000001</v>
      </c>
      <c r="N53" s="204">
        <f t="shared" si="8"/>
        <v>609.99999999999943</v>
      </c>
      <c r="O53" s="205">
        <f t="shared" si="9"/>
        <v>629.99999999999716</v>
      </c>
      <c r="P53" s="206">
        <f t="shared" si="10"/>
        <v>619.99999999999829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169"/>
      <c r="AC53" s="237"/>
      <c r="AD53" s="169"/>
      <c r="AE53" s="169"/>
      <c r="AF53" s="169"/>
      <c r="AG53" s="169"/>
      <c r="AH53" s="169"/>
      <c r="AI53" s="169"/>
      <c r="AJ53" s="169"/>
      <c r="AK53" s="169"/>
      <c r="AL53" s="234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82"/>
    </row>
    <row r="54" spans="1:58" x14ac:dyDescent="0.25">
      <c r="A54" s="9">
        <v>5</v>
      </c>
      <c r="B54" s="191">
        <v>1.1131</v>
      </c>
      <c r="C54" s="208">
        <v>1.1171</v>
      </c>
      <c r="D54" s="202">
        <v>10</v>
      </c>
      <c r="E54" s="202">
        <v>10</v>
      </c>
      <c r="F54" s="10">
        <v>1.1213</v>
      </c>
      <c r="G54" s="10">
        <v>1.1251</v>
      </c>
      <c r="H54" s="202">
        <v>1</v>
      </c>
      <c r="I54" s="11">
        <f t="shared" si="11"/>
        <v>0.81999999999999851</v>
      </c>
      <c r="J54" s="11">
        <f t="shared" si="6"/>
        <v>0.80000000000000071</v>
      </c>
      <c r="K54" s="12">
        <f t="shared" si="7"/>
        <v>0.80999999999999961</v>
      </c>
      <c r="L54" s="198">
        <v>1.1133999999999999</v>
      </c>
      <c r="M54" s="198">
        <v>1.1178999999999999</v>
      </c>
      <c r="N54" s="204">
        <f t="shared" si="8"/>
        <v>790.00000000000182</v>
      </c>
      <c r="O54" s="205">
        <f t="shared" si="9"/>
        <v>720.00000000000944</v>
      </c>
      <c r="P54" s="206">
        <f t="shared" si="10"/>
        <v>755.00000000000568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169"/>
      <c r="AC54" s="237"/>
      <c r="AD54" s="169"/>
      <c r="AE54" s="169"/>
      <c r="AF54" s="169"/>
      <c r="AG54" s="192"/>
      <c r="AH54" s="169"/>
      <c r="AI54" s="169"/>
      <c r="AJ54" s="169"/>
      <c r="AK54" s="169"/>
      <c r="AL54" s="234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82"/>
    </row>
    <row r="55" spans="1:58" x14ac:dyDescent="0.25">
      <c r="A55" s="102">
        <v>6</v>
      </c>
      <c r="B55" s="191">
        <v>1.1061000000000001</v>
      </c>
      <c r="C55" s="208">
        <v>1.1164000000000001</v>
      </c>
      <c r="D55" s="202">
        <v>10</v>
      </c>
      <c r="E55" s="202">
        <v>10</v>
      </c>
      <c r="F55" s="101">
        <v>1.1103000000000001</v>
      </c>
      <c r="G55" s="101">
        <v>1.1207</v>
      </c>
      <c r="H55" s="202">
        <v>1</v>
      </c>
      <c r="I55" s="11">
        <f t="shared" si="11"/>
        <v>0.41999999999999815</v>
      </c>
      <c r="J55" s="11">
        <f t="shared" si="6"/>
        <v>0.42999999999999705</v>
      </c>
      <c r="K55" s="12">
        <f t="shared" si="7"/>
        <v>0.4249999999999976</v>
      </c>
      <c r="L55" s="246">
        <v>1.1065</v>
      </c>
      <c r="M55" s="246">
        <v>1.1169</v>
      </c>
      <c r="N55" s="204">
        <f t="shared" si="8"/>
        <v>380.00000000000256</v>
      </c>
      <c r="O55" s="205">
        <f t="shared" si="9"/>
        <v>380.00000000000256</v>
      </c>
      <c r="P55" s="206">
        <f t="shared" si="10"/>
        <v>380.00000000000256</v>
      </c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169"/>
      <c r="AC55" s="237"/>
      <c r="AD55" s="169"/>
      <c r="AE55" s="169"/>
      <c r="AF55" s="169"/>
      <c r="AG55" s="192"/>
      <c r="AH55" s="169"/>
      <c r="AI55" s="169"/>
      <c r="AJ55" s="169"/>
      <c r="AK55" s="169"/>
      <c r="AL55" s="234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82"/>
    </row>
    <row r="56" spans="1:58" ht="40.5" customHeight="1" x14ac:dyDescent="0.25">
      <c r="A56" s="210" t="s">
        <v>109</v>
      </c>
      <c r="B56" s="191">
        <v>1.1020000000000001</v>
      </c>
      <c r="C56" s="208">
        <v>1.1055999999999999</v>
      </c>
      <c r="D56" s="211">
        <v>10</v>
      </c>
      <c r="E56" s="211">
        <v>10</v>
      </c>
      <c r="F56" s="212">
        <v>1.1079000000000001</v>
      </c>
      <c r="G56" s="212">
        <v>1.1133999999999999</v>
      </c>
      <c r="H56" s="202">
        <v>1</v>
      </c>
      <c r="I56" s="11">
        <f t="shared" si="11"/>
        <v>0.59000000000000163</v>
      </c>
      <c r="J56" s="11">
        <f>(G56-C56)*1000*H56/E56</f>
        <v>0.78000000000000291</v>
      </c>
      <c r="K56" s="12">
        <f t="shared" si="7"/>
        <v>0.68500000000000227</v>
      </c>
      <c r="L56" s="247">
        <v>1.1022000000000001</v>
      </c>
      <c r="M56" s="247">
        <v>1.1071</v>
      </c>
      <c r="N56" s="184">
        <f t="shared" si="8"/>
        <v>570.00000000000387</v>
      </c>
      <c r="O56" s="205">
        <f t="shared" si="9"/>
        <v>629.99999999999716</v>
      </c>
      <c r="P56" s="206">
        <f>AVERAGE(N56:O56)</f>
        <v>600.00000000000045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3.5084598678429519</v>
      </c>
      <c r="Y56" s="79"/>
      <c r="Z56" s="86"/>
      <c r="AA56" s="169"/>
      <c r="AB56" s="169"/>
      <c r="AC56" s="237"/>
      <c r="AD56" s="169"/>
      <c r="AE56" s="169"/>
      <c r="AF56" s="169"/>
      <c r="AG56" s="169"/>
      <c r="AH56" s="169"/>
      <c r="AI56" s="169"/>
      <c r="AJ56" s="169"/>
      <c r="AK56" s="169"/>
      <c r="AL56" s="234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</row>
    <row r="57" spans="1:58" ht="34.5" customHeight="1" x14ac:dyDescent="0.25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0.16500000000000001</v>
      </c>
      <c r="Y57" s="80">
        <f>I11</f>
        <v>0.16500000000000001</v>
      </c>
      <c r="Z57" s="87">
        <f>J11</f>
        <v>0.16500000000000001</v>
      </c>
      <c r="AA57" s="169"/>
      <c r="AB57" s="169"/>
      <c r="AC57" s="237"/>
      <c r="AD57" s="169"/>
      <c r="AE57" s="169"/>
      <c r="AF57" s="169"/>
      <c r="AG57" s="169"/>
      <c r="AH57" s="169"/>
      <c r="AI57" s="169"/>
      <c r="AJ57" s="169"/>
      <c r="AK57" s="169"/>
      <c r="AL57" s="234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</row>
    <row r="58" spans="1:58" x14ac:dyDescent="0.25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21.710865011419774</v>
      </c>
      <c r="Y58" s="240">
        <f>I12</f>
        <v>26.603128665134808</v>
      </c>
      <c r="Z58" s="240">
        <f>J12</f>
        <v>23.899659713224764</v>
      </c>
      <c r="AA58" s="169"/>
      <c r="AB58" s="169"/>
      <c r="AC58" s="237"/>
      <c r="AD58" s="169"/>
      <c r="AE58" s="169"/>
      <c r="AF58" s="169"/>
      <c r="AG58" s="169"/>
      <c r="AH58" s="169"/>
      <c r="AI58" s="169"/>
      <c r="AJ58" s="169"/>
      <c r="AK58" s="169"/>
      <c r="AL58" s="234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</row>
    <row r="59" spans="1:58" x14ac:dyDescent="0.25">
      <c r="A59" s="293" t="s">
        <v>112</v>
      </c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5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12">H13</f>
        <v>28.667686781903466</v>
      </c>
      <c r="Y59" s="81">
        <f t="shared" si="12"/>
        <v>26.087428899711739</v>
      </c>
      <c r="Z59" s="88">
        <f t="shared" si="12"/>
        <v>29.747240591983005</v>
      </c>
      <c r="AA59" s="169"/>
      <c r="AB59" s="169"/>
      <c r="AC59" s="237"/>
      <c r="AD59" s="169"/>
      <c r="AE59" s="169"/>
      <c r="AF59" s="169"/>
      <c r="AG59" s="169"/>
      <c r="AH59" s="169"/>
      <c r="AI59" s="169"/>
      <c r="AJ59" s="169"/>
      <c r="AK59" s="169"/>
      <c r="AL59" s="234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</row>
    <row r="60" spans="1:58" x14ac:dyDescent="0.25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 t="s">
        <v>104</v>
      </c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12"/>
        <v>600.00000000000045</v>
      </c>
      <c r="Y60" s="91">
        <f t="shared" si="12"/>
        <v>809.99999999999966</v>
      </c>
      <c r="Z60" s="92">
        <f t="shared" si="12"/>
        <v>705.00000000001114</v>
      </c>
      <c r="AA60" s="169"/>
      <c r="AB60" s="169"/>
      <c r="AC60" s="237"/>
      <c r="AD60" s="169"/>
      <c r="AE60" s="169"/>
      <c r="AF60" s="169"/>
      <c r="AG60" s="169"/>
      <c r="AH60" s="169"/>
      <c r="AI60" s="169"/>
      <c r="AJ60" s="169"/>
      <c r="AK60" s="169"/>
      <c r="AL60" s="234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</row>
    <row r="61" spans="1:58" x14ac:dyDescent="0.25">
      <c r="A61" s="9">
        <v>1</v>
      </c>
      <c r="B61" s="46">
        <v>0.9859</v>
      </c>
      <c r="C61" s="46">
        <v>0.98909999999999998</v>
      </c>
      <c r="D61" s="46">
        <v>5.07</v>
      </c>
      <c r="E61" s="46">
        <v>5.1332000000000004</v>
      </c>
      <c r="F61" s="47">
        <v>2.1985999999999999</v>
      </c>
      <c r="G61" s="48">
        <v>2.2118000000000002</v>
      </c>
      <c r="H61" s="13">
        <f t="shared" ref="H61:I68" si="13">(F61-B61)*100/(D61-B61)</f>
        <v>29.69320046032173</v>
      </c>
      <c r="I61" s="13">
        <f t="shared" si="13"/>
        <v>29.504596896793029</v>
      </c>
      <c r="J61" s="13">
        <f t="shared" ref="J61:J68" si="14">AVERAGE(H61:I61)</f>
        <v>29.598898678557379</v>
      </c>
      <c r="K61" s="198">
        <v>1.4211</v>
      </c>
      <c r="L61" s="198">
        <v>1.4279999999999999</v>
      </c>
      <c r="M61" s="13">
        <f t="shared" ref="M61:N68" si="15">((F61-K61)/D61)*100</f>
        <v>15.335305719921099</v>
      </c>
      <c r="N61" s="15">
        <f t="shared" si="15"/>
        <v>15.269227772149929</v>
      </c>
      <c r="O61" s="16">
        <f t="shared" ref="O61:O68" si="16">AVERAGE(M61:N61)</f>
        <v>15.302266746035514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2"/>
      <c r="AC61" s="243"/>
      <c r="AD61" s="242"/>
      <c r="AE61" s="242"/>
      <c r="AF61" s="242"/>
      <c r="AG61" s="242"/>
      <c r="AH61" s="93"/>
      <c r="AI61" s="242"/>
      <c r="AJ61" s="242"/>
      <c r="AK61" s="242"/>
      <c r="AL61" s="244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</row>
    <row r="62" spans="1:58" x14ac:dyDescent="0.25">
      <c r="A62" s="9">
        <v>2</v>
      </c>
      <c r="B62" s="48">
        <v>0.9919</v>
      </c>
      <c r="C62" s="48">
        <v>0.9909</v>
      </c>
      <c r="D62" s="48">
        <v>5.1154999999999999</v>
      </c>
      <c r="E62" s="48">
        <v>5.1928000000000001</v>
      </c>
      <c r="F62" s="47">
        <v>2.1739999999999999</v>
      </c>
      <c r="G62" s="48">
        <v>2.1692999999999998</v>
      </c>
      <c r="H62" s="13">
        <f t="shared" si="13"/>
        <v>28.666699000873024</v>
      </c>
      <c r="I62" s="13">
        <f t="shared" si="13"/>
        <v>28.044456079392653</v>
      </c>
      <c r="J62" s="13">
        <f t="shared" si="14"/>
        <v>28.355577540132838</v>
      </c>
      <c r="K62" s="14">
        <v>1.4224000000000001</v>
      </c>
      <c r="L62" s="14">
        <v>1.4177999999999999</v>
      </c>
      <c r="M62" s="13">
        <f t="shared" si="15"/>
        <v>14.692600918776266</v>
      </c>
      <c r="N62" s="15">
        <f t="shared" si="15"/>
        <v>14.471961177014325</v>
      </c>
      <c r="O62" s="16">
        <f t="shared" si="16"/>
        <v>14.582281047895297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</row>
    <row r="63" spans="1:58" x14ac:dyDescent="0.25">
      <c r="A63" s="9">
        <v>3</v>
      </c>
      <c r="B63" s="48">
        <v>1.0130999999999999</v>
      </c>
      <c r="C63" s="48">
        <v>0.99080000000000001</v>
      </c>
      <c r="D63" s="48">
        <v>5.0579999999999998</v>
      </c>
      <c r="E63" s="48">
        <v>5.5039999999999996</v>
      </c>
      <c r="F63" s="47">
        <v>2.1520000000000001</v>
      </c>
      <c r="G63" s="48">
        <v>2.3096000000000001</v>
      </c>
      <c r="H63" s="13">
        <f t="shared" si="13"/>
        <v>28.156443917031329</v>
      </c>
      <c r="I63" s="13">
        <f t="shared" si="13"/>
        <v>29.220951874501466</v>
      </c>
      <c r="J63" s="13">
        <f t="shared" si="14"/>
        <v>28.688697895766396</v>
      </c>
      <c r="K63" s="14">
        <v>1.431</v>
      </c>
      <c r="L63" s="14">
        <v>1.4774</v>
      </c>
      <c r="M63" s="13">
        <f t="shared" si="15"/>
        <v>14.254646105179916</v>
      </c>
      <c r="N63" s="15">
        <f t="shared" si="15"/>
        <v>15.119912790697676</v>
      </c>
      <c r="O63" s="16">
        <f t="shared" si="16"/>
        <v>14.687279447938796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</row>
    <row r="64" spans="1:58" ht="24.6" customHeight="1" x14ac:dyDescent="0.25">
      <c r="A64" s="9">
        <v>4</v>
      </c>
      <c r="B64" s="49">
        <v>0.98089999999999999</v>
      </c>
      <c r="C64" s="49">
        <v>0.98089999999999999</v>
      </c>
      <c r="D64" s="49">
        <v>5.1913999999999998</v>
      </c>
      <c r="E64" s="49">
        <v>5.1421000000000001</v>
      </c>
      <c r="F64" s="50">
        <v>2.2376999999999998</v>
      </c>
      <c r="G64" s="49">
        <v>2.2145000000000001</v>
      </c>
      <c r="H64" s="13">
        <f t="shared" si="13"/>
        <v>29.849186557415976</v>
      </c>
      <c r="I64" s="13">
        <f t="shared" si="13"/>
        <v>29.645294626550033</v>
      </c>
      <c r="J64" s="13">
        <f t="shared" si="14"/>
        <v>29.747240591983005</v>
      </c>
      <c r="K64" s="14">
        <v>1.4404999999999999</v>
      </c>
      <c r="L64" s="14">
        <v>1.4358</v>
      </c>
      <c r="M64" s="13">
        <f t="shared" si="15"/>
        <v>15.356165966791229</v>
      </c>
      <c r="N64" s="15">
        <f t="shared" si="15"/>
        <v>15.143618366037225</v>
      </c>
      <c r="O64" s="16">
        <f t="shared" si="16"/>
        <v>15.249892166414227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</row>
    <row r="65" spans="1:58" x14ac:dyDescent="0.25">
      <c r="A65" s="9">
        <v>5</v>
      </c>
      <c r="B65" s="49">
        <v>0.97940000000000005</v>
      </c>
      <c r="C65" s="49">
        <v>0.99990000000000001</v>
      </c>
      <c r="D65" s="49">
        <v>5.2652999999999999</v>
      </c>
      <c r="E65" s="49">
        <v>5.1174999999999997</v>
      </c>
      <c r="F65" s="50">
        <v>2.1164000000000001</v>
      </c>
      <c r="G65" s="49">
        <v>2.0558999999999998</v>
      </c>
      <c r="H65" s="13">
        <f t="shared" si="13"/>
        <v>26.528850416481955</v>
      </c>
      <c r="I65" s="13">
        <f t="shared" si="13"/>
        <v>25.646007382941519</v>
      </c>
      <c r="J65" s="13">
        <f t="shared" si="14"/>
        <v>26.087428899711739</v>
      </c>
      <c r="K65" s="14">
        <v>1.3894</v>
      </c>
      <c r="L65" s="14">
        <v>1.3804000000000001</v>
      </c>
      <c r="M65" s="13">
        <f t="shared" si="15"/>
        <v>13.807380396178756</v>
      </c>
      <c r="N65" s="15">
        <f t="shared" si="15"/>
        <v>13.199804592085975</v>
      </c>
      <c r="O65" s="16">
        <f t="shared" si="16"/>
        <v>13.503592494132366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</row>
    <row r="66" spans="1:58" x14ac:dyDescent="0.25">
      <c r="A66" s="9">
        <v>6</v>
      </c>
      <c r="B66" s="49">
        <v>0.98060000000000003</v>
      </c>
      <c r="C66" s="49">
        <v>0.98450000000000004</v>
      </c>
      <c r="D66" s="49">
        <v>5.1727999999999996</v>
      </c>
      <c r="E66" s="49">
        <v>5.0518000000000001</v>
      </c>
      <c r="F66" s="50">
        <v>2.2263000000000002</v>
      </c>
      <c r="G66" s="49">
        <v>2.1789000000000001</v>
      </c>
      <c r="H66" s="13">
        <f t="shared" si="13"/>
        <v>29.714708267735325</v>
      </c>
      <c r="I66" s="13">
        <f t="shared" si="13"/>
        <v>29.365918422540748</v>
      </c>
      <c r="J66" s="13">
        <f t="shared" si="14"/>
        <v>29.540313345138038</v>
      </c>
      <c r="K66" s="14">
        <v>1.4311</v>
      </c>
      <c r="L66" s="14">
        <v>1.4147000000000001</v>
      </c>
      <c r="M66" s="13">
        <f t="shared" si="15"/>
        <v>15.372718836993506</v>
      </c>
      <c r="N66" s="15">
        <f t="shared" si="15"/>
        <v>15.127281365057998</v>
      </c>
      <c r="O66" s="16">
        <f t="shared" si="16"/>
        <v>15.250000101025751</v>
      </c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</row>
    <row r="67" spans="1:58" x14ac:dyDescent="0.25">
      <c r="A67" s="215" t="s">
        <v>123</v>
      </c>
      <c r="B67" s="49">
        <v>0.98680000000000001</v>
      </c>
      <c r="C67" s="49">
        <v>0.99739999999999995</v>
      </c>
      <c r="D67" s="49">
        <v>5.2389000000000001</v>
      </c>
      <c r="E67" s="49">
        <v>5.0125999999999999</v>
      </c>
      <c r="F67" s="49">
        <v>2.2031999999999998</v>
      </c>
      <c r="G67" s="49">
        <v>2.1509</v>
      </c>
      <c r="H67" s="13">
        <f t="shared" si="13"/>
        <v>28.607041226687979</v>
      </c>
      <c r="I67" s="13">
        <f t="shared" si="13"/>
        <v>28.728332337118953</v>
      </c>
      <c r="J67" s="13">
        <f t="shared" si="14"/>
        <v>28.667686781903466</v>
      </c>
      <c r="K67" s="14">
        <v>1.4345000000000001</v>
      </c>
      <c r="L67" s="14">
        <v>1.425</v>
      </c>
      <c r="M67" s="13">
        <f t="shared" si="15"/>
        <v>14.672927522953286</v>
      </c>
      <c r="N67" s="15">
        <f t="shared" si="15"/>
        <v>14.481506603359534</v>
      </c>
      <c r="O67" s="16">
        <f t="shared" si="16"/>
        <v>14.577217063156411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</row>
    <row r="68" spans="1:58" x14ac:dyDescent="0.25">
      <c r="A68" s="210" t="s">
        <v>124</v>
      </c>
      <c r="B68" s="51">
        <v>1.0106999999999999</v>
      </c>
      <c r="C68" s="51">
        <v>1.0055000000000001</v>
      </c>
      <c r="D68" s="51">
        <v>5.2603999999999997</v>
      </c>
      <c r="E68" s="51">
        <v>5.0625999999999998</v>
      </c>
      <c r="F68" s="51">
        <v>1.1589</v>
      </c>
      <c r="G68" s="51">
        <v>1.1487000000000001</v>
      </c>
      <c r="H68" s="13">
        <f>(F68-B68)*100/(D68-B68)</f>
        <v>3.4873049862343253</v>
      </c>
      <c r="I68" s="13">
        <f t="shared" si="13"/>
        <v>3.5296147494515786</v>
      </c>
      <c r="J68" s="13">
        <f t="shared" si="14"/>
        <v>3.5084598678429519</v>
      </c>
      <c r="K68" s="18">
        <v>1.0619000000000001</v>
      </c>
      <c r="L68" s="18">
        <v>1.0559000000000001</v>
      </c>
      <c r="M68" s="17">
        <f t="shared" si="15"/>
        <v>1.8439662383088733</v>
      </c>
      <c r="N68" s="19">
        <f t="shared" si="15"/>
        <v>1.8330502113538496</v>
      </c>
      <c r="O68" s="20">
        <f t="shared" si="16"/>
        <v>1.8385082248313616</v>
      </c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</row>
    <row r="70" spans="1:58" s="25" customFormat="1" ht="99" customHeight="1" x14ac:dyDescent="0.25">
      <c r="A70" s="58" t="s">
        <v>77</v>
      </c>
      <c r="B70" s="59" t="s">
        <v>125</v>
      </c>
      <c r="C70" s="59" t="s">
        <v>126</v>
      </c>
      <c r="D70" s="53" t="s">
        <v>127</v>
      </c>
      <c r="E70" s="60" t="s">
        <v>128</v>
      </c>
      <c r="F70" s="52" t="s">
        <v>129</v>
      </c>
      <c r="G70" s="55" t="s">
        <v>130</v>
      </c>
      <c r="H70" s="53" t="s">
        <v>131</v>
      </c>
      <c r="I70" s="218" t="s">
        <v>132</v>
      </c>
      <c r="J70" s="104" t="s">
        <v>133</v>
      </c>
      <c r="K70" s="104" t="s">
        <v>134</v>
      </c>
      <c r="L70" s="104" t="s">
        <v>135</v>
      </c>
      <c r="M70" s="105" t="s">
        <v>133</v>
      </c>
      <c r="N70" s="105" t="s">
        <v>134</v>
      </c>
      <c r="O70" s="105" t="s">
        <v>135</v>
      </c>
      <c r="P70" s="105" t="s">
        <v>136</v>
      </c>
      <c r="Q70" s="106" t="s">
        <v>137</v>
      </c>
      <c r="R70" s="107" t="s">
        <v>129</v>
      </c>
      <c r="S70" s="108" t="s">
        <v>130</v>
      </c>
      <c r="T70" s="109" t="s">
        <v>131</v>
      </c>
      <c r="U70" s="108" t="s">
        <v>132</v>
      </c>
      <c r="V70" s="109" t="s">
        <v>133</v>
      </c>
      <c r="W70" s="109" t="s">
        <v>134</v>
      </c>
      <c r="X70" s="109" t="s">
        <v>135</v>
      </c>
      <c r="Y70" s="110" t="s">
        <v>133</v>
      </c>
      <c r="Z70" s="110" t="s">
        <v>134</v>
      </c>
      <c r="AA70" s="110" t="s">
        <v>135</v>
      </c>
      <c r="AB70" s="113"/>
      <c r="AC70" s="111" t="s">
        <v>310</v>
      </c>
      <c r="AD70" s="52" t="s">
        <v>129</v>
      </c>
      <c r="AE70" s="55" t="s">
        <v>130</v>
      </c>
      <c r="AF70" s="53" t="s">
        <v>131</v>
      </c>
      <c r="AG70" s="55" t="s">
        <v>132</v>
      </c>
      <c r="AH70" s="53" t="s">
        <v>138</v>
      </c>
      <c r="AI70" s="53" t="s">
        <v>139</v>
      </c>
      <c r="AJ70" s="53" t="s">
        <v>140</v>
      </c>
      <c r="AK70" s="53" t="s">
        <v>141</v>
      </c>
      <c r="AL70" s="53" t="s">
        <v>142</v>
      </c>
      <c r="AM70" s="53" t="s">
        <v>143</v>
      </c>
      <c r="AN70" s="53" t="s">
        <v>144</v>
      </c>
      <c r="AO70" s="56" t="s">
        <v>138</v>
      </c>
      <c r="AP70" s="56" t="s">
        <v>139</v>
      </c>
      <c r="AQ70" s="57" t="s">
        <v>140</v>
      </c>
      <c r="AR70" s="56" t="s">
        <v>145</v>
      </c>
      <c r="AS70" s="54" t="s">
        <v>146</v>
      </c>
      <c r="AT70" s="52" t="s">
        <v>147</v>
      </c>
      <c r="AU70" s="53" t="s">
        <v>148</v>
      </c>
      <c r="AV70" s="53" t="s">
        <v>149</v>
      </c>
      <c r="AW70" s="53" t="s">
        <v>150</v>
      </c>
      <c r="AX70" s="54"/>
    </row>
    <row r="71" spans="1:58" s="35" customFormat="1" x14ac:dyDescent="0.25">
      <c r="A71" s="220">
        <f t="shared" ref="A71:A76" si="17">I33</f>
        <v>17.01308560441484</v>
      </c>
      <c r="B71" s="218">
        <f t="shared" ref="B71:B76" si="18">C41</f>
        <v>47.966666666666669</v>
      </c>
      <c r="C71" s="218">
        <f t="shared" ref="C71:C76" si="19">B41</f>
        <v>121.6</v>
      </c>
      <c r="D71" s="218">
        <f t="shared" ref="D71:D76" si="20">J61</f>
        <v>29.598898678557379</v>
      </c>
      <c r="E71" s="219">
        <f t="shared" ref="E71:E76" si="21">K50*1000</f>
        <v>1190.0000000000023</v>
      </c>
      <c r="F71" s="220">
        <f>AVERAGE(B71)</f>
        <v>47.966666666666669</v>
      </c>
      <c r="G71" s="218">
        <f>F71-B71</f>
        <v>0</v>
      </c>
      <c r="H71" s="218">
        <v>20</v>
      </c>
      <c r="I71" s="218">
        <f>IF(AND(G71&gt;H71,G72&gt;H72),1,2)</f>
        <v>2</v>
      </c>
      <c r="J71" s="216" t="e">
        <f>INDEX(A71:A76,MATCH(1,I71:I76,0))</f>
        <v>#N/A</v>
      </c>
      <c r="K71" s="216" t="e">
        <f>INDEX(D71:D76,MATCH(1,I71:I76,0))</f>
        <v>#N/A</v>
      </c>
      <c r="L71" s="216" t="e">
        <f>INDEX(E71:E76,MATCH(1,I71:I76,0))</f>
        <v>#N/A</v>
      </c>
      <c r="M71" s="216" t="e">
        <f>J71</f>
        <v>#N/A</v>
      </c>
      <c r="N71" s="216" t="e">
        <f>K71</f>
        <v>#N/A</v>
      </c>
      <c r="O71" s="216" t="e">
        <f>L71</f>
        <v>#N/A</v>
      </c>
      <c r="P71" s="216"/>
      <c r="Q71" s="221"/>
      <c r="R71" s="222">
        <f>AVERAGE(C71)</f>
        <v>121.6</v>
      </c>
      <c r="S71" s="223">
        <f>R71-C71</f>
        <v>0</v>
      </c>
      <c r="T71" s="223">
        <v>20</v>
      </c>
      <c r="U71" s="223">
        <f>IF(AND(S71&gt;T71,S72&gt;T72),1,2)</f>
        <v>2</v>
      </c>
      <c r="V71" s="223">
        <f>INDEX(A71:A75,MATCH(1,U71:U76,0))</f>
        <v>26.603128665134808</v>
      </c>
      <c r="W71" s="223">
        <f>INDEX(D71:D76,MATCH(1,U71:U76,0))</f>
        <v>26.087428899711739</v>
      </c>
      <c r="X71" s="223">
        <f>INDEX(E71:E75,MATCH(1,U71:U75,0))</f>
        <v>809.99999999999966</v>
      </c>
      <c r="Y71" s="223">
        <f>V71</f>
        <v>26.603128665134808</v>
      </c>
      <c r="Z71" s="223">
        <f>W71</f>
        <v>26.087428899711739</v>
      </c>
      <c r="AA71" s="223">
        <f>X71</f>
        <v>809.99999999999966</v>
      </c>
      <c r="AB71" s="228"/>
      <c r="AC71" s="227"/>
      <c r="AD71" s="220">
        <f>AVERAGE(D71)</f>
        <v>29.598898678557379</v>
      </c>
      <c r="AE71" s="218">
        <f>AD71-D71</f>
        <v>0</v>
      </c>
      <c r="AF71" s="218">
        <v>20</v>
      </c>
      <c r="AG71" s="218">
        <f>IF(AND(AE71&gt;AF71,AE72&gt;AF72),1,2)</f>
        <v>2</v>
      </c>
      <c r="AH71" s="218">
        <f>A72</f>
        <v>18.736554961438362</v>
      </c>
      <c r="AI71" s="218" t="e">
        <f>INDEX(D71:D75,MATCH(1,AG71:AG76,0))</f>
        <v>#N/A</v>
      </c>
      <c r="AJ71" s="218" t="e">
        <f>INDEX(E71:E75,MATCH(1,AG71:AG75,0))</f>
        <v>#N/A</v>
      </c>
      <c r="AK71" s="218">
        <v>812</v>
      </c>
      <c r="AL71" s="224" t="e">
        <f>IF(AND(ISNUMBER(AH71), AH71&lt;AK71), AJ71,"")</f>
        <v>#N/A</v>
      </c>
      <c r="AM71" s="218"/>
      <c r="AN71" s="218" t="e">
        <f>IF((AK71&gt;AL71),1,2)</f>
        <v>#N/A</v>
      </c>
      <c r="AO71" s="218">
        <f>A74</f>
        <v>23.899659713224764</v>
      </c>
      <c r="AP71" s="218">
        <f>D74</f>
        <v>29.747240591983005</v>
      </c>
      <c r="AQ71" s="218">
        <f>E74</f>
        <v>705.00000000001114</v>
      </c>
      <c r="AR71" s="218" t="s">
        <v>311</v>
      </c>
      <c r="AS71" s="219"/>
      <c r="AT71" s="220">
        <f>D15</f>
        <v>21.710865011419774</v>
      </c>
      <c r="AU71" s="218">
        <f>J67</f>
        <v>28.667686781903466</v>
      </c>
      <c r="AV71" s="218">
        <f>P56</f>
        <v>600.00000000000045</v>
      </c>
      <c r="AW71" s="218">
        <f>J68</f>
        <v>3.5084598678429519</v>
      </c>
      <c r="AX71" s="219"/>
      <c r="AY71" s="225"/>
      <c r="AZ71" s="225"/>
      <c r="BA71" s="225"/>
      <c r="BB71" s="225"/>
      <c r="BC71" s="225"/>
      <c r="BD71" s="225"/>
      <c r="BE71" s="225"/>
      <c r="BF71" s="225"/>
    </row>
    <row r="72" spans="1:58" s="35" customFormat="1" x14ac:dyDescent="0.25">
      <c r="A72" s="220">
        <f t="shared" si="17"/>
        <v>18.736554961438362</v>
      </c>
      <c r="B72" s="218">
        <f t="shared" si="18"/>
        <v>45.05</v>
      </c>
      <c r="C72" s="218">
        <f t="shared" si="19"/>
        <v>114.43333333333334</v>
      </c>
      <c r="D72" s="218">
        <f t="shared" si="20"/>
        <v>28.355577540132838</v>
      </c>
      <c r="E72" s="219">
        <f t="shared" si="21"/>
        <v>1145.000000000007</v>
      </c>
      <c r="F72" s="220">
        <f>AVERAGE(B71:B72)</f>
        <v>46.508333333333333</v>
      </c>
      <c r="G72" s="218">
        <f>(F71-B72)*100/F71</f>
        <v>6.0806115357887522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26"/>
      <c r="N72" s="216"/>
      <c r="O72" s="216"/>
      <c r="P72" s="216"/>
      <c r="Q72" s="221"/>
      <c r="R72" s="222">
        <f>AVERAGE(C71:C72)</f>
        <v>118.01666666666667</v>
      </c>
      <c r="S72" s="223">
        <f>(R71-C72)*100/R71</f>
        <v>5.8936403508771855</v>
      </c>
      <c r="T72" s="223">
        <v>20</v>
      </c>
      <c r="U72" s="223">
        <f>IF(AND(S71&gt;T71,S72&gt;T72,S73&lt;T73),1,2)</f>
        <v>2</v>
      </c>
      <c r="V72" s="223"/>
      <c r="W72" s="223"/>
      <c r="X72" s="223"/>
      <c r="Y72" s="223"/>
      <c r="Z72" s="223"/>
      <c r="AA72" s="223"/>
      <c r="AB72" s="228"/>
      <c r="AC72" s="227"/>
      <c r="AD72" s="220">
        <f>AVERAGE(D71:D72)</f>
        <v>28.977238109345109</v>
      </c>
      <c r="AE72" s="218">
        <f>(AD71-D72)*100/AD71</f>
        <v>4.2005655410593112</v>
      </c>
      <c r="AF72" s="218">
        <v>20</v>
      </c>
      <c r="AG72" s="218">
        <f>IF(AND(AE71&gt;AF71,AE72&gt;AF72,AE73&lt;AF73),1,2)</f>
        <v>2</v>
      </c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9"/>
      <c r="AT72" s="220"/>
      <c r="AU72" s="218"/>
      <c r="AV72" s="218"/>
      <c r="AW72" s="218"/>
      <c r="AX72" s="219"/>
      <c r="AY72" s="225"/>
      <c r="AZ72" s="225"/>
      <c r="BA72" s="225"/>
      <c r="BB72" s="225"/>
      <c r="BC72" s="225"/>
      <c r="BD72" s="225"/>
      <c r="BE72" s="225"/>
      <c r="BF72" s="225"/>
    </row>
    <row r="73" spans="1:58" s="35" customFormat="1" x14ac:dyDescent="0.25">
      <c r="A73" s="220">
        <f t="shared" si="17"/>
        <v>21.415013228658076</v>
      </c>
      <c r="B73" s="218">
        <f t="shared" si="18"/>
        <v>43.933333333333337</v>
      </c>
      <c r="C73" s="218">
        <f t="shared" si="19"/>
        <v>55.6</v>
      </c>
      <c r="D73" s="218">
        <f t="shared" si="20"/>
        <v>28.688697895766396</v>
      </c>
      <c r="E73" s="219">
        <f t="shared" si="21"/>
        <v>984.99999999999147</v>
      </c>
      <c r="F73" s="220">
        <f>AVERAGE(B72:B73)</f>
        <v>44.491666666666667</v>
      </c>
      <c r="G73" s="218">
        <f>(F72-B73)*100/F72</f>
        <v>5.5366421788209905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85.016666666666666</v>
      </c>
      <c r="S73" s="223">
        <f>(R72-C73)*100/R72</f>
        <v>52.888010168055352</v>
      </c>
      <c r="T73" s="223">
        <v>20</v>
      </c>
      <c r="U73" s="223">
        <f>IF(AND(S72&gt;T72,S73&gt;T73,S74&lt;T74),1,2)</f>
        <v>2</v>
      </c>
      <c r="V73" s="223"/>
      <c r="W73" s="223"/>
      <c r="X73" s="223"/>
      <c r="Y73" s="223"/>
      <c r="Z73" s="223"/>
      <c r="AA73" s="223"/>
      <c r="AB73" s="228"/>
      <c r="AC73" s="227"/>
      <c r="AD73" s="220">
        <f>AVERAGE(D72:D73)</f>
        <v>28.522137717949619</v>
      </c>
      <c r="AE73" s="218">
        <f>(AD72-D73)*100/AD72</f>
        <v>0.99574780898687321</v>
      </c>
      <c r="AF73" s="218">
        <v>20</v>
      </c>
      <c r="AG73" s="218">
        <f>IF(AND(AE72&gt;AF72,AE73&gt;AF73,AE74&lt;AF74),1,2)</f>
        <v>2</v>
      </c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9"/>
      <c r="AT73" s="220"/>
      <c r="AU73" s="218"/>
      <c r="AV73" s="218"/>
      <c r="AW73" s="218"/>
      <c r="AX73" s="219"/>
      <c r="AY73" s="225"/>
      <c r="AZ73" s="225"/>
      <c r="BA73" s="225"/>
      <c r="BB73" s="225"/>
      <c r="BC73" s="225"/>
      <c r="BD73" s="225"/>
      <c r="BE73" s="225"/>
      <c r="BF73" s="225"/>
    </row>
    <row r="74" spans="1:58" s="35" customFormat="1" x14ac:dyDescent="0.25">
      <c r="A74" s="220">
        <f t="shared" si="17"/>
        <v>23.899659713224764</v>
      </c>
      <c r="B74" s="218">
        <f t="shared" si="18"/>
        <v>39.800000000000004</v>
      </c>
      <c r="C74" s="218">
        <f t="shared" si="19"/>
        <v>49.2</v>
      </c>
      <c r="D74" s="218">
        <f t="shared" si="20"/>
        <v>29.747240591983005</v>
      </c>
      <c r="E74" s="219">
        <f t="shared" si="21"/>
        <v>705.00000000001114</v>
      </c>
      <c r="F74" s="220">
        <f>AVERAGE(B73:B74)</f>
        <v>41.866666666666674</v>
      </c>
      <c r="G74" s="218">
        <f>(F73-B74)*100/F73</f>
        <v>10.545045888743202</v>
      </c>
      <c r="H74" s="218">
        <v>20</v>
      </c>
      <c r="I74" s="218">
        <f>IF(AND(G73&gt;H73,G74&gt;H74,G75&lt;H75),1,2)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52.400000000000006</v>
      </c>
      <c r="S74" s="223">
        <f>(R73-C74)*100/R73</f>
        <v>42.12899431484022</v>
      </c>
      <c r="T74" s="223">
        <v>20</v>
      </c>
      <c r="U74" s="223">
        <f>IF(AND(S73&gt;T73,S74&gt;T74,S75&lt;T75),1,2)</f>
        <v>2</v>
      </c>
      <c r="V74" s="223"/>
      <c r="W74" s="223"/>
      <c r="X74" s="223"/>
      <c r="Y74" s="223"/>
      <c r="Z74" s="223"/>
      <c r="AA74" s="223"/>
      <c r="AB74" s="228"/>
      <c r="AC74" s="227"/>
      <c r="AD74" s="220">
        <f>AVERAGE(D73:D74)</f>
        <v>29.217969243874698</v>
      </c>
      <c r="AE74" s="218">
        <f>(AD73-D74)*100/AD73</f>
        <v>-4.2952701727626863</v>
      </c>
      <c r="AF74" s="218">
        <v>20</v>
      </c>
      <c r="AG74" s="218">
        <f>IF(AND(AE73&gt;AF73,AE74&gt;AF74,AE75&lt;AF75),1,2)</f>
        <v>2</v>
      </c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9"/>
      <c r="AT74" s="220"/>
      <c r="AU74" s="218"/>
      <c r="AV74" s="218"/>
      <c r="AW74" s="218"/>
      <c r="AX74" s="219"/>
      <c r="AY74" s="225"/>
      <c r="AZ74" s="225"/>
      <c r="BA74" s="225"/>
      <c r="BB74" s="225"/>
      <c r="BC74" s="225"/>
      <c r="BD74" s="225"/>
      <c r="BE74" s="225"/>
      <c r="BF74" s="225"/>
    </row>
    <row r="75" spans="1:58" s="35" customFormat="1" x14ac:dyDescent="0.25">
      <c r="A75" s="220">
        <f t="shared" si="17"/>
        <v>26.603128665134808</v>
      </c>
      <c r="B75" s="218">
        <f t="shared" si="18"/>
        <v>34.049999999999997</v>
      </c>
      <c r="C75" s="218">
        <f t="shared" si="19"/>
        <v>40.549999999999997</v>
      </c>
      <c r="D75" s="218">
        <f t="shared" si="20"/>
        <v>26.087428899711739</v>
      </c>
      <c r="E75" s="219">
        <f t="shared" si="21"/>
        <v>809.99999999999966</v>
      </c>
      <c r="F75" s="220">
        <f>AVERAGE(B74:B75)</f>
        <v>36.924999999999997</v>
      </c>
      <c r="G75" s="218">
        <f>(F74-B75)*100/F74</f>
        <v>18.670382165605115</v>
      </c>
      <c r="H75" s="218">
        <v>20</v>
      </c>
      <c r="I75" s="218">
        <f>IF(AND(G74&gt;H74,G75&gt;H75,G76&lt;H76),1,2)</f>
        <v>2</v>
      </c>
      <c r="J75" s="216"/>
      <c r="K75" s="216"/>
      <c r="L75" s="216"/>
      <c r="M75" s="216"/>
      <c r="N75" s="216"/>
      <c r="O75" s="216"/>
      <c r="P75" s="216"/>
      <c r="Q75" s="221"/>
      <c r="R75" s="222">
        <f>AVERAGE(C74:C75)</f>
        <v>44.875</v>
      </c>
      <c r="S75" s="223">
        <f>(R74-C75)*100/R74</f>
        <v>22.614503816793906</v>
      </c>
      <c r="T75" s="223">
        <v>20</v>
      </c>
      <c r="U75" s="223">
        <f>IF(AND(S74&gt;T74,S75&gt;T75,S76&lt;T76),1,2)</f>
        <v>1</v>
      </c>
      <c r="V75" s="223"/>
      <c r="W75" s="223"/>
      <c r="X75" s="223"/>
      <c r="Y75" s="223"/>
      <c r="Z75" s="223"/>
      <c r="AA75" s="223"/>
      <c r="AB75" s="228"/>
      <c r="AC75" s="227"/>
      <c r="AD75" s="220">
        <f>AVERAGE(D74:D75)</f>
        <v>27.91733474584737</v>
      </c>
      <c r="AE75" s="218">
        <f>(AD74-D75)*100/AD74</f>
        <v>10.714435072585516</v>
      </c>
      <c r="AF75" s="218">
        <v>20</v>
      </c>
      <c r="AG75" s="218">
        <f>IF(AND(AE74&gt;AF74,AE75&gt;AF75,AE76&lt;AF76),1,2)</f>
        <v>2</v>
      </c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9"/>
      <c r="AT75" s="220"/>
      <c r="AU75" s="218"/>
      <c r="AV75" s="218"/>
      <c r="AW75" s="218"/>
      <c r="AX75" s="219"/>
      <c r="AY75" s="225"/>
      <c r="AZ75" s="225"/>
      <c r="BA75" s="225"/>
      <c r="BB75" s="225"/>
      <c r="BC75" s="225"/>
      <c r="BD75" s="225"/>
      <c r="BE75" s="225"/>
      <c r="BF75" s="225"/>
    </row>
    <row r="76" spans="1:58" s="35" customFormat="1" x14ac:dyDescent="0.25">
      <c r="A76" s="220">
        <f t="shared" si="17"/>
        <v>29.139709765458161</v>
      </c>
      <c r="B76" s="218">
        <f t="shared" si="18"/>
        <v>24.033333333333331</v>
      </c>
      <c r="C76" s="218">
        <f t="shared" si="19"/>
        <v>39.833333333333336</v>
      </c>
      <c r="D76" s="218">
        <f t="shared" si="20"/>
        <v>29.540313345138038</v>
      </c>
      <c r="E76" s="219">
        <f t="shared" si="21"/>
        <v>424.99999999999761</v>
      </c>
      <c r="F76" s="220">
        <f>AVERAGE(B75:B76)</f>
        <v>29.041666666666664</v>
      </c>
      <c r="G76" s="218">
        <f>(F75-B76)*100/F75</f>
        <v>34.913112164296997</v>
      </c>
      <c r="H76" s="218">
        <v>20</v>
      </c>
      <c r="I76" s="218">
        <f>IF(AND(G75&gt;H75,G76&gt;H76),1,2)</f>
        <v>2</v>
      </c>
      <c r="J76" s="216"/>
      <c r="K76" s="216"/>
      <c r="L76" s="216"/>
      <c r="M76" s="216"/>
      <c r="N76" s="216"/>
      <c r="O76" s="216"/>
      <c r="P76" s="216"/>
      <c r="Q76" s="221"/>
      <c r="R76" s="222">
        <f>AVERAGE(C75:C76)</f>
        <v>40.191666666666663</v>
      </c>
      <c r="S76" s="223">
        <f>(R75-C76)*100/R75</f>
        <v>11.23491179201485</v>
      </c>
      <c r="T76" s="223">
        <v>20</v>
      </c>
      <c r="U76" s="223">
        <f>IF(AND(S75&gt;T75,S76&gt;T76),1,2)</f>
        <v>2</v>
      </c>
      <c r="V76" s="223"/>
      <c r="W76" s="223"/>
      <c r="X76" s="223"/>
      <c r="Y76" s="223"/>
      <c r="Z76" s="223"/>
      <c r="AA76" s="223"/>
      <c r="AB76" s="228"/>
      <c r="AC76" s="227"/>
      <c r="AD76" s="220">
        <f>AVERAGE(D75:D76)</f>
        <v>27.813871122424889</v>
      </c>
      <c r="AE76" s="218">
        <f>(AD75-D76)*100/AD75</f>
        <v>-5.8135155596544985</v>
      </c>
      <c r="AF76" s="218">
        <v>20</v>
      </c>
      <c r="AG76" s="218">
        <f>IF(AND(AE75&gt;AF75,AE76&gt;AF76),1,2)</f>
        <v>2</v>
      </c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9"/>
      <c r="AT76" s="220"/>
      <c r="AU76" s="218"/>
      <c r="AV76" s="218"/>
      <c r="AW76" s="218"/>
      <c r="AX76" s="219"/>
      <c r="AY76" s="225"/>
      <c r="AZ76" s="225"/>
      <c r="BA76" s="225"/>
      <c r="BB76" s="225"/>
      <c r="BC76" s="225"/>
      <c r="BD76" s="225"/>
      <c r="BE76" s="225"/>
      <c r="BF76" s="225"/>
    </row>
  </sheetData>
  <mergeCells count="15">
    <mergeCell ref="A48:P48"/>
    <mergeCell ref="V52:Z52"/>
    <mergeCell ref="A59:O59"/>
    <mergeCell ref="A39:M39"/>
    <mergeCell ref="D40:H40"/>
    <mergeCell ref="I40:M40"/>
    <mergeCell ref="U43:AC44"/>
    <mergeCell ref="AD43:AL44"/>
    <mergeCell ref="X47:Z47"/>
    <mergeCell ref="U5:AL7"/>
    <mergeCell ref="A7:D7"/>
    <mergeCell ref="A17:C17"/>
    <mergeCell ref="A23:C23"/>
    <mergeCell ref="A26:C26"/>
    <mergeCell ref="A31:R31"/>
  </mergeCells>
  <conditionalFormatting sqref="X56">
    <cfRule type="cellIs" dxfId="13" priority="1" operator="lessThan">
      <formula>3</formula>
    </cfRule>
    <cfRule type="cellIs" dxfId="12" priority="2" operator="greaterThan">
      <formula>3.9</formula>
    </cfRule>
    <cfRule type="cellIs" dxfId="11" priority="3" operator="between">
      <formula>3</formula>
      <formula>3.9</formula>
    </cfRule>
    <cfRule type="cellIs" dxfId="10" priority="4" operator="between">
      <formula>3</formula>
      <formula>3.9</formula>
    </cfRule>
    <cfRule type="cellIs" dxfId="9" priority="8" operator="between">
      <formula>3.15</formula>
      <formula>3.85</formula>
    </cfRule>
  </conditionalFormatting>
  <conditionalFormatting sqref="X60:Z60">
    <cfRule type="cellIs" dxfId="8" priority="5" operator="greaterThan">
      <formula>812</formula>
    </cfRule>
    <cfRule type="cellIs" dxfId="7" priority="6" operator="lessThan">
      <formula>812</formula>
    </cfRule>
  </conditionalFormatting>
  <printOptions horizontalCentered="1"/>
  <pageMargins left="0.25" right="0.25" top="1.25" bottom="1" header="0.3" footer="0.3"/>
  <pageSetup paperSize="9" scale="42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40" max="1048575" man="1"/>
    <brk id="44" max="1048575" man="1"/>
    <brk id="54" max="1048575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FA589-DBF4-41DB-962F-5DBEFAD367ED}">
  <sheetPr codeName="Sheet48">
    <pageSetUpPr fitToPage="1"/>
  </sheetPr>
  <dimension ref="A1:BE76"/>
  <sheetViews>
    <sheetView workbookViewId="0"/>
  </sheetViews>
  <sheetFormatPr defaultColWidth="8.7109375" defaultRowHeight="15.75" outlineLevelRow="2" x14ac:dyDescent="0.25"/>
  <cols>
    <col min="1" max="1" width="39.42578125" style="22" customWidth="1"/>
    <col min="2" max="2" width="26.28515625" style="22" customWidth="1"/>
    <col min="3" max="3" width="32.28515625" style="22" customWidth="1"/>
    <col min="4" max="4" width="22.28515625" style="22" bestFit="1" customWidth="1"/>
    <col min="5" max="5" width="23.28515625" style="22" bestFit="1" customWidth="1"/>
    <col min="6" max="6" width="25.7109375" style="22" bestFit="1" customWidth="1"/>
    <col min="7" max="8" width="16.7109375" style="22" bestFit="1" customWidth="1"/>
    <col min="9" max="9" width="18.42578125" style="22" customWidth="1"/>
    <col min="10" max="10" width="15.7109375" style="22" bestFit="1" customWidth="1"/>
    <col min="11" max="11" width="16.42578125" style="22" bestFit="1" customWidth="1"/>
    <col min="12" max="12" width="16.7109375" style="22" bestFit="1" customWidth="1"/>
    <col min="13" max="13" width="17.28515625" style="22" bestFit="1" customWidth="1"/>
    <col min="14" max="14" width="10.28515625" style="22" bestFit="1" customWidth="1"/>
    <col min="15" max="15" width="11" style="22" bestFit="1" customWidth="1"/>
    <col min="16" max="16" width="18.7109375" style="22" bestFit="1" customWidth="1"/>
    <col min="17" max="17" width="11" style="22" bestFit="1" customWidth="1"/>
    <col min="18" max="18" width="11.7109375" style="22" bestFit="1" customWidth="1"/>
    <col min="19" max="21" width="11.7109375" style="22" customWidth="1"/>
    <col min="22" max="22" width="22.28515625" style="22" bestFit="1" customWidth="1"/>
    <col min="23" max="25" width="11.7109375" style="22" customWidth="1"/>
    <col min="26" max="26" width="21.28515625" style="22" bestFit="1" customWidth="1"/>
    <col min="27" max="34" width="11.7109375" style="22" customWidth="1"/>
    <col min="35" max="35" width="13.28515625" style="22" bestFit="1" customWidth="1"/>
    <col min="36" max="36" width="14.7109375" style="22" bestFit="1" customWidth="1"/>
    <col min="37" max="37" width="11.7109375" style="22" customWidth="1"/>
    <col min="38" max="38" width="9.42578125" style="22" customWidth="1"/>
    <col min="39" max="39" width="8.28515625" style="22" bestFit="1" customWidth="1"/>
    <col min="40" max="40" width="7.42578125" style="22" bestFit="1" customWidth="1"/>
    <col min="41" max="42" width="8.7109375" style="22"/>
    <col min="43" max="43" width="8.42578125" style="22" bestFit="1" customWidth="1"/>
    <col min="44" max="63" width="8.7109375" style="22"/>
    <col min="64" max="64" width="8.7109375" style="22" customWidth="1"/>
    <col min="65" max="16384" width="8.7109375" style="22"/>
  </cols>
  <sheetData>
    <row r="1" spans="1:57" x14ac:dyDescent="0.25">
      <c r="A1" s="162"/>
      <c r="B1" s="163" t="s">
        <v>3</v>
      </c>
      <c r="C1" s="164"/>
      <c r="D1" s="164"/>
      <c r="E1" s="164"/>
      <c r="F1" s="164"/>
      <c r="G1" s="164"/>
      <c r="H1" s="164"/>
      <c r="I1" s="164"/>
      <c r="J1" s="164"/>
      <c r="K1" s="164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</row>
    <row r="2" spans="1:57" x14ac:dyDescent="0.25">
      <c r="A2" s="165"/>
      <c r="B2" s="1" t="s">
        <v>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</row>
    <row r="3" spans="1:57" x14ac:dyDescent="0.25">
      <c r="A3" s="165"/>
      <c r="B3" s="1" t="s">
        <v>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</row>
    <row r="4" spans="1:57" x14ac:dyDescent="0.25">
      <c r="A4" s="165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</row>
    <row r="5" spans="1:57" ht="34.5" customHeight="1" x14ac:dyDescent="0.25">
      <c r="A5" s="165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322" t="s">
        <v>312</v>
      </c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4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</row>
    <row r="6" spans="1:57" ht="16.5" thickBot="1" x14ac:dyDescent="0.3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325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7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</row>
    <row r="7" spans="1:57" ht="16.5" thickBot="1" x14ac:dyDescent="0.3">
      <c r="A7" s="328" t="s">
        <v>6</v>
      </c>
      <c r="B7" s="329"/>
      <c r="C7" s="329"/>
      <c r="D7" s="330"/>
      <c r="E7" s="163"/>
      <c r="F7" s="66" t="s">
        <v>7</v>
      </c>
      <c r="G7" s="67"/>
      <c r="H7" s="67"/>
      <c r="I7" s="67"/>
      <c r="J7" s="67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368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70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</row>
    <row r="8" spans="1:57" ht="16.5" thickBot="1" x14ac:dyDescent="0.3">
      <c r="A8" s="168" t="s">
        <v>10</v>
      </c>
      <c r="B8" s="26" t="s">
        <v>301</v>
      </c>
      <c r="C8" s="166" t="s">
        <v>11</v>
      </c>
      <c r="D8" s="167">
        <f>D10*B11*8.34*10000</f>
        <v>415.04276879999998</v>
      </c>
      <c r="E8" s="163"/>
      <c r="F8" s="62"/>
      <c r="G8" s="63"/>
      <c r="H8" s="63"/>
      <c r="I8" s="68" t="s">
        <v>9</v>
      </c>
      <c r="J8" s="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230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2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</row>
    <row r="9" spans="1:57" ht="16.5" thickBot="1" x14ac:dyDescent="0.3">
      <c r="A9" s="2" t="s">
        <v>12</v>
      </c>
      <c r="B9" s="26">
        <v>0.17699999999999999</v>
      </c>
      <c r="C9" s="170" t="s">
        <v>13</v>
      </c>
      <c r="D9" s="171">
        <f>B9*B10</f>
        <v>13.823699999999999</v>
      </c>
      <c r="E9" s="163"/>
      <c r="F9" s="64"/>
      <c r="G9" s="72" t="s">
        <v>14</v>
      </c>
      <c r="H9" s="72" t="s">
        <v>15</v>
      </c>
      <c r="I9" s="72" t="s">
        <v>16</v>
      </c>
      <c r="J9" s="72" t="s">
        <v>17</v>
      </c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233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234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</row>
    <row r="10" spans="1:57" ht="16.5" thickBot="1" x14ac:dyDescent="0.3">
      <c r="A10" s="2" t="s">
        <v>18</v>
      </c>
      <c r="B10" s="27">
        <v>78.099999999999994</v>
      </c>
      <c r="C10" s="170" t="s">
        <v>19</v>
      </c>
      <c r="D10" s="171">
        <f>D9*1440/1000000</f>
        <v>1.9906127999999999E-2</v>
      </c>
      <c r="E10" s="163"/>
      <c r="F10" s="64" t="s">
        <v>20</v>
      </c>
      <c r="G10" s="65" t="s">
        <v>21</v>
      </c>
      <c r="H10" s="71">
        <f>J68</f>
        <v>3.7999407189260097</v>
      </c>
      <c r="I10" s="71"/>
      <c r="J10" s="71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233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234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</row>
    <row r="11" spans="1:57" ht="16.5" thickBot="1" x14ac:dyDescent="0.3">
      <c r="A11" s="2" t="s">
        <v>24</v>
      </c>
      <c r="B11" s="43">
        <v>0.25</v>
      </c>
      <c r="C11" s="170" t="s">
        <v>25</v>
      </c>
      <c r="D11" s="171">
        <f>B10*1440/1000000</f>
        <v>0.11246399999999998</v>
      </c>
      <c r="E11" s="163"/>
      <c r="F11" s="64" t="s">
        <v>26</v>
      </c>
      <c r="G11" s="65" t="s">
        <v>27</v>
      </c>
      <c r="H11" s="73">
        <f>B9</f>
        <v>0.17699999999999999</v>
      </c>
      <c r="I11" s="73">
        <f>B9</f>
        <v>0.17699999999999999</v>
      </c>
      <c r="J11" s="73">
        <f>B9</f>
        <v>0.17699999999999999</v>
      </c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233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234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</row>
    <row r="12" spans="1:57" ht="16.5" thickBot="1" x14ac:dyDescent="0.3">
      <c r="A12" s="2" t="s">
        <v>28</v>
      </c>
      <c r="B12" s="44">
        <v>6.1</v>
      </c>
      <c r="C12" s="170" t="s">
        <v>29</v>
      </c>
      <c r="D12" s="171">
        <f>(B12/(1+(B15/B14)))</f>
        <v>3.4892494929006084</v>
      </c>
      <c r="E12" s="163"/>
      <c r="F12" s="64" t="s">
        <v>30</v>
      </c>
      <c r="G12" s="65" t="s">
        <v>31</v>
      </c>
      <c r="H12" s="172">
        <f>AS71</f>
        <v>25.953079178885631</v>
      </c>
      <c r="I12" s="70">
        <f>Y71</f>
        <v>32.741633515543377</v>
      </c>
      <c r="J12" s="70">
        <f>AN71</f>
        <v>23.620471108633257</v>
      </c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233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234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</row>
    <row r="13" spans="1:57" ht="16.5" thickBot="1" x14ac:dyDescent="0.3">
      <c r="A13" s="2" t="s">
        <v>33</v>
      </c>
      <c r="B13" s="45">
        <v>3.41</v>
      </c>
      <c r="C13" s="170" t="s">
        <v>34</v>
      </c>
      <c r="D13" s="171">
        <f>D11*D12*8.34*(10000/2000)</f>
        <v>16.363703622231235</v>
      </c>
      <c r="E13" s="163"/>
      <c r="F13" s="64" t="s">
        <v>35</v>
      </c>
      <c r="G13" s="65" t="s">
        <v>21</v>
      </c>
      <c r="H13" s="71">
        <f>J67</f>
        <v>28.97188287046578</v>
      </c>
      <c r="I13" s="70">
        <f>Z71</f>
        <v>29.734925689014489</v>
      </c>
      <c r="J13" s="70">
        <f>AO71</f>
        <v>32.889427083420557</v>
      </c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233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234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</row>
    <row r="14" spans="1:57" ht="32.25" thickBot="1" x14ac:dyDescent="0.3">
      <c r="A14" s="2" t="s">
        <v>40</v>
      </c>
      <c r="B14" s="28">
        <v>282</v>
      </c>
      <c r="C14" s="170" t="s">
        <v>41</v>
      </c>
      <c r="D14" s="171">
        <f>D8/D13</f>
        <v>25.363620509243113</v>
      </c>
      <c r="E14" s="163"/>
      <c r="F14" s="64" t="s">
        <v>42</v>
      </c>
      <c r="G14" s="65" t="s">
        <v>39</v>
      </c>
      <c r="H14" s="71">
        <f>AU71</f>
        <v>580.00000000000273</v>
      </c>
      <c r="I14" s="70">
        <f>AA71</f>
        <v>334.99999999999642</v>
      </c>
      <c r="J14" s="70">
        <f>AP71</f>
        <v>834.99999999999682</v>
      </c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233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234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</row>
    <row r="15" spans="1:57" ht="32.25" thickBot="1" x14ac:dyDescent="0.3">
      <c r="A15" s="3" t="s">
        <v>46</v>
      </c>
      <c r="B15" s="29">
        <v>211</v>
      </c>
      <c r="C15" s="173" t="s">
        <v>47</v>
      </c>
      <c r="D15" s="42">
        <f>((B9*B11)/B13)*2000</f>
        <v>25.953079178885631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233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234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</row>
    <row r="16" spans="1:57" ht="16.5" thickBot="1" x14ac:dyDescent="0.3">
      <c r="A16" s="174"/>
      <c r="B16" s="174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233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234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</row>
    <row r="17" spans="1:57" ht="16.149999999999999" customHeight="1" outlineLevel="2" thickBot="1" x14ac:dyDescent="0.3">
      <c r="A17" s="302" t="s">
        <v>48</v>
      </c>
      <c r="B17" s="303"/>
      <c r="C17" s="304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233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234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</row>
    <row r="18" spans="1:57" outlineLevel="2" x14ac:dyDescent="0.25">
      <c r="A18" s="175"/>
      <c r="B18" s="166"/>
      <c r="C18" s="176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233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234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</row>
    <row r="19" spans="1:57" outlineLevel="2" x14ac:dyDescent="0.25">
      <c r="A19" s="177" t="s">
        <v>50</v>
      </c>
      <c r="B19" s="178">
        <f>1/453.59237</f>
        <v>2.2046226218487759E-3</v>
      </c>
      <c r="C19" s="179" t="s">
        <v>51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233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234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</row>
    <row r="20" spans="1:57" outlineLevel="2" x14ac:dyDescent="0.25">
      <c r="A20" s="177" t="s">
        <v>50</v>
      </c>
      <c r="B20" s="178">
        <v>1.1023109950010101E-6</v>
      </c>
      <c r="C20" s="179" t="s">
        <v>52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233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234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</row>
    <row r="21" spans="1:57" outlineLevel="2" x14ac:dyDescent="0.25">
      <c r="A21" s="177" t="s">
        <v>53</v>
      </c>
      <c r="B21" s="178">
        <v>3.95</v>
      </c>
      <c r="C21" s="179" t="s">
        <v>54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233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234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</row>
    <row r="22" spans="1:57" ht="18" outlineLevel="2" x14ac:dyDescent="0.25">
      <c r="A22" s="177" t="s">
        <v>55</v>
      </c>
      <c r="B22" s="180">
        <f>((3.95/2)*0.0254)^2 * PI()</f>
        <v>7.9059034426187096E-3</v>
      </c>
      <c r="C22" s="179" t="s">
        <v>56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233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234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</row>
    <row r="23" spans="1:57" ht="18" outlineLevel="2" x14ac:dyDescent="0.25">
      <c r="A23" s="315" t="s">
        <v>58</v>
      </c>
      <c r="B23" s="316"/>
      <c r="C23" s="317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233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234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</row>
    <row r="24" spans="1:57" outlineLevel="2" x14ac:dyDescent="0.25">
      <c r="A24" s="177" t="s">
        <v>59</v>
      </c>
      <c r="B24" s="181">
        <f>B22*0.8*1000</f>
        <v>6.3247227540949682</v>
      </c>
      <c r="C24" s="179" t="s">
        <v>60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233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234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</row>
    <row r="25" spans="1:57" ht="16.5" customHeight="1" outlineLevel="2" x14ac:dyDescent="0.25">
      <c r="A25" s="177" t="s">
        <v>61</v>
      </c>
      <c r="B25" s="181">
        <v>3.5</v>
      </c>
      <c r="C25" s="179" t="s">
        <v>62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233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234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</row>
    <row r="26" spans="1:57" ht="16.5" customHeight="1" outlineLevel="2" x14ac:dyDescent="0.25">
      <c r="A26" s="315" t="s">
        <v>63</v>
      </c>
      <c r="B26" s="316"/>
      <c r="C26" s="317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233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234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</row>
    <row r="27" spans="1:57" outlineLevel="2" x14ac:dyDescent="0.25">
      <c r="A27" s="177" t="s">
        <v>64</v>
      </c>
      <c r="B27" s="181">
        <v>0.25</v>
      </c>
      <c r="C27" s="179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233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234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82"/>
    </row>
    <row r="28" spans="1:57" ht="16.5" outlineLevel="2" thickBot="1" x14ac:dyDescent="0.3">
      <c r="A28" s="183" t="s">
        <v>65</v>
      </c>
      <c r="B28" s="184" t="s">
        <v>66</v>
      </c>
      <c r="C28" s="185" t="s">
        <v>67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233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234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82"/>
    </row>
    <row r="29" spans="1:57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233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234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82"/>
    </row>
    <row r="30" spans="1:57" ht="16.5" thickBot="1" x14ac:dyDescent="0.3">
      <c r="A30" s="165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233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234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82"/>
    </row>
    <row r="31" spans="1:57" ht="18.75" x14ac:dyDescent="0.3">
      <c r="A31" s="296" t="s">
        <v>68</v>
      </c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3"/>
      <c r="T31" s="23"/>
      <c r="U31" s="233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234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82"/>
    </row>
    <row r="32" spans="1:57" ht="63" x14ac:dyDescent="0.25">
      <c r="A32" s="4" t="s">
        <v>69</v>
      </c>
      <c r="B32" s="5" t="s">
        <v>70</v>
      </c>
      <c r="C32" s="5" t="s">
        <v>71</v>
      </c>
      <c r="D32" s="5" t="s">
        <v>72</v>
      </c>
      <c r="E32" s="5" t="s">
        <v>73</v>
      </c>
      <c r="F32" s="5" t="s">
        <v>74</v>
      </c>
      <c r="G32" s="5" t="s">
        <v>75</v>
      </c>
      <c r="H32" s="5" t="s">
        <v>76</v>
      </c>
      <c r="I32" s="5" t="s">
        <v>77</v>
      </c>
      <c r="J32" s="5" t="s">
        <v>78</v>
      </c>
      <c r="K32" s="5" t="s">
        <v>79</v>
      </c>
      <c r="L32" s="5" t="s">
        <v>80</v>
      </c>
      <c r="M32" s="5" t="s">
        <v>81</v>
      </c>
      <c r="N32" s="5" t="s">
        <v>82</v>
      </c>
      <c r="O32" s="5" t="s">
        <v>83</v>
      </c>
      <c r="P32" s="5" t="s">
        <v>84</v>
      </c>
      <c r="Q32" s="5" t="s">
        <v>85</v>
      </c>
      <c r="R32" s="21" t="s">
        <v>86</v>
      </c>
      <c r="S32" s="24"/>
      <c r="T32" s="24"/>
      <c r="U32" s="233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234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82"/>
    </row>
    <row r="33" spans="1:56" x14ac:dyDescent="0.25">
      <c r="A33" s="30">
        <v>1</v>
      </c>
      <c r="B33" s="31">
        <v>19.5</v>
      </c>
      <c r="C33" s="31">
        <v>3.41</v>
      </c>
      <c r="D33" s="31">
        <v>500.54</v>
      </c>
      <c r="E33" s="187">
        <f t="shared" ref="E33:E38" si="0">(B33*D33*$B$20*C33)/($B$19*$B$27)</f>
        <v>66.566795521893198</v>
      </c>
      <c r="F33" s="33">
        <v>70.28</v>
      </c>
      <c r="G33" s="33">
        <v>1.98</v>
      </c>
      <c r="H33" s="61">
        <f t="shared" ref="H33:H38" si="1">F33-G33</f>
        <v>68.3</v>
      </c>
      <c r="I33" s="8">
        <f t="shared" ref="I33:I38" si="2" xml:space="preserve"> (H33*$B$27*$B$19)/ (D33*$B$20*C33)</f>
        <v>20.007722912874286</v>
      </c>
      <c r="J33" s="31">
        <v>206.78</v>
      </c>
      <c r="K33" s="31">
        <v>409.17</v>
      </c>
      <c r="L33" s="31">
        <v>347.93</v>
      </c>
      <c r="M33" s="31">
        <v>779.21</v>
      </c>
      <c r="N33" s="187">
        <v>100</v>
      </c>
      <c r="O33" s="7">
        <f t="shared" ref="O33:P38" si="3">L33-J33</f>
        <v>141.15</v>
      </c>
      <c r="P33" s="187">
        <f t="shared" si="3"/>
        <v>370.04</v>
      </c>
      <c r="Q33" s="187">
        <f t="shared" ref="Q33:Q38" si="4">((O33+P33)/O33)*(D33/(D33+H33))*C33</f>
        <v>10.866870897645969</v>
      </c>
      <c r="R33" s="189">
        <f t="shared" ref="R33:R38" si="5">$B$24/Q33*100</f>
        <v>58.2018762684027</v>
      </c>
      <c r="S33" s="190"/>
      <c r="T33" s="190"/>
      <c r="U33" s="233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234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</row>
    <row r="34" spans="1:56" x14ac:dyDescent="0.25">
      <c r="A34" s="30">
        <v>2</v>
      </c>
      <c r="B34" s="31">
        <v>23</v>
      </c>
      <c r="C34" s="31">
        <v>3.41</v>
      </c>
      <c r="D34" s="32">
        <v>503.13</v>
      </c>
      <c r="E34" s="187">
        <f t="shared" si="0"/>
        <v>78.92094918118103</v>
      </c>
      <c r="F34" s="34">
        <v>83.55</v>
      </c>
      <c r="G34" s="34">
        <v>2.5</v>
      </c>
      <c r="H34" s="13">
        <f t="shared" si="1"/>
        <v>81.05</v>
      </c>
      <c r="I34" s="8">
        <f t="shared" si="2"/>
        <v>23.620471108633257</v>
      </c>
      <c r="J34" s="32">
        <v>205.82</v>
      </c>
      <c r="K34" s="32">
        <v>408.9</v>
      </c>
      <c r="L34" s="32">
        <v>347.35</v>
      </c>
      <c r="M34" s="32">
        <v>782.64</v>
      </c>
      <c r="N34" s="187">
        <v>100</v>
      </c>
      <c r="O34" s="7">
        <f t="shared" si="3"/>
        <v>141.53000000000003</v>
      </c>
      <c r="P34" s="187">
        <f t="shared" si="3"/>
        <v>373.74</v>
      </c>
      <c r="Q34" s="187">
        <f t="shared" si="4"/>
        <v>10.69237690920226</v>
      </c>
      <c r="R34" s="189">
        <f t="shared" si="5"/>
        <v>59.151700391815368</v>
      </c>
      <c r="S34" s="190"/>
      <c r="T34" s="190"/>
      <c r="U34" s="233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234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</row>
    <row r="35" spans="1:56" x14ac:dyDescent="0.25">
      <c r="A35" s="30">
        <v>3</v>
      </c>
      <c r="B35" s="103">
        <v>26</v>
      </c>
      <c r="C35" s="31">
        <v>3.41</v>
      </c>
      <c r="D35" s="32">
        <v>509.78</v>
      </c>
      <c r="E35" s="187">
        <f t="shared" si="0"/>
        <v>90.394163692946847</v>
      </c>
      <c r="F35" s="34">
        <v>97.51</v>
      </c>
      <c r="G35" s="34">
        <v>2.74</v>
      </c>
      <c r="H35" s="13">
        <f t="shared" si="1"/>
        <v>94.77000000000001</v>
      </c>
      <c r="I35" s="8">
        <f t="shared" si="2"/>
        <v>27.258618248517067</v>
      </c>
      <c r="J35" s="32">
        <v>159.41999999999999</v>
      </c>
      <c r="K35" s="32">
        <v>408.25</v>
      </c>
      <c r="L35" s="32">
        <v>295.74</v>
      </c>
      <c r="M35" s="32">
        <v>827.41</v>
      </c>
      <c r="N35" s="187">
        <v>100</v>
      </c>
      <c r="O35" s="7">
        <f t="shared" si="3"/>
        <v>136.32000000000002</v>
      </c>
      <c r="P35" s="187">
        <f t="shared" si="3"/>
        <v>419.15999999999997</v>
      </c>
      <c r="Q35" s="187">
        <f t="shared" si="4"/>
        <v>11.71692893474485</v>
      </c>
      <c r="R35" s="189">
        <f t="shared" si="5"/>
        <v>53.979355762241774</v>
      </c>
      <c r="S35" s="190"/>
      <c r="T35" s="190"/>
      <c r="U35" s="233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234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</row>
    <row r="36" spans="1:56" x14ac:dyDescent="0.25">
      <c r="A36" s="30">
        <v>4</v>
      </c>
      <c r="B36" s="31">
        <v>28.5</v>
      </c>
      <c r="C36" s="31">
        <v>3.41</v>
      </c>
      <c r="D36" s="32">
        <v>506.6</v>
      </c>
      <c r="E36" s="187">
        <f t="shared" si="0"/>
        <v>98.467813779031076</v>
      </c>
      <c r="F36" s="34">
        <v>103.21</v>
      </c>
      <c r="G36" s="34">
        <v>1.7</v>
      </c>
      <c r="H36" s="13">
        <f t="shared" si="1"/>
        <v>101.50999999999999</v>
      </c>
      <c r="I36" s="8">
        <f t="shared" si="2"/>
        <v>29.38051419007007</v>
      </c>
      <c r="J36" s="32">
        <v>401.84</v>
      </c>
      <c r="K36" s="32">
        <v>359.01</v>
      </c>
      <c r="L36" s="32">
        <v>550.82000000000005</v>
      </c>
      <c r="M36" s="32">
        <v>771.74</v>
      </c>
      <c r="N36" s="187">
        <v>100</v>
      </c>
      <c r="O36" s="7">
        <f t="shared" si="3"/>
        <v>148.98000000000008</v>
      </c>
      <c r="P36" s="187">
        <f t="shared" si="3"/>
        <v>412.73</v>
      </c>
      <c r="Q36" s="187">
        <f t="shared" si="4"/>
        <v>10.710792478050612</v>
      </c>
      <c r="R36" s="189">
        <f t="shared" si="5"/>
        <v>59.049998093568533</v>
      </c>
      <c r="S36" s="190"/>
      <c r="T36" s="190"/>
      <c r="U36" s="233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234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</row>
    <row r="37" spans="1:56" x14ac:dyDescent="0.25">
      <c r="A37" s="30">
        <v>5</v>
      </c>
      <c r="B37" s="31">
        <v>31.5</v>
      </c>
      <c r="C37" s="31">
        <v>3.41</v>
      </c>
      <c r="D37" s="32">
        <v>502.02</v>
      </c>
      <c r="E37" s="187">
        <f t="shared" si="0"/>
        <v>107.84892569039549</v>
      </c>
      <c r="F37" s="34">
        <v>116.12</v>
      </c>
      <c r="G37" s="34">
        <v>4.0199999999999996</v>
      </c>
      <c r="H37" s="13">
        <f t="shared" si="1"/>
        <v>112.10000000000001</v>
      </c>
      <c r="I37" s="8">
        <f t="shared" si="2"/>
        <v>32.741633515543377</v>
      </c>
      <c r="J37" s="32">
        <v>509.78</v>
      </c>
      <c r="K37" s="32">
        <v>399.07</v>
      </c>
      <c r="L37" s="32">
        <v>675.12</v>
      </c>
      <c r="M37" s="32">
        <v>810</v>
      </c>
      <c r="N37" s="187">
        <v>100</v>
      </c>
      <c r="O37" s="7">
        <f t="shared" si="3"/>
        <v>165.34000000000003</v>
      </c>
      <c r="P37" s="187">
        <f t="shared" si="3"/>
        <v>410.93</v>
      </c>
      <c r="Q37" s="187">
        <f t="shared" si="4"/>
        <v>9.7156136212387096</v>
      </c>
      <c r="R37" s="189">
        <f t="shared" si="5"/>
        <v>65.098541385681273</v>
      </c>
      <c r="S37" s="190"/>
      <c r="T37" s="190"/>
      <c r="U37" s="233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234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</row>
    <row r="38" spans="1:56" ht="16.5" thickBot="1" x14ac:dyDescent="0.3">
      <c r="A38" s="94"/>
      <c r="B38" s="95">
        <v>35</v>
      </c>
      <c r="C38" s="95">
        <v>3.41</v>
      </c>
      <c r="D38" s="96">
        <v>500.45</v>
      </c>
      <c r="E38" s="245">
        <f t="shared" si="0"/>
        <v>119.45738076340125</v>
      </c>
      <c r="F38" s="97">
        <v>120.24</v>
      </c>
      <c r="G38" s="97">
        <v>1.1200000000000001</v>
      </c>
      <c r="H38" s="13">
        <f t="shared" si="1"/>
        <v>119.11999999999999</v>
      </c>
      <c r="I38" s="8">
        <f t="shared" si="2"/>
        <v>34.901150296083991</v>
      </c>
      <c r="J38" s="32">
        <v>401.84</v>
      </c>
      <c r="K38" s="32">
        <v>359.01</v>
      </c>
      <c r="L38" s="96">
        <v>558.54</v>
      </c>
      <c r="M38" s="96">
        <v>808.95</v>
      </c>
      <c r="N38" s="187">
        <v>101</v>
      </c>
      <c r="O38" s="7">
        <f t="shared" si="3"/>
        <v>156.69999999999999</v>
      </c>
      <c r="P38" s="187">
        <f t="shared" si="3"/>
        <v>449.94000000000005</v>
      </c>
      <c r="Q38" s="187">
        <f t="shared" si="4"/>
        <v>10.663179949442881</v>
      </c>
      <c r="R38" s="189">
        <f t="shared" si="5"/>
        <v>59.313664254774359</v>
      </c>
      <c r="S38" s="190"/>
      <c r="T38" s="190"/>
      <c r="U38" s="233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234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</row>
    <row r="39" spans="1:56" ht="18.600000000000001" customHeight="1" thickBot="1" x14ac:dyDescent="0.35">
      <c r="A39" s="347" t="s">
        <v>87</v>
      </c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9"/>
      <c r="N39" s="163"/>
      <c r="O39" s="163"/>
      <c r="P39" s="163"/>
      <c r="Q39" s="163"/>
      <c r="R39" s="163">
        <v>0</v>
      </c>
      <c r="S39" s="163"/>
      <c r="T39" s="163"/>
      <c r="U39" s="233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234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</row>
    <row r="40" spans="1:56" ht="16.149999999999999" customHeight="1" thickBot="1" x14ac:dyDescent="0.3">
      <c r="A40" s="5" t="s">
        <v>69</v>
      </c>
      <c r="B40" s="5" t="s">
        <v>88</v>
      </c>
      <c r="C40" s="21" t="s">
        <v>89</v>
      </c>
      <c r="D40" s="350" t="s">
        <v>90</v>
      </c>
      <c r="E40" s="351"/>
      <c r="F40" s="351"/>
      <c r="G40" s="351"/>
      <c r="H40" s="352"/>
      <c r="I40" s="353" t="s">
        <v>91</v>
      </c>
      <c r="J40" s="354"/>
      <c r="K40" s="354"/>
      <c r="L40" s="354"/>
      <c r="M40" s="355"/>
      <c r="N40" s="163"/>
      <c r="O40" s="163"/>
      <c r="P40" s="163"/>
      <c r="Q40" s="163"/>
      <c r="R40" s="163"/>
      <c r="S40" s="163"/>
      <c r="T40" s="163"/>
      <c r="U40" s="233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234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</row>
    <row r="41" spans="1:56" x14ac:dyDescent="0.25">
      <c r="A41" s="193">
        <v>1</v>
      </c>
      <c r="B41" s="194">
        <f>AVERAGE(D41:H41)</f>
        <v>73.233333333333334</v>
      </c>
      <c r="C41" s="195">
        <f>AVERAGE(I41:K41)</f>
        <v>39.533333333333339</v>
      </c>
      <c r="D41" s="229">
        <v>73.599999999999994</v>
      </c>
      <c r="E41" s="196">
        <v>70.2</v>
      </c>
      <c r="F41" s="196">
        <v>75.900000000000006</v>
      </c>
      <c r="G41" s="196"/>
      <c r="H41" s="197"/>
      <c r="I41" s="200">
        <v>39.9</v>
      </c>
      <c r="J41" s="198">
        <v>39</v>
      </c>
      <c r="K41" s="198">
        <v>39.700000000000003</v>
      </c>
      <c r="L41" s="198"/>
      <c r="M41" s="199"/>
      <c r="N41" s="163"/>
      <c r="O41" s="163"/>
      <c r="P41" s="163"/>
      <c r="Q41" s="163"/>
      <c r="R41" s="163"/>
      <c r="S41" s="163"/>
      <c r="T41" s="163"/>
      <c r="U41" s="233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234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</row>
    <row r="42" spans="1:56" ht="16.5" thickBot="1" x14ac:dyDescent="0.3">
      <c r="A42" s="193">
        <v>2</v>
      </c>
      <c r="B42" s="194">
        <f>AVERAGE(D42:F42)</f>
        <v>48</v>
      </c>
      <c r="C42" s="195">
        <f>AVERAGE(J42:K42)</f>
        <v>37.400000000000006</v>
      </c>
      <c r="D42" s="200">
        <v>48.1</v>
      </c>
      <c r="E42" s="198">
        <v>48.7</v>
      </c>
      <c r="F42" s="198">
        <v>47.2</v>
      </c>
      <c r="G42" s="198">
        <v>36.6</v>
      </c>
      <c r="H42" s="199"/>
      <c r="I42" s="200">
        <v>42.2</v>
      </c>
      <c r="J42" s="198">
        <v>38.200000000000003</v>
      </c>
      <c r="K42" s="198">
        <v>36.6</v>
      </c>
      <c r="L42" s="198"/>
      <c r="M42" s="199"/>
      <c r="N42" s="163"/>
      <c r="O42" s="163"/>
      <c r="P42" s="163"/>
      <c r="Q42" s="163"/>
      <c r="R42" s="163"/>
      <c r="S42" s="163"/>
      <c r="T42" s="163"/>
      <c r="U42" s="233"/>
      <c r="V42" s="169"/>
      <c r="W42" s="169"/>
      <c r="X42" s="169"/>
      <c r="Y42" s="169"/>
      <c r="Z42" s="169"/>
      <c r="AA42" s="169"/>
      <c r="AB42" s="169"/>
      <c r="AC42" s="235"/>
      <c r="AD42" s="235"/>
      <c r="AE42" s="235"/>
      <c r="AF42" s="235"/>
      <c r="AG42" s="235"/>
      <c r="AH42" s="235"/>
      <c r="AI42" s="235"/>
      <c r="AJ42" s="235"/>
      <c r="AK42" s="236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</row>
    <row r="43" spans="1:56" ht="34.5" customHeight="1" x14ac:dyDescent="0.25">
      <c r="A43" s="193">
        <v>3</v>
      </c>
      <c r="B43" s="194">
        <f>AVERAGE(D43:F43)</f>
        <v>46.833333333333336</v>
      </c>
      <c r="C43" s="195">
        <f>AVERAGE(J43:K43)</f>
        <v>31.049999999999997</v>
      </c>
      <c r="D43" s="200">
        <v>50.2</v>
      </c>
      <c r="E43" s="198">
        <v>44.7</v>
      </c>
      <c r="F43" s="198">
        <v>45.6</v>
      </c>
      <c r="G43" s="198">
        <v>37.4</v>
      </c>
      <c r="H43" s="199"/>
      <c r="I43" s="200">
        <v>31.3</v>
      </c>
      <c r="J43" s="198">
        <v>31.4</v>
      </c>
      <c r="K43" s="198">
        <v>30.7</v>
      </c>
      <c r="L43" s="198"/>
      <c r="M43" s="199"/>
      <c r="N43" s="163"/>
      <c r="O43" s="163"/>
      <c r="P43" s="163"/>
      <c r="Q43" s="163"/>
      <c r="R43" s="163"/>
      <c r="S43" s="163"/>
      <c r="T43" s="163"/>
      <c r="U43" s="356" t="s">
        <v>307</v>
      </c>
      <c r="V43" s="357"/>
      <c r="W43" s="357"/>
      <c r="X43" s="357"/>
      <c r="Y43" s="357"/>
      <c r="Z43" s="357"/>
      <c r="AA43" s="357"/>
      <c r="AB43" s="358"/>
      <c r="AC43" s="362" t="s">
        <v>308</v>
      </c>
      <c r="AD43" s="363"/>
      <c r="AE43" s="363"/>
      <c r="AF43" s="363"/>
      <c r="AG43" s="363"/>
      <c r="AH43" s="363"/>
      <c r="AI43" s="363"/>
      <c r="AJ43" s="363"/>
      <c r="AK43" s="364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</row>
    <row r="44" spans="1:56" ht="16.149999999999999" customHeight="1" x14ac:dyDescent="0.25">
      <c r="A44" s="193">
        <v>4</v>
      </c>
      <c r="B44" s="194">
        <f>AVERAGE(D44:F44)</f>
        <v>37.733333333333334</v>
      </c>
      <c r="C44" s="195">
        <f>AVERAGE(I44:K44)</f>
        <v>28.400000000000002</v>
      </c>
      <c r="D44" s="200">
        <v>38.4</v>
      </c>
      <c r="E44" s="198">
        <v>38.6</v>
      </c>
      <c r="F44" s="198">
        <v>36.200000000000003</v>
      </c>
      <c r="G44" s="198">
        <v>32.4</v>
      </c>
      <c r="H44" s="199"/>
      <c r="I44" s="200">
        <v>27.1</v>
      </c>
      <c r="J44" s="198">
        <v>28.8</v>
      </c>
      <c r="K44" s="198">
        <v>29.3</v>
      </c>
      <c r="L44" s="198"/>
      <c r="M44" s="199"/>
      <c r="N44" s="163"/>
      <c r="O44" s="163"/>
      <c r="P44" s="163"/>
      <c r="Q44" s="163"/>
      <c r="R44" s="163"/>
      <c r="S44" s="163"/>
      <c r="T44" s="163"/>
      <c r="U44" s="359"/>
      <c r="V44" s="360"/>
      <c r="W44" s="360"/>
      <c r="X44" s="360"/>
      <c r="Y44" s="360"/>
      <c r="Z44" s="360"/>
      <c r="AA44" s="360"/>
      <c r="AB44" s="361"/>
      <c r="AC44" s="359"/>
      <c r="AD44" s="360"/>
      <c r="AE44" s="360"/>
      <c r="AF44" s="360"/>
      <c r="AG44" s="360"/>
      <c r="AH44" s="360"/>
      <c r="AI44" s="360"/>
      <c r="AJ44" s="360"/>
      <c r="AK44" s="361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</row>
    <row r="45" spans="1:56" ht="16.149999999999999" customHeight="1" x14ac:dyDescent="0.25">
      <c r="A45" s="193">
        <v>5</v>
      </c>
      <c r="B45" s="194">
        <f>AVERAGE(D45:F45)</f>
        <v>28.233333333333334</v>
      </c>
      <c r="C45" s="195">
        <f>AVERAGE(I45:M45)</f>
        <v>15.800000000000002</v>
      </c>
      <c r="D45" s="200">
        <v>28.3</v>
      </c>
      <c r="E45" s="198">
        <v>27.3</v>
      </c>
      <c r="F45" s="198">
        <v>29.1</v>
      </c>
      <c r="G45" s="198">
        <v>19.8</v>
      </c>
      <c r="H45" s="199"/>
      <c r="I45" s="200">
        <v>22.1</v>
      </c>
      <c r="J45" s="198">
        <v>12.8</v>
      </c>
      <c r="K45" s="198">
        <v>12.5</v>
      </c>
      <c r="L45" s="198"/>
      <c r="M45" s="199"/>
      <c r="N45" s="163"/>
      <c r="O45" s="163"/>
      <c r="P45" s="163"/>
      <c r="Q45" s="163"/>
      <c r="R45" s="163"/>
      <c r="S45" s="163"/>
      <c r="T45" s="163"/>
      <c r="U45" s="233"/>
      <c r="V45" s="169"/>
      <c r="W45" s="169"/>
      <c r="X45" s="169"/>
      <c r="Y45" s="169"/>
      <c r="Z45" s="169"/>
      <c r="AA45" s="169"/>
      <c r="AB45" s="237"/>
      <c r="AC45" s="169"/>
      <c r="AD45" s="169"/>
      <c r="AE45" s="169"/>
      <c r="AF45" s="169"/>
      <c r="AG45" s="169"/>
      <c r="AH45" s="169"/>
      <c r="AI45" s="169"/>
      <c r="AJ45" s="169"/>
      <c r="AK45" s="238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</row>
    <row r="46" spans="1:56" ht="16.149999999999999" customHeight="1" x14ac:dyDescent="0.25">
      <c r="A46" s="193">
        <v>5</v>
      </c>
      <c r="B46" s="194">
        <f>AVERAGE(D46:F46)</f>
        <v>28.599999999999998</v>
      </c>
      <c r="C46" s="195">
        <f>AVERAGE(I46:M46)</f>
        <v>12</v>
      </c>
      <c r="D46" s="200">
        <v>27.3</v>
      </c>
      <c r="E46" s="198">
        <v>29.7</v>
      </c>
      <c r="F46" s="198">
        <v>28.8</v>
      </c>
      <c r="G46" s="198">
        <v>19.600000000000001</v>
      </c>
      <c r="H46" s="199"/>
      <c r="I46" s="200">
        <v>11.8</v>
      </c>
      <c r="J46" s="198">
        <v>11.7</v>
      </c>
      <c r="K46" s="198">
        <v>12.5</v>
      </c>
      <c r="L46" s="198"/>
      <c r="M46" s="199"/>
      <c r="N46" s="163"/>
      <c r="O46" s="163"/>
      <c r="P46" s="163"/>
      <c r="Q46" s="163"/>
      <c r="R46" s="163"/>
      <c r="S46" s="163"/>
      <c r="T46" s="163"/>
      <c r="U46" s="233"/>
      <c r="V46" s="169"/>
      <c r="W46" s="169"/>
      <c r="X46" s="169"/>
      <c r="Y46" s="169"/>
      <c r="Z46" s="169"/>
      <c r="AA46" s="169"/>
      <c r="AB46" s="237"/>
      <c r="AC46" s="169"/>
      <c r="AD46" s="169"/>
      <c r="AE46" s="169"/>
      <c r="AF46" s="169"/>
      <c r="AG46" s="169"/>
      <c r="AH46" s="169"/>
      <c r="AI46" s="169"/>
      <c r="AJ46" s="169"/>
      <c r="AK46" s="238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</row>
    <row r="47" spans="1:56" ht="16.5" thickBot="1" x14ac:dyDescent="0.3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233"/>
      <c r="V47" s="169"/>
      <c r="W47" s="169"/>
      <c r="X47" s="365" t="s">
        <v>23</v>
      </c>
      <c r="Y47" s="366"/>
      <c r="Z47" s="367"/>
      <c r="AA47" s="169"/>
      <c r="AB47" s="237"/>
      <c r="AC47" s="169"/>
      <c r="AD47" s="169"/>
      <c r="AE47" s="169"/>
      <c r="AF47" s="169"/>
      <c r="AG47" s="169"/>
      <c r="AH47" s="169"/>
      <c r="AI47" s="169"/>
      <c r="AJ47" s="169"/>
      <c r="AK47" s="238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</row>
    <row r="48" spans="1:56" ht="21" customHeight="1" x14ac:dyDescent="0.25">
      <c r="A48" s="291" t="s">
        <v>92</v>
      </c>
      <c r="B48" s="292"/>
      <c r="C48" s="292"/>
      <c r="D48" s="292"/>
      <c r="E48" s="292"/>
      <c r="F48" s="292"/>
      <c r="G48" s="292"/>
      <c r="H48" s="292"/>
      <c r="I48" s="292"/>
      <c r="J48" s="292"/>
      <c r="K48" s="292"/>
      <c r="L48" s="292"/>
      <c r="M48" s="292"/>
      <c r="N48" s="292"/>
      <c r="O48" s="292"/>
      <c r="P48" s="292"/>
      <c r="Q48" s="163"/>
      <c r="R48" s="163"/>
      <c r="S48" s="163"/>
      <c r="T48" s="163"/>
      <c r="U48" s="233"/>
      <c r="V48" s="169"/>
      <c r="W48" s="169"/>
      <c r="X48" s="74"/>
      <c r="Y48" s="74" t="s">
        <v>20</v>
      </c>
      <c r="Z48" s="74" t="s">
        <v>32</v>
      </c>
      <c r="AA48" s="169"/>
      <c r="AB48" s="237"/>
      <c r="AC48" s="169"/>
      <c r="AD48" s="169"/>
      <c r="AE48" s="169"/>
      <c r="AF48" s="169"/>
      <c r="AG48" s="169"/>
      <c r="AH48" s="169"/>
      <c r="AI48" s="169"/>
      <c r="AJ48" s="169"/>
      <c r="AK48" s="238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</row>
    <row r="49" spans="1:57" ht="22.15" customHeight="1" x14ac:dyDescent="0.25">
      <c r="A49" s="4" t="s">
        <v>93</v>
      </c>
      <c r="B49" s="5" t="s">
        <v>94</v>
      </c>
      <c r="C49" s="5" t="s">
        <v>95</v>
      </c>
      <c r="D49" s="5" t="s">
        <v>96</v>
      </c>
      <c r="E49" s="5" t="s">
        <v>97</v>
      </c>
      <c r="F49" s="5" t="s">
        <v>98</v>
      </c>
      <c r="G49" s="5" t="s">
        <v>99</v>
      </c>
      <c r="H49" s="5" t="s">
        <v>100</v>
      </c>
      <c r="I49" s="5" t="s">
        <v>101</v>
      </c>
      <c r="J49" s="5" t="s">
        <v>102</v>
      </c>
      <c r="K49" s="5" t="s">
        <v>103</v>
      </c>
      <c r="L49" s="5" t="s">
        <v>104</v>
      </c>
      <c r="M49" s="5" t="s">
        <v>105</v>
      </c>
      <c r="N49" s="5" t="s">
        <v>106</v>
      </c>
      <c r="O49" s="5" t="s">
        <v>107</v>
      </c>
      <c r="P49" s="6" t="s">
        <v>108</v>
      </c>
      <c r="Q49" s="163"/>
      <c r="R49" s="163"/>
      <c r="S49" s="163"/>
      <c r="T49" s="163"/>
      <c r="U49" s="233"/>
      <c r="V49" s="169"/>
      <c r="W49" s="169"/>
      <c r="X49" s="239" t="s">
        <v>37</v>
      </c>
      <c r="Y49" s="239" t="s">
        <v>38</v>
      </c>
      <c r="Z49" s="239" t="s">
        <v>39</v>
      </c>
      <c r="AA49" s="169"/>
      <c r="AB49" s="237"/>
      <c r="AC49" s="169"/>
      <c r="AD49" s="169"/>
      <c r="AE49" s="169"/>
      <c r="AF49" s="169"/>
      <c r="AG49" s="169"/>
      <c r="AH49" s="169"/>
      <c r="AI49" s="169"/>
      <c r="AJ49" s="169"/>
      <c r="AK49" s="238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82"/>
    </row>
    <row r="50" spans="1:57" ht="21" customHeight="1" x14ac:dyDescent="0.25">
      <c r="A50" s="9">
        <v>1</v>
      </c>
      <c r="B50" s="186">
        <v>1.1037999999999999</v>
      </c>
      <c r="C50" s="186">
        <v>1.1115999999999999</v>
      </c>
      <c r="D50" s="202">
        <v>10</v>
      </c>
      <c r="E50" s="202">
        <v>10</v>
      </c>
      <c r="F50" s="10">
        <v>1.1136999999999999</v>
      </c>
      <c r="G50" s="10">
        <v>1.1225000000000001</v>
      </c>
      <c r="H50" s="202">
        <v>1</v>
      </c>
      <c r="I50" s="11">
        <f t="shared" ref="I50:I56" si="6">(F50-B50)*1000*H50/D50</f>
        <v>0.99000000000000199</v>
      </c>
      <c r="J50" s="11">
        <f t="shared" ref="J50:J55" si="7">(G50-C50)*1000*H50/E50</f>
        <v>1.0900000000000132</v>
      </c>
      <c r="K50" s="12">
        <f t="shared" ref="K50:K56" si="8">AVERAGE(I50:J50)</f>
        <v>1.0400000000000076</v>
      </c>
      <c r="L50" s="198">
        <v>1.1085</v>
      </c>
      <c r="M50" s="198">
        <v>1.1137999999999999</v>
      </c>
      <c r="N50" s="204">
        <f t="shared" ref="N50:N56" si="9">(F50-L50)/E50*1000000</f>
        <v>519.99999999998715</v>
      </c>
      <c r="O50" s="205">
        <f t="shared" ref="O50:O56" si="10">(G50-M50)/E50*1000000</f>
        <v>870.00000000001523</v>
      </c>
      <c r="P50" s="206">
        <f t="shared" ref="P50:P55" si="11">AVERAGE(N50:O50)</f>
        <v>695.00000000000114</v>
      </c>
      <c r="Q50" s="163"/>
      <c r="R50" s="163"/>
      <c r="S50" s="163"/>
      <c r="T50" s="163"/>
      <c r="U50" s="233"/>
      <c r="V50" s="169"/>
      <c r="W50" s="169"/>
      <c r="X50" s="239"/>
      <c r="Y50" s="239" t="s">
        <v>44</v>
      </c>
      <c r="Z50" s="239" t="s">
        <v>309</v>
      </c>
      <c r="AA50" s="169"/>
      <c r="AB50" s="237"/>
      <c r="AC50" s="169"/>
      <c r="AD50" s="169"/>
      <c r="AE50" s="169"/>
      <c r="AF50" s="169"/>
      <c r="AG50" s="169"/>
      <c r="AH50" s="169"/>
      <c r="AI50" s="169"/>
      <c r="AJ50" s="169"/>
      <c r="AK50" s="238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82"/>
    </row>
    <row r="51" spans="1:57" ht="16.5" thickBot="1" x14ac:dyDescent="0.3">
      <c r="A51" s="9">
        <v>2</v>
      </c>
      <c r="B51" s="186">
        <v>1.1345000000000001</v>
      </c>
      <c r="C51" s="191">
        <v>1.1268</v>
      </c>
      <c r="D51" s="202">
        <v>10</v>
      </c>
      <c r="E51" s="202">
        <v>10</v>
      </c>
      <c r="F51" s="10">
        <v>1.1422000000000001</v>
      </c>
      <c r="G51" s="10">
        <v>1.1357999999999999</v>
      </c>
      <c r="H51" s="202">
        <v>1</v>
      </c>
      <c r="I51" s="11">
        <f t="shared" si="6"/>
        <v>0.77000000000000401</v>
      </c>
      <c r="J51" s="11">
        <f t="shared" si="7"/>
        <v>0.8999999999999897</v>
      </c>
      <c r="K51" s="12">
        <f t="shared" si="8"/>
        <v>0.83499999999999686</v>
      </c>
      <c r="L51" s="198">
        <v>1.1359999999999999</v>
      </c>
      <c r="M51" s="198">
        <v>1.1286</v>
      </c>
      <c r="N51" s="204">
        <f t="shared" si="9"/>
        <v>620.00000000002046</v>
      </c>
      <c r="O51" s="205">
        <f t="shared" si="10"/>
        <v>719.99999999998738</v>
      </c>
      <c r="P51" s="206">
        <f t="shared" si="11"/>
        <v>670.00000000000387</v>
      </c>
      <c r="Q51" s="163"/>
      <c r="R51" s="163"/>
      <c r="S51" s="163"/>
      <c r="T51" s="163"/>
      <c r="U51" s="233"/>
      <c r="V51" s="169"/>
      <c r="W51" s="169"/>
      <c r="X51" s="169"/>
      <c r="Y51" s="169"/>
      <c r="Z51" s="169"/>
      <c r="AA51" s="169"/>
      <c r="AB51" s="237"/>
      <c r="AC51" s="169"/>
      <c r="AD51" s="169"/>
      <c r="AE51" s="169"/>
      <c r="AF51" s="169"/>
      <c r="AG51" s="169"/>
      <c r="AH51" s="169"/>
      <c r="AI51" s="169"/>
      <c r="AJ51" s="169"/>
      <c r="AK51" s="238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82"/>
    </row>
    <row r="52" spans="1:57" x14ac:dyDescent="0.25">
      <c r="A52" s="9">
        <v>3</v>
      </c>
      <c r="B52" s="186">
        <v>1.1140000000000001</v>
      </c>
      <c r="C52" s="207">
        <v>1.1224000000000001</v>
      </c>
      <c r="D52" s="202">
        <v>10</v>
      </c>
      <c r="E52" s="202">
        <v>10</v>
      </c>
      <c r="F52" s="10">
        <v>1.1231</v>
      </c>
      <c r="G52" s="10">
        <v>1.1285000000000001</v>
      </c>
      <c r="H52" s="202">
        <v>1</v>
      </c>
      <c r="I52" s="11">
        <f t="shared" si="6"/>
        <v>0.9099999999999886</v>
      </c>
      <c r="J52" s="11">
        <f t="shared" si="7"/>
        <v>0.60999999999999943</v>
      </c>
      <c r="K52" s="12">
        <f t="shared" si="8"/>
        <v>0.75999999999999401</v>
      </c>
      <c r="L52" s="198">
        <v>1.1160000000000001</v>
      </c>
      <c r="M52" s="198">
        <v>1.1233</v>
      </c>
      <c r="N52" s="204">
        <f t="shared" si="9"/>
        <v>709.9999999999884</v>
      </c>
      <c r="O52" s="205">
        <f t="shared" si="10"/>
        <v>520.00000000000944</v>
      </c>
      <c r="P52" s="206">
        <f t="shared" si="11"/>
        <v>614.99999999999886</v>
      </c>
      <c r="Q52" s="163"/>
      <c r="R52" s="163"/>
      <c r="S52" s="163"/>
      <c r="T52" s="163"/>
      <c r="U52" s="233"/>
      <c r="V52" s="344" t="s">
        <v>7</v>
      </c>
      <c r="W52" s="345"/>
      <c r="X52" s="345"/>
      <c r="Y52" s="345"/>
      <c r="Z52" s="346"/>
      <c r="AA52" s="169"/>
      <c r="AB52" s="237"/>
      <c r="AC52" s="169"/>
      <c r="AD52" s="169"/>
      <c r="AE52" s="169"/>
      <c r="AF52" s="169"/>
      <c r="AG52" s="169"/>
      <c r="AH52" s="169"/>
      <c r="AI52" s="169"/>
      <c r="AJ52" s="169"/>
      <c r="AK52" s="238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82"/>
    </row>
    <row r="53" spans="1:57" x14ac:dyDescent="0.25">
      <c r="A53" s="9">
        <v>4</v>
      </c>
      <c r="B53" s="191">
        <v>1.1173999999999999</v>
      </c>
      <c r="C53" s="208">
        <v>1.115</v>
      </c>
      <c r="D53" s="202">
        <v>10</v>
      </c>
      <c r="E53" s="202">
        <v>10</v>
      </c>
      <c r="F53" s="10">
        <v>1.1213</v>
      </c>
      <c r="G53" s="10">
        <v>1.119</v>
      </c>
      <c r="H53" s="202">
        <v>1</v>
      </c>
      <c r="I53" s="11">
        <f t="shared" si="6"/>
        <v>0.39000000000000146</v>
      </c>
      <c r="J53" s="11">
        <f t="shared" si="7"/>
        <v>0.40000000000000036</v>
      </c>
      <c r="K53" s="12">
        <f t="shared" si="8"/>
        <v>0.39500000000000091</v>
      </c>
      <c r="L53" s="198">
        <v>1.1178999999999999</v>
      </c>
      <c r="M53" s="198">
        <v>1.1148</v>
      </c>
      <c r="N53" s="204">
        <f t="shared" si="9"/>
        <v>340.00000000000693</v>
      </c>
      <c r="O53" s="205">
        <f t="shared" si="10"/>
        <v>419.99999999999818</v>
      </c>
      <c r="P53" s="206">
        <f t="shared" si="11"/>
        <v>380.00000000000256</v>
      </c>
      <c r="Q53" s="163"/>
      <c r="R53" s="163"/>
      <c r="S53" s="163"/>
      <c r="T53" s="163"/>
      <c r="U53" s="233"/>
      <c r="V53" s="82"/>
      <c r="W53" s="75"/>
      <c r="X53" s="75"/>
      <c r="Y53" s="76" t="s">
        <v>9</v>
      </c>
      <c r="Z53" s="83"/>
      <c r="AA53" s="169"/>
      <c r="AB53" s="237"/>
      <c r="AC53" s="169"/>
      <c r="AD53" s="169"/>
      <c r="AE53" s="169"/>
      <c r="AF53" s="169"/>
      <c r="AG53" s="169"/>
      <c r="AH53" s="169"/>
      <c r="AI53" s="169"/>
      <c r="AJ53" s="169"/>
      <c r="AK53" s="234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82"/>
    </row>
    <row r="54" spans="1:57" x14ac:dyDescent="0.25">
      <c r="A54" s="9">
        <v>5</v>
      </c>
      <c r="B54" s="191">
        <v>1.1217999999999999</v>
      </c>
      <c r="C54" s="208">
        <v>1.1165</v>
      </c>
      <c r="D54" s="202">
        <v>10</v>
      </c>
      <c r="E54" s="202">
        <v>10</v>
      </c>
      <c r="F54" s="10">
        <v>1.1253</v>
      </c>
      <c r="G54" s="10">
        <v>1.1196999999999999</v>
      </c>
      <c r="H54" s="202">
        <v>1</v>
      </c>
      <c r="I54" s="11">
        <f t="shared" si="6"/>
        <v>0.35000000000000586</v>
      </c>
      <c r="J54" s="11">
        <f t="shared" si="7"/>
        <v>0.31999999999998696</v>
      </c>
      <c r="K54" s="12">
        <f t="shared" si="8"/>
        <v>0.33499999999999641</v>
      </c>
      <c r="L54" s="198">
        <v>1.1216999999999999</v>
      </c>
      <c r="M54" s="198">
        <v>1.1168</v>
      </c>
      <c r="N54" s="204">
        <f t="shared" si="9"/>
        <v>360.00000000000472</v>
      </c>
      <c r="O54" s="205">
        <f t="shared" si="10"/>
        <v>289.99999999999022</v>
      </c>
      <c r="P54" s="206">
        <f t="shared" si="11"/>
        <v>324.9999999999975</v>
      </c>
      <c r="Q54" s="163"/>
      <c r="R54" s="163"/>
      <c r="S54" s="163"/>
      <c r="T54" s="163"/>
      <c r="U54" s="233"/>
      <c r="V54" s="84"/>
      <c r="W54" s="77" t="s">
        <v>14</v>
      </c>
      <c r="X54" s="77" t="s">
        <v>15</v>
      </c>
      <c r="Y54" s="77" t="s">
        <v>16</v>
      </c>
      <c r="Z54" s="85" t="s">
        <v>17</v>
      </c>
      <c r="AA54" s="169"/>
      <c r="AB54" s="237"/>
      <c r="AC54" s="169"/>
      <c r="AD54" s="169"/>
      <c r="AE54" s="169"/>
      <c r="AF54" s="192"/>
      <c r="AG54" s="169"/>
      <c r="AH54" s="169"/>
      <c r="AI54" s="169"/>
      <c r="AJ54" s="169"/>
      <c r="AK54" s="234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82"/>
    </row>
    <row r="55" spans="1:57" x14ac:dyDescent="0.25">
      <c r="A55" s="102">
        <v>6</v>
      </c>
      <c r="B55" s="191">
        <v>1.1181000000000001</v>
      </c>
      <c r="C55" s="208">
        <v>1.1172</v>
      </c>
      <c r="D55" s="202">
        <v>10</v>
      </c>
      <c r="E55" s="202">
        <v>10</v>
      </c>
      <c r="F55" s="101">
        <v>1.1220000000000001</v>
      </c>
      <c r="G55" s="101">
        <v>1.121</v>
      </c>
      <c r="H55" s="202">
        <v>1</v>
      </c>
      <c r="I55" s="11">
        <f t="shared" si="6"/>
        <v>0.39000000000000146</v>
      </c>
      <c r="J55" s="11">
        <f t="shared" si="7"/>
        <v>0.38000000000000256</v>
      </c>
      <c r="K55" s="12">
        <f t="shared" si="8"/>
        <v>0.38500000000000201</v>
      </c>
      <c r="L55" s="246">
        <v>1.1181000000000001</v>
      </c>
      <c r="M55" s="246">
        <v>1.1177999999999999</v>
      </c>
      <c r="N55" s="204">
        <f t="shared" si="9"/>
        <v>390.00000000000148</v>
      </c>
      <c r="O55" s="205">
        <f t="shared" si="10"/>
        <v>320.00000000000921</v>
      </c>
      <c r="P55" s="206">
        <f t="shared" si="11"/>
        <v>355.00000000000534</v>
      </c>
      <c r="Q55" s="163"/>
      <c r="R55" s="163"/>
      <c r="S55" s="163"/>
      <c r="T55" s="163"/>
      <c r="U55" s="233"/>
      <c r="V55" s="84"/>
      <c r="W55" s="77"/>
      <c r="X55" s="77"/>
      <c r="Y55" s="77"/>
      <c r="Z55" s="85"/>
      <c r="AA55" s="169"/>
      <c r="AB55" s="237"/>
      <c r="AC55" s="169"/>
      <c r="AD55" s="169"/>
      <c r="AE55" s="169"/>
      <c r="AF55" s="192"/>
      <c r="AG55" s="169"/>
      <c r="AH55" s="169"/>
      <c r="AI55" s="169"/>
      <c r="AJ55" s="169"/>
      <c r="AK55" s="234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82"/>
    </row>
    <row r="56" spans="1:57" ht="40.5" customHeight="1" thickBot="1" x14ac:dyDescent="0.3">
      <c r="A56" s="210" t="s">
        <v>109</v>
      </c>
      <c r="B56" s="191">
        <v>1.1103000000000001</v>
      </c>
      <c r="C56" s="208">
        <v>1.1087</v>
      </c>
      <c r="D56" s="211">
        <v>10</v>
      </c>
      <c r="E56" s="211">
        <v>10</v>
      </c>
      <c r="F56" s="212">
        <v>1.1169</v>
      </c>
      <c r="G56" s="212">
        <v>1.1153999999999999</v>
      </c>
      <c r="H56" s="202">
        <v>1</v>
      </c>
      <c r="I56" s="11">
        <f t="shared" si="6"/>
        <v>0.65999999999999392</v>
      </c>
      <c r="J56" s="11">
        <f>(G56-C56)*1000*H56/E56</f>
        <v>0.66999999999999282</v>
      </c>
      <c r="K56" s="12">
        <f t="shared" si="8"/>
        <v>0.66499999999999337</v>
      </c>
      <c r="L56" s="247">
        <v>1.111</v>
      </c>
      <c r="M56" s="247">
        <v>1.1096999999999999</v>
      </c>
      <c r="N56" s="184">
        <f t="shared" si="9"/>
        <v>590.00000000000171</v>
      </c>
      <c r="O56" s="205">
        <f t="shared" si="10"/>
        <v>570.00000000000387</v>
      </c>
      <c r="P56" s="206">
        <f>AVERAGE(N56:O56)</f>
        <v>580.00000000000273</v>
      </c>
      <c r="Q56" s="163"/>
      <c r="R56" s="163"/>
      <c r="S56" s="163"/>
      <c r="T56" s="163"/>
      <c r="U56" s="233"/>
      <c r="V56" s="84" t="s">
        <v>20</v>
      </c>
      <c r="W56" s="76" t="s">
        <v>21</v>
      </c>
      <c r="X56" s="78">
        <f>H10</f>
        <v>3.7999407189260097</v>
      </c>
      <c r="Y56" s="79"/>
      <c r="Z56" s="86"/>
      <c r="AA56" s="169"/>
      <c r="AB56" s="237"/>
      <c r="AC56" s="169"/>
      <c r="AD56" s="169"/>
      <c r="AE56" s="169"/>
      <c r="AF56" s="169"/>
      <c r="AG56" s="169"/>
      <c r="AH56" s="169"/>
      <c r="AI56" s="169"/>
      <c r="AJ56" s="169"/>
      <c r="AK56" s="234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</row>
    <row r="57" spans="1:57" ht="34.5" customHeight="1" x14ac:dyDescent="0.25">
      <c r="A57" s="163" t="s">
        <v>110</v>
      </c>
      <c r="B57" s="163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233"/>
      <c r="V57" s="84" t="s">
        <v>26</v>
      </c>
      <c r="W57" s="76" t="s">
        <v>57</v>
      </c>
      <c r="X57" s="80">
        <f>H11</f>
        <v>0.17699999999999999</v>
      </c>
      <c r="Y57" s="80">
        <f>I11</f>
        <v>0.17699999999999999</v>
      </c>
      <c r="Z57" s="87">
        <f>J11</f>
        <v>0.17699999999999999</v>
      </c>
      <c r="AA57" s="169"/>
      <c r="AB57" s="237"/>
      <c r="AC57" s="169"/>
      <c r="AD57" s="169"/>
      <c r="AE57" s="169"/>
      <c r="AF57" s="169"/>
      <c r="AG57" s="169"/>
      <c r="AH57" s="169"/>
      <c r="AI57" s="169"/>
      <c r="AJ57" s="169"/>
      <c r="AK57" s="234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</row>
    <row r="58" spans="1:57" ht="16.5" thickBot="1" x14ac:dyDescent="0.3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233"/>
      <c r="V58" s="84" t="s">
        <v>30</v>
      </c>
      <c r="W58" s="76" t="s">
        <v>31</v>
      </c>
      <c r="X58" s="240">
        <f>H12</f>
        <v>25.953079178885631</v>
      </c>
      <c r="Y58" s="240">
        <f>I12</f>
        <v>32.741633515543377</v>
      </c>
      <c r="Z58" s="240">
        <f>J12</f>
        <v>23.620471108633257</v>
      </c>
      <c r="AA58" s="169"/>
      <c r="AB58" s="237"/>
      <c r="AC58" s="169"/>
      <c r="AD58" s="169"/>
      <c r="AE58" s="169"/>
      <c r="AF58" s="169"/>
      <c r="AG58" s="169"/>
      <c r="AH58" s="169"/>
      <c r="AI58" s="169"/>
      <c r="AJ58" s="169"/>
      <c r="AK58" s="234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</row>
    <row r="59" spans="1:57" x14ac:dyDescent="0.25">
      <c r="A59" s="293" t="s">
        <v>112</v>
      </c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5"/>
      <c r="P59" s="163"/>
      <c r="Q59" s="163"/>
      <c r="R59" s="163"/>
      <c r="S59" s="163"/>
      <c r="T59" s="163"/>
      <c r="U59" s="233"/>
      <c r="V59" s="84" t="s">
        <v>35</v>
      </c>
      <c r="W59" s="76" t="s">
        <v>21</v>
      </c>
      <c r="X59" s="79">
        <f t="shared" ref="X59:Z60" si="12">H13</f>
        <v>28.97188287046578</v>
      </c>
      <c r="Y59" s="81">
        <f t="shared" si="12"/>
        <v>29.734925689014489</v>
      </c>
      <c r="Z59" s="88">
        <f t="shared" si="12"/>
        <v>32.889427083420557</v>
      </c>
      <c r="AA59" s="169"/>
      <c r="AB59" s="237"/>
      <c r="AC59" s="169"/>
      <c r="AD59" s="169"/>
      <c r="AE59" s="169"/>
      <c r="AF59" s="169"/>
      <c r="AG59" s="169"/>
      <c r="AH59" s="169"/>
      <c r="AI59" s="169"/>
      <c r="AJ59" s="169"/>
      <c r="AK59" s="234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</row>
    <row r="60" spans="1:57" ht="16.5" thickBot="1" x14ac:dyDescent="0.3">
      <c r="A60" s="4" t="s">
        <v>93</v>
      </c>
      <c r="B60" s="5" t="s">
        <v>113</v>
      </c>
      <c r="C60" s="5" t="s">
        <v>114</v>
      </c>
      <c r="D60" s="5" t="s">
        <v>115</v>
      </c>
      <c r="E60" s="5" t="s">
        <v>116</v>
      </c>
      <c r="F60" s="5" t="s">
        <v>98</v>
      </c>
      <c r="G60" s="5" t="s">
        <v>99</v>
      </c>
      <c r="H60" s="5" t="s">
        <v>117</v>
      </c>
      <c r="I60" s="5" t="s">
        <v>118</v>
      </c>
      <c r="J60" s="5" t="s">
        <v>119</v>
      </c>
      <c r="K60" s="5" t="s">
        <v>104</v>
      </c>
      <c r="L60" s="5" t="s">
        <v>105</v>
      </c>
      <c r="M60" s="5" t="s">
        <v>120</v>
      </c>
      <c r="N60" s="5" t="s">
        <v>121</v>
      </c>
      <c r="O60" s="6" t="s">
        <v>122</v>
      </c>
      <c r="P60" s="163"/>
      <c r="Q60" s="163"/>
      <c r="R60" s="163"/>
      <c r="S60" s="163"/>
      <c r="T60" s="163"/>
      <c r="U60" s="233"/>
      <c r="V60" s="89" t="s">
        <v>42</v>
      </c>
      <c r="W60" s="90" t="s">
        <v>39</v>
      </c>
      <c r="X60" s="91">
        <f t="shared" si="12"/>
        <v>580.00000000000273</v>
      </c>
      <c r="Y60" s="91">
        <f t="shared" si="12"/>
        <v>334.99999999999642</v>
      </c>
      <c r="Z60" s="92">
        <f t="shared" si="12"/>
        <v>834.99999999999682</v>
      </c>
      <c r="AA60" s="169"/>
      <c r="AB60" s="237"/>
      <c r="AC60" s="169"/>
      <c r="AD60" s="169"/>
      <c r="AE60" s="169"/>
      <c r="AF60" s="169"/>
      <c r="AG60" s="169"/>
      <c r="AH60" s="169"/>
      <c r="AI60" s="169"/>
      <c r="AJ60" s="169"/>
      <c r="AK60" s="234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</row>
    <row r="61" spans="1:57" x14ac:dyDescent="0.25">
      <c r="A61" s="9">
        <v>1</v>
      </c>
      <c r="B61" s="46">
        <v>1.0061</v>
      </c>
      <c r="C61" s="46">
        <v>1.0124</v>
      </c>
      <c r="D61" s="46">
        <v>5.2952000000000004</v>
      </c>
      <c r="E61" s="46">
        <v>5.3098000000000001</v>
      </c>
      <c r="F61" s="47">
        <v>2.2717999999999998</v>
      </c>
      <c r="G61" s="48">
        <v>2.3264999999999998</v>
      </c>
      <c r="H61" s="13">
        <f t="shared" ref="H61:I68" si="13">(F61-B61)*100/(D61-B61)</f>
        <v>29.509687346995864</v>
      </c>
      <c r="I61" s="13">
        <f t="shared" si="13"/>
        <v>30.578954716805505</v>
      </c>
      <c r="J61" s="13">
        <f t="shared" ref="J61:J68" si="14">AVERAGE(H61:I61)</f>
        <v>30.044321031900687</v>
      </c>
      <c r="K61" s="198">
        <v>1.4507000000000001</v>
      </c>
      <c r="L61" s="198">
        <v>1.4722</v>
      </c>
      <c r="M61" s="13">
        <f t="shared" ref="M61:N68" si="15">((F61-K61)/D61)*100</f>
        <v>15.50649644961474</v>
      </c>
      <c r="N61" s="15">
        <f t="shared" si="15"/>
        <v>16.089118234208442</v>
      </c>
      <c r="O61" s="16">
        <f t="shared" ref="O61:O68" si="16">AVERAGE(M61:N61)</f>
        <v>15.797807341911591</v>
      </c>
      <c r="P61" s="163"/>
      <c r="Q61" s="163"/>
      <c r="R61" s="163"/>
      <c r="S61" s="163"/>
      <c r="T61" s="163"/>
      <c r="U61" s="241"/>
      <c r="V61" s="242"/>
      <c r="W61" s="242"/>
      <c r="X61" s="242"/>
      <c r="Y61" s="242"/>
      <c r="Z61" s="242"/>
      <c r="AA61" s="242"/>
      <c r="AB61" s="243"/>
      <c r="AC61" s="242"/>
      <c r="AD61" s="242"/>
      <c r="AE61" s="242"/>
      <c r="AF61" s="242"/>
      <c r="AG61" s="93"/>
      <c r="AH61" s="242"/>
      <c r="AI61" s="242"/>
      <c r="AJ61" s="242"/>
      <c r="AK61" s="244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</row>
    <row r="62" spans="1:57" x14ac:dyDescent="0.25">
      <c r="A62" s="9">
        <v>2</v>
      </c>
      <c r="B62" s="48">
        <v>1.0114000000000001</v>
      </c>
      <c r="C62" s="48">
        <v>1.0056</v>
      </c>
      <c r="D62" s="48">
        <v>5.2580999999999998</v>
      </c>
      <c r="E62" s="48">
        <v>5.1395999999999997</v>
      </c>
      <c r="F62" s="47">
        <v>2.4169999999999998</v>
      </c>
      <c r="G62" s="48">
        <v>2.3565999999999998</v>
      </c>
      <c r="H62" s="13">
        <f t="shared" si="13"/>
        <v>33.098641297948994</v>
      </c>
      <c r="I62" s="13">
        <f t="shared" si="13"/>
        <v>32.680212868892113</v>
      </c>
      <c r="J62" s="13">
        <f t="shared" si="14"/>
        <v>32.889427083420557</v>
      </c>
      <c r="K62" s="14">
        <v>1.5103</v>
      </c>
      <c r="L62" s="14">
        <v>1.4837</v>
      </c>
      <c r="M62" s="13">
        <f t="shared" si="15"/>
        <v>17.243871360377319</v>
      </c>
      <c r="N62" s="15">
        <f t="shared" si="15"/>
        <v>16.983811969803096</v>
      </c>
      <c r="O62" s="16">
        <f t="shared" si="16"/>
        <v>17.113841665090206</v>
      </c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</row>
    <row r="63" spans="1:57" x14ac:dyDescent="0.25">
      <c r="A63" s="9">
        <v>3</v>
      </c>
      <c r="B63" s="48">
        <v>0.98880000000000001</v>
      </c>
      <c r="C63" s="48">
        <v>1.0072000000000001</v>
      </c>
      <c r="D63" s="48">
        <v>5.2674000000000003</v>
      </c>
      <c r="E63" s="48">
        <v>5.4188000000000001</v>
      </c>
      <c r="F63" s="47">
        <v>2.3317000000000001</v>
      </c>
      <c r="G63" s="48">
        <v>2.306</v>
      </c>
      <c r="H63" s="13">
        <f t="shared" si="13"/>
        <v>31.386434815126449</v>
      </c>
      <c r="I63" s="13">
        <f t="shared" si="13"/>
        <v>29.440565781122494</v>
      </c>
      <c r="J63" s="13">
        <f t="shared" si="14"/>
        <v>30.413500298124472</v>
      </c>
      <c r="K63" s="14">
        <v>1.4618</v>
      </c>
      <c r="L63" s="14">
        <v>1.4598</v>
      </c>
      <c r="M63" s="13">
        <f t="shared" si="15"/>
        <v>16.51478908000152</v>
      </c>
      <c r="N63" s="15">
        <f t="shared" si="15"/>
        <v>15.616003543219904</v>
      </c>
      <c r="O63" s="16">
        <f t="shared" si="16"/>
        <v>16.065396311610712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</row>
    <row r="64" spans="1:57" ht="24.6" customHeight="1" x14ac:dyDescent="0.25">
      <c r="A64" s="9">
        <v>4</v>
      </c>
      <c r="B64" s="49">
        <v>1.004</v>
      </c>
      <c r="C64" s="49">
        <v>0.99750000000000005</v>
      </c>
      <c r="D64" s="49">
        <v>5.0895999999999999</v>
      </c>
      <c r="E64" s="49">
        <v>5.3243999999999998</v>
      </c>
      <c r="F64" s="50">
        <v>2.2401</v>
      </c>
      <c r="G64" s="49">
        <v>2.3258000000000001</v>
      </c>
      <c r="H64" s="13">
        <f t="shared" si="13"/>
        <v>30.255042099079699</v>
      </c>
      <c r="I64" s="13">
        <f t="shared" si="13"/>
        <v>30.69865261503617</v>
      </c>
      <c r="J64" s="13">
        <f t="shared" si="14"/>
        <v>30.476847357057935</v>
      </c>
      <c r="K64" s="14">
        <v>1.4349000000000001</v>
      </c>
      <c r="L64" s="14">
        <v>1.4601999999999999</v>
      </c>
      <c r="M64" s="13">
        <f t="shared" si="15"/>
        <v>15.82049669915121</v>
      </c>
      <c r="N64" s="15">
        <f t="shared" si="15"/>
        <v>16.257230861693341</v>
      </c>
      <c r="O64" s="16">
        <f t="shared" si="16"/>
        <v>16.038863780422275</v>
      </c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</row>
    <row r="65" spans="1:57" x14ac:dyDescent="0.25">
      <c r="A65" s="9">
        <v>5</v>
      </c>
      <c r="B65" s="49">
        <v>1.0014000000000001</v>
      </c>
      <c r="C65" s="49">
        <v>0.99550000000000005</v>
      </c>
      <c r="D65" s="49">
        <v>5.0068000000000001</v>
      </c>
      <c r="E65" s="49">
        <v>5.5061999999999998</v>
      </c>
      <c r="F65" s="50">
        <v>2.2412000000000001</v>
      </c>
      <c r="G65" s="49">
        <v>2.2818000000000001</v>
      </c>
      <c r="H65" s="13">
        <f t="shared" si="13"/>
        <v>30.953213162230991</v>
      </c>
      <c r="I65" s="13">
        <f t="shared" si="13"/>
        <v>28.51663821579799</v>
      </c>
      <c r="J65" s="13">
        <f t="shared" si="14"/>
        <v>29.734925689014489</v>
      </c>
      <c r="K65" s="14">
        <v>1.4295</v>
      </c>
      <c r="L65" s="14">
        <v>1.44</v>
      </c>
      <c r="M65" s="13">
        <f t="shared" si="15"/>
        <v>16.211951745625949</v>
      </c>
      <c r="N65" s="15">
        <f t="shared" si="15"/>
        <v>15.288220551378448</v>
      </c>
      <c r="O65" s="16">
        <f t="shared" si="16"/>
        <v>15.750086148502199</v>
      </c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</row>
    <row r="66" spans="1:57" x14ac:dyDescent="0.25">
      <c r="A66" s="9">
        <v>6</v>
      </c>
      <c r="B66" s="49">
        <v>1.0062</v>
      </c>
      <c r="C66" s="49">
        <v>0.996</v>
      </c>
      <c r="D66" s="49">
        <v>5.0685000000000002</v>
      </c>
      <c r="E66" s="49">
        <v>5.1948999999999996</v>
      </c>
      <c r="F66" s="50">
        <v>2.2471000000000001</v>
      </c>
      <c r="G66" s="49">
        <v>2.226</v>
      </c>
      <c r="H66" s="13">
        <f t="shared" si="13"/>
        <v>30.546734608473034</v>
      </c>
      <c r="I66" s="13">
        <f t="shared" si="13"/>
        <v>29.293386363095095</v>
      </c>
      <c r="J66" s="13">
        <f t="shared" si="14"/>
        <v>29.920060485784063</v>
      </c>
      <c r="K66" s="14">
        <v>1.4378</v>
      </c>
      <c r="L66" s="14">
        <v>1.4217</v>
      </c>
      <c r="M66" s="13">
        <f t="shared" si="15"/>
        <v>15.967248692907173</v>
      </c>
      <c r="N66" s="15">
        <f t="shared" si="15"/>
        <v>15.482492444512888</v>
      </c>
      <c r="O66" s="16">
        <f t="shared" si="16"/>
        <v>15.724870568710031</v>
      </c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</row>
    <row r="67" spans="1:57" x14ac:dyDescent="0.25">
      <c r="A67" s="215" t="s">
        <v>123</v>
      </c>
      <c r="B67" s="49">
        <v>1.0041</v>
      </c>
      <c r="C67" s="49">
        <v>0.99280000000000002</v>
      </c>
      <c r="D67" s="49">
        <v>5.3082000000000003</v>
      </c>
      <c r="E67" s="49">
        <v>5.1555</v>
      </c>
      <c r="F67" s="49">
        <v>2.2970000000000002</v>
      </c>
      <c r="G67" s="49">
        <v>2.1543999999999999</v>
      </c>
      <c r="H67" s="13">
        <f t="shared" si="13"/>
        <v>30.038800213749685</v>
      </c>
      <c r="I67" s="13">
        <f t="shared" si="13"/>
        <v>27.904965527181876</v>
      </c>
      <c r="J67" s="13">
        <f t="shared" si="14"/>
        <v>28.97188287046578</v>
      </c>
      <c r="K67" s="14">
        <v>1.4430000000000001</v>
      </c>
      <c r="L67" s="14">
        <v>1.3900999999999999</v>
      </c>
      <c r="M67" s="13">
        <f t="shared" si="15"/>
        <v>16.088316190045589</v>
      </c>
      <c r="N67" s="15">
        <f t="shared" si="15"/>
        <v>14.82494423431287</v>
      </c>
      <c r="O67" s="16">
        <f t="shared" si="16"/>
        <v>15.456630212179229</v>
      </c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</row>
    <row r="68" spans="1:57" ht="16.5" thickBot="1" x14ac:dyDescent="0.3">
      <c r="A68" s="210" t="s">
        <v>124</v>
      </c>
      <c r="B68" s="51">
        <v>1.0059</v>
      </c>
      <c r="C68" s="51">
        <v>0.9798</v>
      </c>
      <c r="D68" s="51">
        <v>5.0523999999999996</v>
      </c>
      <c r="E68" s="51">
        <v>5.1096000000000004</v>
      </c>
      <c r="F68" s="51">
        <v>1.1594</v>
      </c>
      <c r="G68" s="51">
        <v>1.137</v>
      </c>
      <c r="H68" s="13">
        <f>(F68-B68)*100/(D68-B68)</f>
        <v>3.7934017051773132</v>
      </c>
      <c r="I68" s="13">
        <f t="shared" si="13"/>
        <v>3.8064797326747057</v>
      </c>
      <c r="J68" s="13">
        <f t="shared" si="14"/>
        <v>3.7999407189260097</v>
      </c>
      <c r="K68" s="18">
        <v>1.0616000000000001</v>
      </c>
      <c r="L68" s="18">
        <v>1.0412999999999999</v>
      </c>
      <c r="M68" s="17">
        <f t="shared" si="15"/>
        <v>1.9357137202121744</v>
      </c>
      <c r="N68" s="19">
        <f t="shared" si="15"/>
        <v>1.8729450446218903</v>
      </c>
      <c r="O68" s="20">
        <f t="shared" si="16"/>
        <v>1.9043293824170324</v>
      </c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</row>
    <row r="70" spans="1:57" s="25" customFormat="1" ht="99" customHeight="1" x14ac:dyDescent="0.25">
      <c r="A70" s="58" t="s">
        <v>77</v>
      </c>
      <c r="B70" s="59" t="s">
        <v>125</v>
      </c>
      <c r="C70" s="59" t="s">
        <v>126</v>
      </c>
      <c r="D70" s="53" t="s">
        <v>127</v>
      </c>
      <c r="E70" s="60" t="s">
        <v>128</v>
      </c>
      <c r="F70" s="52" t="s">
        <v>129</v>
      </c>
      <c r="G70" s="55" t="s">
        <v>130</v>
      </c>
      <c r="H70" s="53" t="s">
        <v>131</v>
      </c>
      <c r="I70" s="218" t="s">
        <v>132</v>
      </c>
      <c r="J70" s="104" t="s">
        <v>133</v>
      </c>
      <c r="K70" s="104" t="s">
        <v>134</v>
      </c>
      <c r="L70" s="104" t="s">
        <v>135</v>
      </c>
      <c r="M70" s="105" t="s">
        <v>133</v>
      </c>
      <c r="N70" s="105" t="s">
        <v>134</v>
      </c>
      <c r="O70" s="105" t="s">
        <v>135</v>
      </c>
      <c r="P70" s="105" t="s">
        <v>136</v>
      </c>
      <c r="Q70" s="106" t="s">
        <v>137</v>
      </c>
      <c r="R70" s="107" t="s">
        <v>129</v>
      </c>
      <c r="S70" s="108" t="s">
        <v>130</v>
      </c>
      <c r="T70" s="109" t="s">
        <v>131</v>
      </c>
      <c r="U70" s="108" t="s">
        <v>132</v>
      </c>
      <c r="V70" s="109" t="s">
        <v>133</v>
      </c>
      <c r="W70" s="109" t="s">
        <v>134</v>
      </c>
      <c r="X70" s="109" t="s">
        <v>135</v>
      </c>
      <c r="Y70" s="110" t="s">
        <v>133</v>
      </c>
      <c r="Z70" s="110" t="s">
        <v>134</v>
      </c>
      <c r="AA70" s="110" t="s">
        <v>135</v>
      </c>
      <c r="AB70" s="111" t="s">
        <v>310</v>
      </c>
      <c r="AC70" s="52" t="s">
        <v>129</v>
      </c>
      <c r="AD70" s="55" t="s">
        <v>130</v>
      </c>
      <c r="AE70" s="53" t="s">
        <v>131</v>
      </c>
      <c r="AF70" s="55" t="s">
        <v>132</v>
      </c>
      <c r="AG70" s="53" t="s">
        <v>138</v>
      </c>
      <c r="AH70" s="53" t="s">
        <v>139</v>
      </c>
      <c r="AI70" s="53" t="s">
        <v>140</v>
      </c>
      <c r="AJ70" s="53" t="s">
        <v>141</v>
      </c>
      <c r="AK70" s="53" t="s">
        <v>142</v>
      </c>
      <c r="AL70" s="53" t="s">
        <v>143</v>
      </c>
      <c r="AM70" s="53" t="s">
        <v>144</v>
      </c>
      <c r="AN70" s="56" t="s">
        <v>138</v>
      </c>
      <c r="AO70" s="56" t="s">
        <v>139</v>
      </c>
      <c r="AP70" s="57" t="s">
        <v>140</v>
      </c>
      <c r="AQ70" s="56" t="s">
        <v>145</v>
      </c>
      <c r="AR70" s="54" t="s">
        <v>146</v>
      </c>
      <c r="AS70" s="52" t="s">
        <v>147</v>
      </c>
      <c r="AT70" s="53" t="s">
        <v>148</v>
      </c>
      <c r="AU70" s="53" t="s">
        <v>149</v>
      </c>
      <c r="AV70" s="53" t="s">
        <v>150</v>
      </c>
      <c r="AW70" s="54"/>
    </row>
    <row r="71" spans="1:57" s="35" customFormat="1" x14ac:dyDescent="0.25">
      <c r="A71" s="220">
        <f t="shared" ref="A71:A76" si="17">I33</f>
        <v>20.007722912874286</v>
      </c>
      <c r="B71" s="218">
        <f t="shared" ref="B71:B76" si="18">C41</f>
        <v>39.533333333333339</v>
      </c>
      <c r="C71" s="218">
        <f t="shared" ref="C71:C76" si="19">B41</f>
        <v>73.233333333333334</v>
      </c>
      <c r="D71" s="218">
        <f t="shared" ref="D71:D76" si="20">J61</f>
        <v>30.044321031900687</v>
      </c>
      <c r="E71" s="219">
        <f t="shared" ref="E71:E76" si="21">K50*1000</f>
        <v>1040.0000000000075</v>
      </c>
      <c r="F71" s="220">
        <f>AVERAGE(B71)</f>
        <v>39.533333333333339</v>
      </c>
      <c r="G71" s="218">
        <f>F71-B71</f>
        <v>0</v>
      </c>
      <c r="H71" s="218">
        <v>20</v>
      </c>
      <c r="I71" s="218">
        <f>IF(AND(G71&gt;H71,G72&gt;H72),1,2)</f>
        <v>2</v>
      </c>
      <c r="J71" s="216">
        <f>INDEX(A71:A76,MATCH(1,I71:I76,0))</f>
        <v>34.901150296083991</v>
      </c>
      <c r="K71" s="216">
        <f>INDEX(D71:D76,MATCH(1,I71:I76,0))</f>
        <v>29.920060485784063</v>
      </c>
      <c r="L71" s="216">
        <f>INDEX(E71:E76,MATCH(1,I71:I76,0))</f>
        <v>385.00000000000199</v>
      </c>
      <c r="M71" s="216">
        <f>J71</f>
        <v>34.901150296083991</v>
      </c>
      <c r="N71" s="216">
        <f>K71</f>
        <v>29.920060485784063</v>
      </c>
      <c r="O71" s="216">
        <f>L71</f>
        <v>385.00000000000199</v>
      </c>
      <c r="P71" s="216"/>
      <c r="Q71" s="221"/>
      <c r="R71" s="222">
        <f>AVERAGE(C71)</f>
        <v>73.233333333333334</v>
      </c>
      <c r="S71" s="223">
        <f>R71-C71</f>
        <v>0</v>
      </c>
      <c r="T71" s="223">
        <v>20</v>
      </c>
      <c r="U71" s="223">
        <f>IF(AND(S71&gt;T71,S72&gt;T72),1,2)</f>
        <v>2</v>
      </c>
      <c r="V71" s="223">
        <f>INDEX(A71:A75,MATCH(1,U71:U76,0))</f>
        <v>32.741633515543377</v>
      </c>
      <c r="W71" s="223">
        <f>INDEX(D71:D76,MATCH(1,U71:U76,0))</f>
        <v>29.734925689014489</v>
      </c>
      <c r="X71" s="223">
        <f>INDEX(E71:E75,MATCH(1,U71:U75,0))</f>
        <v>334.99999999999642</v>
      </c>
      <c r="Y71" s="223">
        <f>V71</f>
        <v>32.741633515543377</v>
      </c>
      <c r="Z71" s="223">
        <f>W71</f>
        <v>29.734925689014489</v>
      </c>
      <c r="AA71" s="223">
        <f>X71</f>
        <v>334.99999999999642</v>
      </c>
      <c r="AB71" s="227"/>
      <c r="AC71" s="220">
        <f>AVERAGE(D71)</f>
        <v>30.044321031900687</v>
      </c>
      <c r="AD71" s="218">
        <f>AC71-D71</f>
        <v>0</v>
      </c>
      <c r="AE71" s="218">
        <v>20</v>
      </c>
      <c r="AF71" s="218">
        <f>IF(AND(AD71&gt;AE71,AD72&gt;AE72),1,2)</f>
        <v>2</v>
      </c>
      <c r="AG71" s="218">
        <f>A72</f>
        <v>23.620471108633257</v>
      </c>
      <c r="AH71" s="218" t="e">
        <f>INDEX(D71:D75,MATCH(1,AF71:AF76,0))</f>
        <v>#N/A</v>
      </c>
      <c r="AI71" s="218" t="e">
        <f>INDEX(E71:E75,MATCH(1,AF71:AF75,0))</f>
        <v>#N/A</v>
      </c>
      <c r="AJ71" s="218">
        <v>812</v>
      </c>
      <c r="AK71" s="224" t="e">
        <f>IF(AND(ISNUMBER(AG71), AG71&lt;AJ71), AI71,"")</f>
        <v>#N/A</v>
      </c>
      <c r="AL71" s="218"/>
      <c r="AM71" s="218" t="e">
        <f>IF((AJ71&gt;AK71),1,2)</f>
        <v>#N/A</v>
      </c>
      <c r="AN71" s="218">
        <f>A72</f>
        <v>23.620471108633257</v>
      </c>
      <c r="AO71" s="218">
        <f>D72</f>
        <v>32.889427083420557</v>
      </c>
      <c r="AP71" s="218">
        <f>E72</f>
        <v>834.99999999999682</v>
      </c>
      <c r="AQ71" s="218" t="s">
        <v>311</v>
      </c>
      <c r="AR71" s="219"/>
      <c r="AS71" s="220">
        <f>D15</f>
        <v>25.953079178885631</v>
      </c>
      <c r="AT71" s="218">
        <f>J67</f>
        <v>28.97188287046578</v>
      </c>
      <c r="AU71" s="218">
        <f>P56</f>
        <v>580.00000000000273</v>
      </c>
      <c r="AV71" s="218">
        <f>J68</f>
        <v>3.7999407189260097</v>
      </c>
      <c r="AW71" s="219"/>
      <c r="AX71" s="225"/>
      <c r="AY71" s="225"/>
      <c r="AZ71" s="225"/>
      <c r="BA71" s="225"/>
      <c r="BB71" s="225"/>
      <c r="BC71" s="225"/>
      <c r="BD71" s="225"/>
      <c r="BE71" s="225"/>
    </row>
    <row r="72" spans="1:57" s="35" customFormat="1" x14ac:dyDescent="0.25">
      <c r="A72" s="220">
        <f t="shared" si="17"/>
        <v>23.620471108633257</v>
      </c>
      <c r="B72" s="218">
        <f t="shared" si="18"/>
        <v>37.400000000000006</v>
      </c>
      <c r="C72" s="218">
        <f t="shared" si="19"/>
        <v>48</v>
      </c>
      <c r="D72" s="218">
        <f t="shared" si="20"/>
        <v>32.889427083420557</v>
      </c>
      <c r="E72" s="219">
        <f t="shared" si="21"/>
        <v>834.99999999999682</v>
      </c>
      <c r="F72" s="220">
        <f>AVERAGE(B71:B72)</f>
        <v>38.466666666666669</v>
      </c>
      <c r="G72" s="218">
        <f>(F71-B72)*100/F71</f>
        <v>5.3962900505902169</v>
      </c>
      <c r="H72" s="218">
        <v>20</v>
      </c>
      <c r="I72" s="218">
        <f>IF(AND(G71&gt;H71,G72&gt;H72,G73&lt;H73),1,2)</f>
        <v>2</v>
      </c>
      <c r="J72" s="216"/>
      <c r="K72" s="216"/>
      <c r="L72" s="216"/>
      <c r="M72" s="226"/>
      <c r="N72" s="216"/>
      <c r="O72" s="216"/>
      <c r="P72" s="216"/>
      <c r="Q72" s="221"/>
      <c r="R72" s="222">
        <f>AVERAGE(C71:C72)</f>
        <v>60.616666666666667</v>
      </c>
      <c r="S72" s="223">
        <f>(R71-C72)*100/R71</f>
        <v>34.45607646791079</v>
      </c>
      <c r="T72" s="223">
        <v>20</v>
      </c>
      <c r="U72" s="223">
        <f>IF(AND(S71&gt;T71,S72&gt;T72,S73&lt;T73),1,2)</f>
        <v>2</v>
      </c>
      <c r="V72" s="223"/>
      <c r="W72" s="223"/>
      <c r="X72" s="223"/>
      <c r="Y72" s="223"/>
      <c r="Z72" s="223"/>
      <c r="AA72" s="223"/>
      <c r="AB72" s="227"/>
      <c r="AC72" s="220">
        <f>AVERAGE(D71:D72)</f>
        <v>31.466874057660622</v>
      </c>
      <c r="AD72" s="218">
        <f>(AC71-D72)*100/AC71</f>
        <v>-9.4696966142086296</v>
      </c>
      <c r="AE72" s="218">
        <v>20</v>
      </c>
      <c r="AF72" s="218">
        <f>IF(AND(AD71&gt;AE71,AD72&gt;AE72,AD73&lt;AE73),1,2)</f>
        <v>2</v>
      </c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9"/>
      <c r="AS72" s="220"/>
      <c r="AT72" s="218"/>
      <c r="AU72" s="218"/>
      <c r="AV72" s="218"/>
      <c r="AW72" s="219"/>
      <c r="AX72" s="225"/>
      <c r="AY72" s="225"/>
      <c r="AZ72" s="225"/>
      <c r="BA72" s="225"/>
      <c r="BB72" s="225"/>
      <c r="BC72" s="225"/>
      <c r="BD72" s="225"/>
      <c r="BE72" s="225"/>
    </row>
    <row r="73" spans="1:57" s="35" customFormat="1" x14ac:dyDescent="0.25">
      <c r="A73" s="220">
        <f t="shared" si="17"/>
        <v>27.258618248517067</v>
      </c>
      <c r="B73" s="218">
        <f t="shared" si="18"/>
        <v>31.049999999999997</v>
      </c>
      <c r="C73" s="218">
        <f t="shared" si="19"/>
        <v>46.833333333333336</v>
      </c>
      <c r="D73" s="218">
        <f t="shared" si="20"/>
        <v>30.413500298124472</v>
      </c>
      <c r="E73" s="219">
        <f t="shared" si="21"/>
        <v>759.99999999999397</v>
      </c>
      <c r="F73" s="220">
        <f>AVERAGE(B72:B73)</f>
        <v>34.225000000000001</v>
      </c>
      <c r="G73" s="218">
        <f>(F72-B73)*100/F72</f>
        <v>19.280762564991349</v>
      </c>
      <c r="H73" s="218">
        <v>20</v>
      </c>
      <c r="I73" s="218">
        <f>IF(AND(G72&gt;H72,G73&gt;H73,G74&lt;H74),1,2)</f>
        <v>2</v>
      </c>
      <c r="J73" s="216"/>
      <c r="K73" s="216"/>
      <c r="L73" s="216"/>
      <c r="M73" s="216"/>
      <c r="N73" s="216"/>
      <c r="O73" s="216"/>
      <c r="P73" s="216"/>
      <c r="Q73" s="221"/>
      <c r="R73" s="222">
        <f>AVERAGE(C72:C73)</f>
        <v>47.416666666666671</v>
      </c>
      <c r="S73" s="223">
        <f>(R72-C73)*100/R72</f>
        <v>22.738520758867192</v>
      </c>
      <c r="T73" s="223">
        <v>20</v>
      </c>
      <c r="U73" s="223">
        <f>IF(AND(S72&gt;T72,S73&gt;T73,S74&lt;T74),1,2)</f>
        <v>2</v>
      </c>
      <c r="V73" s="223"/>
      <c r="W73" s="223"/>
      <c r="X73" s="223"/>
      <c r="Y73" s="223"/>
      <c r="Z73" s="223"/>
      <c r="AA73" s="223"/>
      <c r="AB73" s="227"/>
      <c r="AC73" s="220">
        <f>AVERAGE(D72:D73)</f>
        <v>31.651463690772516</v>
      </c>
      <c r="AD73" s="218">
        <f>(AC72-D73)*100/AC72</f>
        <v>3.3475640370439206</v>
      </c>
      <c r="AE73" s="218">
        <v>20</v>
      </c>
      <c r="AF73" s="218">
        <f>IF(AND(AD72&gt;AE72,AD73&gt;AE73,AD74&lt;AE74),1,2)</f>
        <v>2</v>
      </c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9"/>
      <c r="AS73" s="220"/>
      <c r="AT73" s="218"/>
      <c r="AU73" s="218"/>
      <c r="AV73" s="218"/>
      <c r="AW73" s="219"/>
      <c r="AX73" s="225"/>
      <c r="AY73" s="225"/>
      <c r="AZ73" s="225"/>
      <c r="BA73" s="225"/>
      <c r="BB73" s="225"/>
      <c r="BC73" s="225"/>
      <c r="BD73" s="225"/>
      <c r="BE73" s="225"/>
    </row>
    <row r="74" spans="1:57" s="35" customFormat="1" x14ac:dyDescent="0.25">
      <c r="A74" s="220">
        <f t="shared" si="17"/>
        <v>29.38051419007007</v>
      </c>
      <c r="B74" s="218">
        <f t="shared" si="18"/>
        <v>28.400000000000002</v>
      </c>
      <c r="C74" s="218">
        <f t="shared" si="19"/>
        <v>37.733333333333334</v>
      </c>
      <c r="D74" s="218">
        <f t="shared" si="20"/>
        <v>30.476847357057935</v>
      </c>
      <c r="E74" s="219">
        <f t="shared" si="21"/>
        <v>395.00000000000091</v>
      </c>
      <c r="F74" s="220">
        <f>AVERAGE(B73:B74)</f>
        <v>29.725000000000001</v>
      </c>
      <c r="G74" s="218">
        <f>(F73-B74)*100/F73</f>
        <v>17.019722425127828</v>
      </c>
      <c r="H74" s="218">
        <v>20</v>
      </c>
      <c r="I74" s="218">
        <f>IF(AND(G73&gt;H73,G74&gt;H74,G75&lt;H75),1,2)</f>
        <v>2</v>
      </c>
      <c r="J74" s="216"/>
      <c r="K74" s="216"/>
      <c r="L74" s="216"/>
      <c r="M74" s="216"/>
      <c r="N74" s="216"/>
      <c r="O74" s="216"/>
      <c r="P74" s="216"/>
      <c r="Q74" s="221"/>
      <c r="R74" s="222">
        <f>AVERAGE(C73:C74)</f>
        <v>42.283333333333331</v>
      </c>
      <c r="S74" s="223">
        <f>(R73-C74)*100/R73</f>
        <v>20.42179261862918</v>
      </c>
      <c r="T74" s="223">
        <v>20</v>
      </c>
      <c r="U74" s="223">
        <f>IF(AND(S73&gt;T73,S74&gt;T74,S75&lt;T75),1,2)</f>
        <v>2</v>
      </c>
      <c r="V74" s="223"/>
      <c r="W74" s="223"/>
      <c r="X74" s="223"/>
      <c r="Y74" s="223"/>
      <c r="Z74" s="223"/>
      <c r="AA74" s="223"/>
      <c r="AB74" s="227"/>
      <c r="AC74" s="220">
        <f>AVERAGE(D73:D74)</f>
        <v>30.445173827591205</v>
      </c>
      <c r="AD74" s="218">
        <f>(AC73-D74)*100/AC73</f>
        <v>3.711096413076854</v>
      </c>
      <c r="AE74" s="218">
        <v>20</v>
      </c>
      <c r="AF74" s="218">
        <f>IF(AND(AD73&gt;AE73,AD74&gt;AE74,AD75&lt;AE75),1,2)</f>
        <v>2</v>
      </c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9"/>
      <c r="AS74" s="220"/>
      <c r="AT74" s="218"/>
      <c r="AU74" s="218"/>
      <c r="AV74" s="218"/>
      <c r="AW74" s="219"/>
      <c r="AX74" s="225"/>
      <c r="AY74" s="225"/>
      <c r="AZ74" s="225"/>
      <c r="BA74" s="225"/>
      <c r="BB74" s="225"/>
      <c r="BC74" s="225"/>
      <c r="BD74" s="225"/>
      <c r="BE74" s="225"/>
    </row>
    <row r="75" spans="1:57" s="35" customFormat="1" x14ac:dyDescent="0.25">
      <c r="A75" s="220">
        <f t="shared" si="17"/>
        <v>32.741633515543377</v>
      </c>
      <c r="B75" s="218">
        <f t="shared" si="18"/>
        <v>15.800000000000002</v>
      </c>
      <c r="C75" s="218">
        <f t="shared" si="19"/>
        <v>28.233333333333334</v>
      </c>
      <c r="D75" s="218">
        <f t="shared" si="20"/>
        <v>29.734925689014489</v>
      </c>
      <c r="E75" s="219">
        <f t="shared" si="21"/>
        <v>334.99999999999642</v>
      </c>
      <c r="F75" s="220">
        <f>AVERAGE(B74:B75)</f>
        <v>22.1</v>
      </c>
      <c r="G75" s="218">
        <f>(F74-B75)*100/F74</f>
        <v>46.846089150546675</v>
      </c>
      <c r="H75" s="218">
        <v>20</v>
      </c>
      <c r="I75" s="218">
        <f>IF(AND(G74&gt;H74,G75&gt;H75,G76&lt;H76),1,2)</f>
        <v>2</v>
      </c>
      <c r="J75" s="216"/>
      <c r="K75" s="216"/>
      <c r="L75" s="216"/>
      <c r="M75" s="216"/>
      <c r="N75" s="216"/>
      <c r="O75" s="216"/>
      <c r="P75" s="216"/>
      <c r="Q75" s="221"/>
      <c r="R75" s="222">
        <f>AVERAGE(C74:C75)</f>
        <v>32.983333333333334</v>
      </c>
      <c r="S75" s="223">
        <f>(R74-C75)*100/R74</f>
        <v>33.22822230981474</v>
      </c>
      <c r="T75" s="223">
        <v>20</v>
      </c>
      <c r="U75" s="223">
        <f>IF(AND(S74&gt;T74,S75&gt;T75,S76&lt;T76),1,2)</f>
        <v>1</v>
      </c>
      <c r="V75" s="223"/>
      <c r="W75" s="223"/>
      <c r="X75" s="223"/>
      <c r="Y75" s="223"/>
      <c r="Z75" s="223"/>
      <c r="AA75" s="223"/>
      <c r="AB75" s="227"/>
      <c r="AC75" s="220">
        <f>AVERAGE(D74:D75)</f>
        <v>30.105886523036212</v>
      </c>
      <c r="AD75" s="218">
        <f>(AC74-D75)*100/AC74</f>
        <v>2.3328759513701569</v>
      </c>
      <c r="AE75" s="218">
        <v>20</v>
      </c>
      <c r="AF75" s="218">
        <f>IF(AND(AD74&gt;AE74,AD75&gt;AE75,AD76&lt;AE76),1,2)</f>
        <v>2</v>
      </c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9"/>
      <c r="AS75" s="220"/>
      <c r="AT75" s="218"/>
      <c r="AU75" s="218"/>
      <c r="AV75" s="218"/>
      <c r="AW75" s="219"/>
      <c r="AX75" s="225"/>
      <c r="AY75" s="225"/>
      <c r="AZ75" s="225"/>
      <c r="BA75" s="225"/>
      <c r="BB75" s="225"/>
      <c r="BC75" s="225"/>
      <c r="BD75" s="225"/>
      <c r="BE75" s="225"/>
    </row>
    <row r="76" spans="1:57" s="35" customFormat="1" x14ac:dyDescent="0.25">
      <c r="A76" s="220">
        <f t="shared" si="17"/>
        <v>34.901150296083991</v>
      </c>
      <c r="B76" s="218">
        <f t="shared" si="18"/>
        <v>12</v>
      </c>
      <c r="C76" s="218">
        <f t="shared" si="19"/>
        <v>28.599999999999998</v>
      </c>
      <c r="D76" s="218">
        <f t="shared" si="20"/>
        <v>29.920060485784063</v>
      </c>
      <c r="E76" s="219">
        <f t="shared" si="21"/>
        <v>385.00000000000199</v>
      </c>
      <c r="F76" s="220">
        <f>AVERAGE(B75:B76)</f>
        <v>13.900000000000002</v>
      </c>
      <c r="G76" s="218">
        <f>(F75-B76)*100/F75</f>
        <v>45.701357466063349</v>
      </c>
      <c r="H76" s="218">
        <v>20</v>
      </c>
      <c r="I76" s="218">
        <f>IF(AND(G75&gt;H75,G76&gt;H76),1,2)</f>
        <v>1</v>
      </c>
      <c r="J76" s="216"/>
      <c r="K76" s="216"/>
      <c r="L76" s="216"/>
      <c r="M76" s="216"/>
      <c r="N76" s="216"/>
      <c r="O76" s="216"/>
      <c r="P76" s="216"/>
      <c r="Q76" s="221"/>
      <c r="R76" s="222">
        <f>AVERAGE(C75:C76)</f>
        <v>28.416666666666664</v>
      </c>
      <c r="S76" s="223">
        <f>(R75-C76)*100/R75</f>
        <v>13.289540171803951</v>
      </c>
      <c r="T76" s="223">
        <v>20</v>
      </c>
      <c r="U76" s="223">
        <f>IF(AND(S75&gt;T75,S76&gt;T76),1,2)</f>
        <v>2</v>
      </c>
      <c r="V76" s="223"/>
      <c r="W76" s="223"/>
      <c r="X76" s="223"/>
      <c r="Y76" s="223"/>
      <c r="Z76" s="223"/>
      <c r="AA76" s="223"/>
      <c r="AB76" s="227"/>
      <c r="AC76" s="220">
        <f>AVERAGE(D75:D76)</f>
        <v>29.827493087399276</v>
      </c>
      <c r="AD76" s="218">
        <f>(AC75-D76)*100/AC75</f>
        <v>0.61724153882649979</v>
      </c>
      <c r="AE76" s="218">
        <v>20</v>
      </c>
      <c r="AF76" s="218">
        <f>IF(AND(AD75&gt;AE75,AD76&gt;AE76),1,2)</f>
        <v>2</v>
      </c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9"/>
      <c r="AS76" s="220"/>
      <c r="AT76" s="218"/>
      <c r="AU76" s="218"/>
      <c r="AV76" s="218"/>
      <c r="AW76" s="219"/>
      <c r="AX76" s="225"/>
      <c r="AY76" s="225"/>
      <c r="AZ76" s="225"/>
      <c r="BA76" s="225"/>
      <c r="BB76" s="225"/>
      <c r="BC76" s="225"/>
      <c r="BD76" s="225"/>
      <c r="BE76" s="225"/>
    </row>
  </sheetData>
  <mergeCells count="15">
    <mergeCell ref="AC43:AK44"/>
    <mergeCell ref="X47:Z47"/>
    <mergeCell ref="U5:AK7"/>
    <mergeCell ref="A7:D7"/>
    <mergeCell ref="A17:C17"/>
    <mergeCell ref="A23:C23"/>
    <mergeCell ref="A26:C26"/>
    <mergeCell ref="A31:R31"/>
    <mergeCell ref="A48:P48"/>
    <mergeCell ref="V52:Z52"/>
    <mergeCell ref="A59:O59"/>
    <mergeCell ref="A39:M39"/>
    <mergeCell ref="D40:H40"/>
    <mergeCell ref="I40:M40"/>
    <mergeCell ref="U43:AB44"/>
  </mergeCells>
  <conditionalFormatting sqref="X56">
    <cfRule type="cellIs" dxfId="6" priority="1" operator="lessThan">
      <formula>3</formula>
    </cfRule>
    <cfRule type="cellIs" dxfId="5" priority="2" operator="greaterThan">
      <formula>3.9</formula>
    </cfRule>
    <cfRule type="cellIs" dxfId="4" priority="3" operator="between">
      <formula>3</formula>
      <formula>3.9</formula>
    </cfRule>
    <cfRule type="cellIs" dxfId="3" priority="4" operator="between">
      <formula>3</formula>
      <formula>3.9</formula>
    </cfRule>
    <cfRule type="cellIs" dxfId="2" priority="8" operator="between">
      <formula>3.15</formula>
      <formula>3.85</formula>
    </cfRule>
  </conditionalFormatting>
  <conditionalFormatting sqref="X60:Z60">
    <cfRule type="cellIs" dxfId="1" priority="5" operator="greaterThan">
      <formula>812</formula>
    </cfRule>
    <cfRule type="cellIs" dxfId="0" priority="6" operator="lessThan">
      <formula>812</formula>
    </cfRule>
  </conditionalFormatting>
  <printOptions horizontalCentered="1"/>
  <pageMargins left="0.25" right="0.25" top="1.25" bottom="1" header="0.3" footer="0.3"/>
  <pageSetup paperSize="9" orientation="portrait" r:id="rId1"/>
  <rowBreaks count="4" manualBreakCount="4">
    <brk id="15" max="16383" man="1"/>
    <brk id="18" max="16383" man="1"/>
    <brk id="22" max="16383" man="1"/>
    <brk id="31" max="16383" man="1"/>
  </rowBreaks>
  <colBreaks count="3" manualBreakCount="3">
    <brk id="39" max="1048575" man="1"/>
    <brk id="43" max="1048575" man="1"/>
    <brk id="53" max="1048575" man="1"/>
  </col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12C242DEA52DD4CB83602DBBF46ADCE" ma:contentTypeVersion="20" ma:contentTypeDescription="Create a new document." ma:contentTypeScope="" ma:versionID="9ef869dab4ced75e5206cf90c1471a70">
  <xsd:schema xmlns:xsd="http://www.w3.org/2001/XMLSchema" xmlns:xs="http://www.w3.org/2001/XMLSchema" xmlns:p="http://schemas.microsoft.com/office/2006/metadata/properties" xmlns:ns1="http://schemas.microsoft.com/sharepoint/v3" xmlns:ns3="77190c8a-4152-4b69-8711-8565850f30dd" xmlns:ns4="a54fc838-f0df-47c5-8db8-71fdd4e2c04d" targetNamespace="http://schemas.microsoft.com/office/2006/metadata/properties" ma:root="true" ma:fieldsID="9bee645648e94b5754f3489e95d16be6" ns1:_="" ns3:_="" ns4:_="">
    <xsd:import namespace="http://schemas.microsoft.com/sharepoint/v3"/>
    <xsd:import namespace="77190c8a-4152-4b69-8711-8565850f30dd"/>
    <xsd:import namespace="a54fc838-f0df-47c5-8db8-71fdd4e2c0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90c8a-4152-4b69-8711-8565850f30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_activity" ma:index="24" nillable="true" ma:displayName="_activity" ma:hidden="true" ma:internalName="_activity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fc838-f0df-47c5-8db8-71fdd4e2c0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7190c8a-4152-4b69-8711-8565850f30dd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A3111C4-A9CD-4BF6-916A-89793D0AF24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638613-F3FF-4274-B418-A5BE992B00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7190c8a-4152-4b69-8711-8565850f30dd"/>
    <ds:schemaRef ds:uri="a54fc838-f0df-47c5-8db8-71fdd4e2c0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4EEB1A-C0BA-4A5A-9E2E-3CD049EE011C}">
  <ds:schemaRefs>
    <ds:schemaRef ds:uri="http://schemas.microsoft.com/office/2006/metadata/properties"/>
    <ds:schemaRef ds:uri="http://schemas.microsoft.com/office/infopath/2007/PartnerControls"/>
    <ds:schemaRef ds:uri="77190c8a-4152-4b69-8711-8565850f30dd"/>
    <ds:schemaRef ds:uri="http://schemas.microsoft.com/sharepoint/v3"/>
  </ds:schemaRefs>
</ds:datastoreItem>
</file>

<file path=docMetadata/LabelInfo.xml><?xml version="1.0" encoding="utf-8"?>
<clbl:labelList xmlns:clbl="http://schemas.microsoft.com/office/2020/mipLabelMetadata">
  <clbl:label id="{8d05cdc4-bf69-4e6a-b5d3-428050a7f00f}" enabled="0" method="" siteId="{8d05cdc4-bf69-4e6a-b5d3-428050a7f0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Instructions</vt:lpstr>
      <vt:lpstr>Timeline graph</vt:lpstr>
      <vt:lpstr>GTrend map</vt:lpstr>
      <vt:lpstr>Graph</vt:lpstr>
      <vt:lpstr>01_10_2025</vt:lpstr>
      <vt:lpstr>01_02_2025</vt:lpstr>
      <vt:lpstr>06_04_2024</vt:lpstr>
      <vt:lpstr>06_03_2024</vt:lpstr>
      <vt:lpstr>05_28_2024</vt:lpstr>
      <vt:lpstr>05_21_2024</vt:lpstr>
      <vt:lpstr>'01_02_2025'!Print_Area</vt:lpstr>
      <vt:lpstr>'01_10_2025'!Print_Area</vt:lpstr>
      <vt:lpstr>'05_21_2024'!Print_Area</vt:lpstr>
      <vt:lpstr>'05_28_2024'!Print_Area</vt:lpstr>
      <vt:lpstr>'06_03_2024'!Print_Area</vt:lpstr>
      <vt:lpstr>'06_04_2024'!Print_Area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Hafiza Khadija Ijaz</dc:creator>
  <cp:keywords/>
  <dc:description/>
  <cp:lastModifiedBy>Arash Massoudieh</cp:lastModifiedBy>
  <cp:revision/>
  <dcterms:created xsi:type="dcterms:W3CDTF">2024-03-14T18:07:00Z</dcterms:created>
  <dcterms:modified xsi:type="dcterms:W3CDTF">2025-05-23T16:48:23Z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0x010100912C242DEA52DD4CB83602DBBF46ADCE</vt:lpwstr>
  </property>
</Properties>
</file>